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worksheets/sheet58.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현재_통합_문서"/>
  <mc:AlternateContent xmlns:mc="http://schemas.openxmlformats.org/markup-compatibility/2006">
    <mc:Choice Requires="x15">
      <x15ac:absPath xmlns:x15ac="http://schemas.microsoft.com/office/spreadsheetml/2010/11/ac" url="C:\Users\hkj11\Desktop\이촌회계법인\04. PA &amp; Conversion\07. 울트라브이\03. 2026년\03. 2026. 2Q\"/>
    </mc:Choice>
  </mc:AlternateContent>
  <xr:revisionPtr revIDLastSave="0" documentId="13_ncr:1_{CBCF9533-980B-4638-8047-B7619390B262}" xr6:coauthVersionLast="47" xr6:coauthVersionMax="47" xr10:uidLastSave="{00000000-0000-0000-0000-000000000000}"/>
  <bookViews>
    <workbookView xWindow="-103" yWindow="-103" windowWidth="24892" windowHeight="14914" tabRatio="963" firstSheet="18" activeTab="4" xr2:uid="{00000000-000D-0000-FFFF-FFFF00000000}"/>
  </bookViews>
  <sheets>
    <sheet name="계정코드" sheetId="64" state="hidden" r:id="rId1"/>
    <sheet name="Dart_BS" sheetId="104" r:id="rId2"/>
    <sheet name="Dart_PL" sheetId="105" r:id="rId3"/>
    <sheet name="정산표" sheetId="4" r:id="rId4"/>
    <sheet name="정산표_IFRS18" sheetId="158" r:id="rId62"/>
    <sheet name="별도_AJE_26.2Q" sheetId="130" r:id="rId5"/>
    <sheet name="BS" sheetId="7" r:id="rId6"/>
    <sheet name="PL" sheetId="2" r:id="rId7"/>
    <sheet name="CE" sheetId="11" r:id="rId8"/>
    <sheet name="CF" sheetId="10" r:id="rId9"/>
    <sheet name="CF참고(비교용)" sheetId="137" state="hidden" r:id="rId10"/>
    <sheet name="CF정산표(26.2Q)" sheetId="19" r:id="rId11"/>
    <sheet name="건중대체" sheetId="153" r:id="rId12"/>
    <sheet name="별도_AJE_25" sheetId="111" state="hidden" r:id="rId13"/>
    <sheet name="FN&gt;" sheetId="65" r:id="rId14"/>
    <sheet name="1" sheetId="67" r:id="rId15"/>
    <sheet name="2" sheetId="68" r:id="rId16"/>
    <sheet name="3" sheetId="69" r:id="rId17"/>
    <sheet name="4" sheetId="70" r:id="rId18"/>
    <sheet name="5" sheetId="71" r:id="rId19"/>
    <sheet name="6" sheetId="72" r:id="rId20"/>
    <sheet name="7" sheetId="73" r:id="rId21"/>
    <sheet name="8" sheetId="74" r:id="rId22"/>
    <sheet name="9" sheetId="75" r:id="rId23"/>
    <sheet name="10" sheetId="76" r:id="rId24"/>
    <sheet name="11-12" sheetId="77" r:id="rId25"/>
    <sheet name="13" sheetId="78" r:id="rId26"/>
    <sheet name="14" sheetId="79" r:id="rId27"/>
    <sheet name="Sheet1" sheetId="157" state="hidden" r:id="rId28"/>
    <sheet name="15" sheetId="80" r:id="rId29"/>
    <sheet name="16" sheetId="81" r:id="rId30"/>
    <sheet name="17" sheetId="82" r:id="rId31"/>
    <sheet name="18" sheetId="83" r:id="rId32"/>
    <sheet name="19" sheetId="84" r:id="rId33"/>
    <sheet name="20" sheetId="85" r:id="rId34"/>
    <sheet name="21" sheetId="87" r:id="rId35"/>
    <sheet name="22" sheetId="86" r:id="rId36"/>
    <sheet name="23" sheetId="88" r:id="rId37"/>
    <sheet name="24" sheetId="89" r:id="rId38"/>
    <sheet name="25" sheetId="90" r:id="rId39"/>
    <sheet name="26" sheetId="91" r:id="rId40"/>
    <sheet name="27" sheetId="93" r:id="rId41"/>
    <sheet name="28" sheetId="94" r:id="rId42"/>
    <sheet name="29" sheetId="95" r:id="rId43"/>
    <sheet name="30" sheetId="155" r:id="rId44"/>
    <sheet name="31" sheetId="97" r:id="rId45"/>
    <sheet name="32" sheetId="98" r:id="rId46"/>
    <sheet name="33" sheetId="102" r:id="rId47"/>
    <sheet name="34" sheetId="100" r:id="rId48"/>
    <sheet name="35" sheetId="96" r:id="rId49"/>
    <sheet name="36" sheetId="99" state="hidden" r:id="rId50"/>
    <sheet name="PBC(26.2Q)&gt;" sheetId="66" r:id="rId51"/>
    <sheet name="담보제공 건중" sheetId="156" r:id="rId52"/>
    <sheet name="제시BS" sheetId="147" r:id="rId53"/>
    <sheet name="제시PL" sheetId="148" r:id="rId54"/>
    <sheet name="원가" sheetId="149" r:id="rId55"/>
    <sheet name="주식보상비용 행사" sheetId="151" state="hidden" r:id="rId56"/>
    <sheet name="1,4,5차 평가" sheetId="152" r:id="rId57"/>
  </sheets>
  <definedNames>
    <definedName name="___B31" hidden="1">{"adj95mult",#N/A,FALSE,"COMPCO";"adj95est",#N/A,FALSE,"COMPCO"}</definedName>
    <definedName name="__123Graph_A" localSheetId="44" hidden="1">#REF!</definedName>
    <definedName name="__123Graph_A" hidden="1">#REF!</definedName>
    <definedName name="__123Graph_B" localSheetId="44" hidden="1">#REF!</definedName>
    <definedName name="__123Graph_B" hidden="1">#REF!</definedName>
    <definedName name="__123Graph_C" localSheetId="44" hidden="1">#REF!</definedName>
    <definedName name="__123Graph_C" hidden="1">#REF!</definedName>
    <definedName name="__123Graph_F" localSheetId="44" hidden="1">#REF!</definedName>
    <definedName name="__123Graph_F" hidden="1">#REF!</definedName>
    <definedName name="__123Graph_LBL_A" localSheetId="44" hidden="1">#REF!</definedName>
    <definedName name="__123Graph_LBL_A" hidden="1">#REF!</definedName>
    <definedName name="__123Graph_LBL_B" localSheetId="44" hidden="1">#REF!</definedName>
    <definedName name="__123Graph_LBL_B" hidden="1">#REF!</definedName>
    <definedName name="__123Graph_X" localSheetId="44" hidden="1">#REF!</definedName>
    <definedName name="__123Graph_X" hidden="1">#REF!</definedName>
    <definedName name="__bb1" hidden="1">{#N/A,#N/A,FALSE,"98소지이동TOTvs99.1 (2)";#N/A,#N/A,FALSE,"TOTAL";#N/A,#N/A,FALSE,"98소지이동TOTvs99.1(b) (2)"}</definedName>
    <definedName name="__bb2" hidden="1">{#N/A,#N/A,FALSE,"98소지이동TOTvs99.1 (2)";#N/A,#N/A,FALSE,"TOTAL";#N/A,#N/A,FALSE,"98소지이동TOTvs99.1(b) (2)"}</definedName>
    <definedName name="__bb3" hidden="1">{#N/A,#N/A,FALSE,"군산원가";#N/A,#N/A,FALSE,"팀별월별";#N/A,#N/A,FALSE,"타공정대체";#N/A,#N/A,FALSE,"기타경비";#N/A,#N/A,FALSE,"원료";#N/A,#N/A,FALSE,"연료"}</definedName>
    <definedName name="__bb4" hidden="1">{#N/A,#N/A,FALSE,"98소지이동TOTvs99.1 (2)";#N/A,#N/A,FALSE,"TOTAL";#N/A,#N/A,FALSE,"98소지이동TOTvs99.1(b) (2)"}</definedName>
    <definedName name="__bb5" hidden="1">{#N/A,#N/A,FALSE,"98소지이동TOTvs99.1 (2)";#N/A,#N/A,FALSE,"TOTAL";#N/A,#N/A,FALSE,"98소지이동TOTvs99.1(b) (2)"}</definedName>
    <definedName name="__bb6" hidden="1">{#N/A,#N/A,FALSE,"98소지이동TOTvs99.1 (2)";#N/A,#N/A,FALSE,"TOTAL";#N/A,#N/A,FALSE,"98소지이동TOTvs99.1(b) (2)"}</definedName>
    <definedName name="__bb7" hidden="1">{#N/A,#N/A,FALSE,"98소지이동TOTvs99.1 (2)";#N/A,#N/A,FALSE,"TOTAL";#N/A,#N/A,FALSE,"98소지이동TOTvs99.1(b) (2)"}</definedName>
    <definedName name="__bb8" hidden="1">{#N/A,#N/A,FALSE,"군산원가";#N/A,#N/A,FALSE,"팀별월별";#N/A,#N/A,FALSE,"타공정대체";#N/A,#N/A,FALSE,"기타경비";#N/A,#N/A,FALSE,"원료";#N/A,#N/A,FALSE,"연료"}</definedName>
    <definedName name="__bb9" hidden="1">{#N/A,#N/A,FALSE,"군산원가";#N/A,#N/A,FALSE,"팀별월별";#N/A,#N/A,FALSE,"타공정대체";#N/A,#N/A,FALSE,"기타경비";#N/A,#N/A,FALSE,"원료";#N/A,#N/A,FALSE,"연료"}</definedName>
    <definedName name="__cc1" hidden="1">{#N/A,#N/A,FALSE,"군산원가";#N/A,#N/A,FALSE,"팀별월별";#N/A,#N/A,FALSE,"타공정대체";#N/A,#N/A,FALSE,"기타경비";#N/A,#N/A,FALSE,"원료";#N/A,#N/A,FALSE,"연료"}</definedName>
    <definedName name="__cc2" hidden="1">{#N/A,#N/A,FALSE,"군산원가";#N/A,#N/A,FALSE,"팀별월별";#N/A,#N/A,FALSE,"타공정대체";#N/A,#N/A,FALSE,"기타경비";#N/A,#N/A,FALSE,"원료";#N/A,#N/A,FALSE,"연료"}</definedName>
    <definedName name="__cc3" hidden="1">{#N/A,#N/A,FALSE,"Yield";#N/A,#N/A,FALSE,"Loss1";#N/A,#N/A,FALSE,"Loss2";#N/A,#N/A,FALSE,"Hour-Labor(배분)";#N/A,#N/A,FALSE,"Capital Expenditure";#N/A,#N/A,FALSE,"Productivity"}</definedName>
    <definedName name="__cc4" hidden="1">{#N/A,#N/A,FALSE,"98소지이동TOTvs99.1 (2)";#N/A,#N/A,FALSE,"TOTAL";#N/A,#N/A,FALSE,"98소지이동TOTvs99.1(b) (2)"}</definedName>
    <definedName name="__cc5" hidden="1">{#N/A,#N/A,FALSE,"98소지이동TOTvs99.1 (2)";#N/A,#N/A,FALSE,"TOTAL";#N/A,#N/A,FALSE,"98소지이동TOTvs99.1(b) (2)"}</definedName>
    <definedName name="__cc6" hidden="1">{#N/A,#N/A,FALSE,"Yield";#N/A,#N/A,FALSE,"Loss1";#N/A,#N/A,FALSE,"Loss2";#N/A,#N/A,FALSE,"Hour-Labor(배분)";#N/A,#N/A,FALSE,"Capital Expenditure";#N/A,#N/A,FALSE,"Productivity"}</definedName>
    <definedName name="__cc7" hidden="1">{#N/A,#N/A,FALSE,"Yield";#N/A,#N/A,FALSE,"Loss1";#N/A,#N/A,FALSE,"Loss2";#N/A,#N/A,FALSE,"Hour-Labor(배분)";#N/A,#N/A,FALSE,"Capital Expenditure";#N/A,#N/A,FALSE,"Productivity"}</definedName>
    <definedName name="__cc8" hidden="1">{#N/A,#N/A,FALSE,"Yield";#N/A,#N/A,FALSE,"Loss1";#N/A,#N/A,FALSE,"Loss2";#N/A,#N/A,FALSE,"Hour-Labor(배분)";#N/A,#N/A,FALSE,"Capital Expenditure";#N/A,#N/A,FALSE,"Productivity"}</definedName>
    <definedName name="__cc9" hidden="1">{#N/A,#N/A,FALSE,"98소지이동TOTvs99.1 (2)";#N/A,#N/A,FALSE,"TOTAL";#N/A,#N/A,FALSE,"98소지이동TOTvs99.1(b) (2)"}</definedName>
    <definedName name="__IntlFixup" hidden="1">TRUE</definedName>
    <definedName name="__jh1" hidden="1">{#N/A,#N/A,FALSE,"Yield";#N/A,#N/A,FALSE,"Loss1";#N/A,#N/A,FALSE,"Loss2";#N/A,#N/A,FALSE,"Hour-Labor(배분)";#N/A,#N/A,FALSE,"Capital Expenditure";#N/A,#N/A,FALSE,"Productivity"}</definedName>
    <definedName name="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4" hidden="1">{#N/A,#N/A,FALSE,"Yield";#N/A,#N/A,FALSE,"Loss1";#N/A,#N/A,FALSE,"Loss2";#N/A,#N/A,FALSE,"Hour-Labor(배분)";#N/A,#N/A,FALSE,"Capital Expenditure";#N/A,#N/A,FALSE,"Productivity"}</definedName>
    <definedName name="__jh5" hidden="1">{#N/A,#N/A,FALSE,"98소지이동TOTvs99.1 (2)";#N/A,#N/A,FALSE,"TOTAL";#N/A,#N/A,FALSE,"98소지이동TOTvs99.1(b) (2)"}</definedName>
    <definedName name="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2" hidden="1">{#N/A,#N/A,FALSE,"Yield";#N/A,#N/A,FALSE,"Loss1";#N/A,#N/A,FALSE,"Loss2";#N/A,#N/A,FALSE,"Hour-Labor(배분)";#N/A,#N/A,FALSE,"Capital Expenditure";#N/A,#N/A,FALSE,"Productivity"}</definedName>
    <definedName name="__jj3" hidden="1">{#N/A,#N/A,FALSE,"군산원가";#N/A,#N/A,FALSE,"팀별월별";#N/A,#N/A,FALSE,"타공정대체";#N/A,#N/A,FALSE,"기타경비";#N/A,#N/A,FALSE,"원료";#N/A,#N/A,FALSE,"연료"}</definedName>
    <definedName name="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6" hidden="1">{#N/A,#N/A,FALSE,"Yield";#N/A,#N/A,FALSE,"Loss1";#N/A,#N/A,FALSE,"Loss2";#N/A,#N/A,FALSE,"Hour-Labor(배분)";#N/A,#N/A,FALSE,"Capital Expenditure";#N/A,#N/A,FALSE,"Productivity"}</definedName>
    <definedName name="__jj7" hidden="1">{#N/A,#N/A,FALSE,"98소지이동TOTvs99.1 (2)";#N/A,#N/A,FALSE,"TOTAL";#N/A,#N/A,FALSE,"98소지이동TOTvs99.1(b) (2)"}</definedName>
    <definedName name="__kl505" hidden="1">{#N/A,#N/A,FALSE,"군산원가";#N/A,#N/A,FALSE,"팀별월별";#N/A,#N/A,FALSE,"타공정대체";#N/A,#N/A,FALSE,"기타경비";#N/A,#N/A,FALSE,"원료";#N/A,#N/A,FALSE,"연료"}</definedName>
    <definedName name="__KTM10" hidden="1">{#N/A,#N/A,FALSE,"현장 NCR 분석";#N/A,#N/A,FALSE,"현장품질감사";#N/A,#N/A,FALSE,"현장품질감사"}</definedName>
    <definedName name="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2" hidden="1">{#N/A,#N/A,FALSE,"98소지이동TOTvs99.1 (2)";#N/A,#N/A,FALSE,"TOTAL";#N/A,#N/A,FALSE,"98소지이동TOTvs99.1(b) (2)"}</definedName>
    <definedName name="__ll3" hidden="1">{#N/A,#N/A,FALSE,"98소지이동TOTvs99.1 (2)";#N/A,#N/A,FALSE,"TOTAL";#N/A,#N/A,FALSE,"98소지이동TOTvs99.1(b) (2)"}</definedName>
    <definedName name="__ll4" hidden="1">{#N/A,#N/A,FALSE,"군산원가";#N/A,#N/A,FALSE,"팀별월별";#N/A,#N/A,FALSE,"타공정대체";#N/A,#N/A,FALSE,"기타경비";#N/A,#N/A,FALSE,"원료";#N/A,#N/A,FALSE,"연료"}</definedName>
    <definedName name="__ll5" hidden="1">{#N/A,#N/A,FALSE,"군산원가";#N/A,#N/A,FALSE,"팀별월별";#N/A,#N/A,FALSE,"타공정대체";#N/A,#N/A,FALSE,"기타경비";#N/A,#N/A,FALSE,"원료";#N/A,#N/A,FALSE,"연료"}</definedName>
    <definedName name="__ll6" hidden="1">{#N/A,#N/A,FALSE,"98소지이동TOTvs99.1 (2)";#N/A,#N/A,FALSE,"TOTAL";#N/A,#N/A,FALSE,"98소지이동TOTvs99.1(b) (2)"}</definedName>
    <definedName name="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9" hidden="1">{#N/A,#N/A,FALSE,"Yield";#N/A,#N/A,FALSE,"Loss1";#N/A,#N/A,FALSE,"Loss2";#N/A,#N/A,FALSE,"Hour-Labor(배분)";#N/A,#N/A,FALSE,"Capital Expenditure";#N/A,#N/A,FALSE,"Productivity"}</definedName>
    <definedName name="__ML6" hidden="1">{#N/A,#N/A,FALSE,"98소지이동TOTvs99.1 (2)";#N/A,#N/A,FALSE,"TOTAL";#N/A,#N/A,FALSE,"98소지이동TOTvs99.1(b) (2)"}</definedName>
    <definedName name="__mm1" hidden="1">{#N/A,#N/A,FALSE,"98소지이동TOTvs99.1 (2)";#N/A,#N/A,FALSE,"TOTAL";#N/A,#N/A,FALSE,"98소지이동TOTvs99.1(b) (2)"}</definedName>
    <definedName name="__mm2" hidden="1">{#N/A,#N/A,FALSE,"98소지이동TOTvs99.1 (2)";#N/A,#N/A,FALSE,"TOTAL";#N/A,#N/A,FALSE,"98소지이동TOTvs99.1(b) (2)"}</definedName>
    <definedName name="__mm3" hidden="1">{#N/A,#N/A,FALSE,"군산원가";#N/A,#N/A,FALSE,"팀별월별";#N/A,#N/A,FALSE,"타공정대체";#N/A,#N/A,FALSE,"기타경비";#N/A,#N/A,FALSE,"원료";#N/A,#N/A,FALSE,"연료"}</definedName>
    <definedName name="__mm4" hidden="1">{#N/A,#N/A,FALSE,"군산원가";#N/A,#N/A,FALSE,"팀별월별";#N/A,#N/A,FALSE,"타공정대체";#N/A,#N/A,FALSE,"기타경비";#N/A,#N/A,FALSE,"원료";#N/A,#N/A,FALSE,"연료"}</definedName>
    <definedName name="__mm5" hidden="1">{#N/A,#N/A,FALSE,"98소지이동TOTvs99.1 (2)";#N/A,#N/A,FALSE,"TOTAL";#N/A,#N/A,FALSE,"98소지이동TOTvs99.1(b) (2)"}</definedName>
    <definedName name="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8" hidden="1">{#N/A,#N/A,FALSE,"Yield";#N/A,#N/A,FALSE,"Loss1";#N/A,#N/A,FALSE,"Loss2";#N/A,#N/A,FALSE,"Hour-Labor(배분)";#N/A,#N/A,FALSE,"Capital Expenditure";#N/A,#N/A,FALSE,"Productivity"}</definedName>
    <definedName name="__mm9" hidden="1">{#N/A,#N/A,FALSE,"98소지이동TOTvs99.1 (2)";#N/A,#N/A,FALSE,"TOTAL";#N/A,#N/A,FALSE,"98소지이동TOTvs99.1(b) (2)"}</definedName>
    <definedName name="__PF1" hidden="1">{#N/A,#N/A,FALSE,"군산원가";#N/A,#N/A,FALSE,"팀별월별";#N/A,#N/A,FALSE,"타공정대체";#N/A,#N/A,FALSE,"기타경비";#N/A,#N/A,FALSE,"원료";#N/A,#N/A,FALSE,"연료"}</definedName>
    <definedName name="__RR1" hidden="1">{#N/A,#N/A,FALSE,"98소지이동TOTvs99.1 (2)";#N/A,#N/A,FALSE,"TOTAL";#N/A,#N/A,FALSE,"98소지이동TOTvs99.1(b) (2)"}</definedName>
    <definedName name="__RR2" hidden="1">{#N/A,#N/A,FALSE,"군산원가";#N/A,#N/A,FALSE,"팀별월별";#N/A,#N/A,FALSE,"타공정대체";#N/A,#N/A,FALSE,"기타경비";#N/A,#N/A,FALSE,"원료";#N/A,#N/A,FALSE,"연료"}</definedName>
    <definedName name="__RR3" hidden="1">{#N/A,#N/A,FALSE,"군산원가";#N/A,#N/A,FALSE,"팀별월별";#N/A,#N/A,FALSE,"타공정대체";#N/A,#N/A,FALSE,"기타경비";#N/A,#N/A,FALSE,"원료";#N/A,#N/A,FALSE,"연료"}</definedName>
    <definedName name="__RR4" hidden="1">{#N/A,#N/A,FALSE,"98소지이동TOTvs99.1 (2)";#N/A,#N/A,FALSE,"TOTAL";#N/A,#N/A,FALSE,"98소지이동TOTvs99.1(b) (2)"}</definedName>
    <definedName name="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7" hidden="1">{#N/A,#N/A,FALSE,"Yield";#N/A,#N/A,FALSE,"Loss1";#N/A,#N/A,FALSE,"Loss2";#N/A,#N/A,FALSE,"Hour-Labor(배분)";#N/A,#N/A,FALSE,"Capital Expenditure";#N/A,#N/A,FALSE,"Productivity"}</definedName>
    <definedName name="__RR8" hidden="1">{#N/A,#N/A,FALSE,"98소지이동TOTvs99.1 (2)";#N/A,#N/A,FALSE,"TOTAL";#N/A,#N/A,FALSE,"98소지이동TOTvs99.1(b) (2)"}</definedName>
    <definedName name="__SS1" hidden="1">{#N/A,#N/A,FALSE,"98소지이동TOTvs99.1 (2)";#N/A,#N/A,FALSE,"TOTAL";#N/A,#N/A,FALSE,"98소지이동TOTvs99.1(b) (2)"}</definedName>
    <definedName name="__SS10" hidden="1">{#N/A,#N/A,FALSE,"군산원가";#N/A,#N/A,FALSE,"팀별월별";#N/A,#N/A,FALSE,"타공정대체";#N/A,#N/A,FALSE,"기타경비";#N/A,#N/A,FALSE,"원료";#N/A,#N/A,FALSE,"연료"}</definedName>
    <definedName name="__SS11" hidden="1">{#N/A,#N/A,FALSE,"98소지이동TOTvs99.1 (2)";#N/A,#N/A,FALSE,"TOTAL";#N/A,#N/A,FALSE,"98소지이동TOTvs99.1(b) (2)"}</definedName>
    <definedName name="__SS12" hidden="1">{#N/A,#N/A,FALSE,"98소지이동TOTvs99.1 (2)";#N/A,#N/A,FALSE,"TOTAL";#N/A,#N/A,FALSE,"98소지이동TOTvs99.1(b) (2)"}</definedName>
    <definedName name="__SS13" hidden="1">{#N/A,#N/A,FALSE,"98소지이동TOTvs99.1 (2)";#N/A,#N/A,FALSE,"TOTAL";#N/A,#N/A,FALSE,"98소지이동TOTvs99.1(b) (2)"}</definedName>
    <definedName name="__SS14" hidden="1">{#N/A,#N/A,FALSE,"98소지이동TOTvs99.1 (2)";#N/A,#N/A,FALSE,"TOTAL";#N/A,#N/A,FALSE,"98소지이동TOTvs99.1(b) (2)"}</definedName>
    <definedName name="__SS15" hidden="1">{#N/A,#N/A,FALSE,"군산원가";#N/A,#N/A,FALSE,"팀별월별";#N/A,#N/A,FALSE,"타공정대체";#N/A,#N/A,FALSE,"기타경비";#N/A,#N/A,FALSE,"원료";#N/A,#N/A,FALSE,"연료"}</definedName>
    <definedName name="__SS16" hidden="1">{#N/A,#N/A,FALSE,"군산원가";#N/A,#N/A,FALSE,"팀별월별";#N/A,#N/A,FALSE,"타공정대체";#N/A,#N/A,FALSE,"기타경비";#N/A,#N/A,FALSE,"원료";#N/A,#N/A,FALSE,"연료"}</definedName>
    <definedName name="__SS17" hidden="1">{#N/A,#N/A,FALSE,"군산원가";#N/A,#N/A,FALSE,"팀별월별";#N/A,#N/A,FALSE,"타공정대체";#N/A,#N/A,FALSE,"기타경비";#N/A,#N/A,FALSE,"원료";#N/A,#N/A,FALSE,"연료"}</definedName>
    <definedName name="__SS18" hidden="1">{#N/A,#N/A,FALSE,"군산원가";#N/A,#N/A,FALSE,"팀별월별";#N/A,#N/A,FALSE,"타공정대체";#N/A,#N/A,FALSE,"기타경비";#N/A,#N/A,FALSE,"원료";#N/A,#N/A,FALSE,"연료"}</definedName>
    <definedName name="__SS19" hidden="1">{#N/A,#N/A,FALSE,"Yield";#N/A,#N/A,FALSE,"Loss1";#N/A,#N/A,FALSE,"Loss2";#N/A,#N/A,FALSE,"Hour-Labor(배분)";#N/A,#N/A,FALSE,"Capital Expenditure";#N/A,#N/A,FALSE,"Productivity"}</definedName>
    <definedName name="__SS2" hidden="1">{#N/A,#N/A,FALSE,"98소지이동TOTvs99.1 (2)";#N/A,#N/A,FALSE,"TOTAL";#N/A,#N/A,FALSE,"98소지이동TOTvs99.1(b) (2)"}</definedName>
    <definedName name="__SS20" hidden="1">{#N/A,#N/A,FALSE,"98소지이동TOTvs99.1 (2)";#N/A,#N/A,FALSE,"TOTAL";#N/A,#N/A,FALSE,"98소지이동TOTvs99.1(b) (2)"}</definedName>
    <definedName name="__SS21" hidden="1">{#N/A,#N/A,FALSE,"98소지이동TOTvs99.1 (2)";#N/A,#N/A,FALSE,"TOTAL";#N/A,#N/A,FALSE,"98소지이동TOTvs99.1(b) (2)"}</definedName>
    <definedName name="__SS22" hidden="1">{#N/A,#N/A,FALSE,"Yield";#N/A,#N/A,FALSE,"Loss1";#N/A,#N/A,FALSE,"Loss2";#N/A,#N/A,FALSE,"Hour-Labor(배분)";#N/A,#N/A,FALSE,"Capital Expenditure";#N/A,#N/A,FALSE,"Productivity"}</definedName>
    <definedName name="__SS23" hidden="1">{#N/A,#N/A,FALSE,"Yield";#N/A,#N/A,FALSE,"Loss1";#N/A,#N/A,FALSE,"Loss2";#N/A,#N/A,FALSE,"Hour-Labor(배분)";#N/A,#N/A,FALSE,"Capital Expenditure";#N/A,#N/A,FALSE,"Productivity"}</definedName>
    <definedName name="__SS24" hidden="1">{#N/A,#N/A,FALSE,"Yield";#N/A,#N/A,FALSE,"Loss1";#N/A,#N/A,FALSE,"Loss2";#N/A,#N/A,FALSE,"Hour-Labor(배분)";#N/A,#N/A,FALSE,"Capital Expenditure";#N/A,#N/A,FALSE,"Productivity"}</definedName>
    <definedName name="__SS25" hidden="1">{#N/A,#N/A,FALSE,"98소지이동TOTvs99.1 (2)";#N/A,#N/A,FALSE,"TOTAL";#N/A,#N/A,FALSE,"98소지이동TOTvs99.1(b) (2)"}</definedName>
    <definedName name="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7" hidden="1">{#N/A,#N/A,FALSE,"Yield";#N/A,#N/A,FALSE,"Loss1";#N/A,#N/A,FALSE,"Loss2";#N/A,#N/A,FALSE,"Hour-Labor(배분)";#N/A,#N/A,FALSE,"Capital Expenditure";#N/A,#N/A,FALSE,"Productivity"}</definedName>
    <definedName name="__SS28" hidden="1">{#N/A,#N/A,FALSE,"군산원가";#N/A,#N/A,FALSE,"팀별월별";#N/A,#N/A,FALSE,"타공정대체";#N/A,#N/A,FALSE,"기타경비";#N/A,#N/A,FALSE,"원료";#N/A,#N/A,FALSE,"연료"}</definedName>
    <definedName name="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3" hidden="1">{#N/A,#N/A,FALSE,"군산원가";#N/A,#N/A,FALSE,"팀별월별";#N/A,#N/A,FALSE,"타공정대체";#N/A,#N/A,FALSE,"기타경비";#N/A,#N/A,FALSE,"원료";#N/A,#N/A,FALSE,"연료"}</definedName>
    <definedName name="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1" hidden="1">{#N/A,#N/A,FALSE,"Yield";#N/A,#N/A,FALSE,"Loss1";#N/A,#N/A,FALSE,"Loss2";#N/A,#N/A,FALSE,"Hour-Labor(배분)";#N/A,#N/A,FALSE,"Capital Expenditure";#N/A,#N/A,FALSE,"Productivity"}</definedName>
    <definedName name="__SS32" hidden="1">{#N/A,#N/A,FALSE,"98소지이동TOTvs99.1 (2)";#N/A,#N/A,FALSE,"TOTAL";#N/A,#N/A,FALSE,"98소지이동TOTvs99.1(b) (2)"}</definedName>
    <definedName name="__SS4" hidden="1">{#N/A,#N/A,FALSE,"군산원가";#N/A,#N/A,FALSE,"팀별월별";#N/A,#N/A,FALSE,"타공정대체";#N/A,#N/A,FALSE,"기타경비";#N/A,#N/A,FALSE,"원료";#N/A,#N/A,FALSE,"연료"}</definedName>
    <definedName name="__SS5" hidden="1">{#N/A,#N/A,FALSE,"98소지이동TOTvs99.1 (2)";#N/A,#N/A,FALSE,"TOTAL";#N/A,#N/A,FALSE,"98소지이동TOTvs99.1(b) (2)"}</definedName>
    <definedName name="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8" hidden="1">{#N/A,#N/A,FALSE,"98소지이동TOTvs99.1 (2)";#N/A,#N/A,FALSE,"TOTAL";#N/A,#N/A,FALSE,"98소지이동TOTvs99.1(b) (2)"}</definedName>
    <definedName name="__SS9" hidden="1">{#N/A,#N/A,FALSE,"98소지이동TOTvs99.1 (2)";#N/A,#N/A,FALSE,"TOTAL";#N/A,#N/A,FALSE,"98소지이동TOTvs99.1(b) (2)"}</definedName>
    <definedName name="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XX1" hidden="1">{#N/A,#N/A,FALSE,"98소지이동TOTvs99.1 (2)";#N/A,#N/A,FALSE,"TOTAL";#N/A,#N/A,FALSE,"98소지이동TOTvs99.1(b) (2)"}</definedName>
    <definedName name="__XX10" hidden="1">{#N/A,#N/A,FALSE,"Yield";#N/A,#N/A,FALSE,"Loss1";#N/A,#N/A,FALSE,"Loss2";#N/A,#N/A,FALSE,"Hour-Labor(배분)";#N/A,#N/A,FALSE,"Capital Expenditure";#N/A,#N/A,FALSE,"Productivity"}</definedName>
    <definedName name="__XX2" hidden="1">{#N/A,#N/A,FALSE,"98소지이동TOTvs99.1 (2)";#N/A,#N/A,FALSE,"TOTAL";#N/A,#N/A,FALSE,"98소지이동TOTvs99.1(b) (2)"}</definedName>
    <definedName name="__XX3" hidden="1">{#N/A,#N/A,FALSE,"98소지이동TOTvs99.1 (2)";#N/A,#N/A,FALSE,"TOTAL";#N/A,#N/A,FALSE,"98소지이동TOTvs99.1(b) (2)"}</definedName>
    <definedName name="__XX4" hidden="1">{#N/A,#N/A,FALSE,"군산원가";#N/A,#N/A,FALSE,"팀별월별";#N/A,#N/A,FALSE,"타공정대체";#N/A,#N/A,FALSE,"기타경비";#N/A,#N/A,FALSE,"원료";#N/A,#N/A,FALSE,"연료"}</definedName>
    <definedName name="__XX5" hidden="1">{#N/A,#N/A,FALSE,"군산원가";#N/A,#N/A,FALSE,"팀별월별";#N/A,#N/A,FALSE,"타공정대체";#N/A,#N/A,FALSE,"기타경비";#N/A,#N/A,FALSE,"원료";#N/A,#N/A,FALSE,"연료"}</definedName>
    <definedName name="__XX6" hidden="1">{#N/A,#N/A,FALSE,"Yield";#N/A,#N/A,FALSE,"Loss1";#N/A,#N/A,FALSE,"Loss2";#N/A,#N/A,FALSE,"Hour-Labor(배분)";#N/A,#N/A,FALSE,"Capital Expenditure";#N/A,#N/A,FALSE,"Productivity"}</definedName>
    <definedName name="__XX7" hidden="1">{#N/A,#N/A,FALSE,"98소지이동TOTvs99.1 (2)";#N/A,#N/A,FALSE,"TOTAL";#N/A,#N/A,FALSE,"98소지이동TOTvs99.1(b) (2)"}</definedName>
    <definedName name="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ZZ1" hidden="1">{#N/A,#N/A,FALSE,"98소지이동TOTvs99.1 (2)";#N/A,#N/A,FALSE,"TOTAL";#N/A,#N/A,FALSE,"98소지이동TOTvs99.1(b) (2)"}</definedName>
    <definedName name="_10cc1_" hidden="1">{#N/A,#N/A,FALSE,"군산원가";#N/A,#N/A,FALSE,"팀별월별";#N/A,#N/A,FALSE,"타공정대체";#N/A,#N/A,FALSE,"기타경비";#N/A,#N/A,FALSE,"원료";#N/A,#N/A,FALSE,"연료"}</definedName>
    <definedName name="_11cc2_" hidden="1">{#N/A,#N/A,FALSE,"군산원가";#N/A,#N/A,FALSE,"팀별월별";#N/A,#N/A,FALSE,"타공정대체";#N/A,#N/A,FALSE,"기타경비";#N/A,#N/A,FALSE,"원료";#N/A,#N/A,FALSE,"연료"}</definedName>
    <definedName name="_12cc3_" hidden="1">{#N/A,#N/A,FALSE,"Yield";#N/A,#N/A,FALSE,"Loss1";#N/A,#N/A,FALSE,"Loss2";#N/A,#N/A,FALSE,"Hour-Labor(배분)";#N/A,#N/A,FALSE,"Capital Expenditure";#N/A,#N/A,FALSE,"Productivity"}</definedName>
    <definedName name="_13cc4_" hidden="1">{#N/A,#N/A,FALSE,"98소지이동TOTvs99.1 (2)";#N/A,#N/A,FALSE,"TOTAL";#N/A,#N/A,FALSE,"98소지이동TOTvs99.1(b) (2)"}</definedName>
    <definedName name="_14cc5_" hidden="1">{#N/A,#N/A,FALSE,"98소지이동TOTvs99.1 (2)";#N/A,#N/A,FALSE,"TOTAL";#N/A,#N/A,FALSE,"98소지이동TOTvs99.1(b) (2)"}</definedName>
    <definedName name="_15cc6_" hidden="1">{#N/A,#N/A,FALSE,"Yield";#N/A,#N/A,FALSE,"Loss1";#N/A,#N/A,FALSE,"Loss2";#N/A,#N/A,FALSE,"Hour-Labor(배분)";#N/A,#N/A,FALSE,"Capital Expenditure";#N/A,#N/A,FALSE,"Productivity"}</definedName>
    <definedName name="_16cc7_" hidden="1">{#N/A,#N/A,FALSE,"Yield";#N/A,#N/A,FALSE,"Loss1";#N/A,#N/A,FALSE,"Loss2";#N/A,#N/A,FALSE,"Hour-Labor(배분)";#N/A,#N/A,FALSE,"Capital Expenditure";#N/A,#N/A,FALSE,"Productivity"}</definedName>
    <definedName name="_17cc8_" hidden="1">{#N/A,#N/A,FALSE,"Yield";#N/A,#N/A,FALSE,"Loss1";#N/A,#N/A,FALSE,"Loss2";#N/A,#N/A,FALSE,"Hour-Labor(배분)";#N/A,#N/A,FALSE,"Capital Expenditure";#N/A,#N/A,FALSE,"Productivity"}</definedName>
    <definedName name="_18cc9_" hidden="1">{#N/A,#N/A,FALSE,"98소지이동TOTvs99.1 (2)";#N/A,#N/A,FALSE,"TOTAL";#N/A,#N/A,FALSE,"98소지이동TOTvs99.1(b) (2)"}</definedName>
    <definedName name="_1bb1_" hidden="1">{#N/A,#N/A,FALSE,"98소지이동TOTvs99.1 (2)";#N/A,#N/A,FALSE,"TOTAL";#N/A,#N/A,FALSE,"98소지이동TOTvs99.1(b) (2)"}</definedName>
    <definedName name="_2bb2_" hidden="1">{#N/A,#N/A,FALSE,"98소지이동TOTvs99.1 (2)";#N/A,#N/A,FALSE,"TOTAL";#N/A,#N/A,FALSE,"98소지이동TOTvs99.1(b) (2)"}</definedName>
    <definedName name="_3bb3_" hidden="1">{#N/A,#N/A,FALSE,"군산원가";#N/A,#N/A,FALSE,"팀별월별";#N/A,#N/A,FALSE,"타공정대체";#N/A,#N/A,FALSE,"기타경비";#N/A,#N/A,FALSE,"원료";#N/A,#N/A,FALSE,"연료"}</definedName>
    <definedName name="_4bb4_" hidden="1">{#N/A,#N/A,FALSE,"98소지이동TOTvs99.1 (2)";#N/A,#N/A,FALSE,"TOTAL";#N/A,#N/A,FALSE,"98소지이동TOTvs99.1(b) (2)"}</definedName>
    <definedName name="_5bb5_" hidden="1">{#N/A,#N/A,FALSE,"98소지이동TOTvs99.1 (2)";#N/A,#N/A,FALSE,"TOTAL";#N/A,#N/A,FALSE,"98소지이동TOTvs99.1(b) (2)"}</definedName>
    <definedName name="_6bb6_" hidden="1">{#N/A,#N/A,FALSE,"98소지이동TOTvs99.1 (2)";#N/A,#N/A,FALSE,"TOTAL";#N/A,#N/A,FALSE,"98소지이동TOTvs99.1(b) (2)"}</definedName>
    <definedName name="_7bb7_" hidden="1">{#N/A,#N/A,FALSE,"98소지이동TOTvs99.1 (2)";#N/A,#N/A,FALSE,"TOTAL";#N/A,#N/A,FALSE,"98소지이동TOTvs99.1(b) (2)"}</definedName>
    <definedName name="_8bb8_" hidden="1">{#N/A,#N/A,FALSE,"군산원가";#N/A,#N/A,FALSE,"팀별월별";#N/A,#N/A,FALSE,"타공정대체";#N/A,#N/A,FALSE,"기타경비";#N/A,#N/A,FALSE,"원료";#N/A,#N/A,FALSE,"연료"}</definedName>
    <definedName name="_9bb9_" hidden="1">{#N/A,#N/A,FALSE,"군산원가";#N/A,#N/A,FALSE,"팀별월별";#N/A,#N/A,FALSE,"타공정대체";#N/A,#N/A,FALSE,"기타경비";#N/A,#N/A,FALSE,"원료";#N/A,#N/A,FALSE,"연료"}</definedName>
    <definedName name="_bb1" hidden="1">{#N/A,#N/A,FALSE,"98소지이동TOTvs99.1 (2)";#N/A,#N/A,FALSE,"TOTAL";#N/A,#N/A,FALSE,"98소지이동TOTvs99.1(b) (2)"}</definedName>
    <definedName name="_bb2" hidden="1">{#N/A,#N/A,FALSE,"98소지이동TOTvs99.1 (2)";#N/A,#N/A,FALSE,"TOTAL";#N/A,#N/A,FALSE,"98소지이동TOTvs99.1(b) (2)"}</definedName>
    <definedName name="_bb3" hidden="1">{#N/A,#N/A,FALSE,"군산원가";#N/A,#N/A,FALSE,"팀별월별";#N/A,#N/A,FALSE,"타공정대체";#N/A,#N/A,FALSE,"기타경비";#N/A,#N/A,FALSE,"원료";#N/A,#N/A,FALSE,"연료"}</definedName>
    <definedName name="_bb4" hidden="1">{#N/A,#N/A,FALSE,"98소지이동TOTvs99.1 (2)";#N/A,#N/A,FALSE,"TOTAL";#N/A,#N/A,FALSE,"98소지이동TOTvs99.1(b) (2)"}</definedName>
    <definedName name="_bb5" hidden="1">{#N/A,#N/A,FALSE,"98소지이동TOTvs99.1 (2)";#N/A,#N/A,FALSE,"TOTAL";#N/A,#N/A,FALSE,"98소지이동TOTvs99.1(b) (2)"}</definedName>
    <definedName name="_bb6" hidden="1">{#N/A,#N/A,FALSE,"98소지이동TOTvs99.1 (2)";#N/A,#N/A,FALSE,"TOTAL";#N/A,#N/A,FALSE,"98소지이동TOTvs99.1(b) (2)"}</definedName>
    <definedName name="_bb7" hidden="1">{#N/A,#N/A,FALSE,"98소지이동TOTvs99.1 (2)";#N/A,#N/A,FALSE,"TOTAL";#N/A,#N/A,FALSE,"98소지이동TOTvs99.1(b) (2)"}</definedName>
    <definedName name="_bb8" hidden="1">{#N/A,#N/A,FALSE,"군산원가";#N/A,#N/A,FALSE,"팀별월별";#N/A,#N/A,FALSE,"타공정대체";#N/A,#N/A,FALSE,"기타경비";#N/A,#N/A,FALSE,"원료";#N/A,#N/A,FALSE,"연료"}</definedName>
    <definedName name="_bb9" hidden="1">{#N/A,#N/A,FALSE,"군산원가";#N/A,#N/A,FALSE,"팀별월별";#N/A,#N/A,FALSE,"타공정대체";#N/A,#N/A,FALSE,"기타경비";#N/A,#N/A,FALSE,"원료";#N/A,#N/A,FALSE,"연료"}</definedName>
    <definedName name="_cc1" hidden="1">{#N/A,#N/A,FALSE,"군산원가";#N/A,#N/A,FALSE,"팀별월별";#N/A,#N/A,FALSE,"타공정대체";#N/A,#N/A,FALSE,"기타경비";#N/A,#N/A,FALSE,"원료";#N/A,#N/A,FALSE,"연료"}</definedName>
    <definedName name="_cc2" hidden="1">{#N/A,#N/A,FALSE,"군산원가";#N/A,#N/A,FALSE,"팀별월별";#N/A,#N/A,FALSE,"타공정대체";#N/A,#N/A,FALSE,"기타경비";#N/A,#N/A,FALSE,"원료";#N/A,#N/A,FALSE,"연료"}</definedName>
    <definedName name="_cc3" hidden="1">{#N/A,#N/A,FALSE,"Yield";#N/A,#N/A,FALSE,"Loss1";#N/A,#N/A,FALSE,"Loss2";#N/A,#N/A,FALSE,"Hour-Labor(배분)";#N/A,#N/A,FALSE,"Capital Expenditure";#N/A,#N/A,FALSE,"Productivity"}</definedName>
    <definedName name="_cc4" hidden="1">{#N/A,#N/A,FALSE,"98소지이동TOTvs99.1 (2)";#N/A,#N/A,FALSE,"TOTAL";#N/A,#N/A,FALSE,"98소지이동TOTvs99.1(b) (2)"}</definedName>
    <definedName name="_cc5" hidden="1">{#N/A,#N/A,FALSE,"98소지이동TOTvs99.1 (2)";#N/A,#N/A,FALSE,"TOTAL";#N/A,#N/A,FALSE,"98소지이동TOTvs99.1(b) (2)"}</definedName>
    <definedName name="_cc6" hidden="1">{#N/A,#N/A,FALSE,"Yield";#N/A,#N/A,FALSE,"Loss1";#N/A,#N/A,FALSE,"Loss2";#N/A,#N/A,FALSE,"Hour-Labor(배분)";#N/A,#N/A,FALSE,"Capital Expenditure";#N/A,#N/A,FALSE,"Productivity"}</definedName>
    <definedName name="_cc7" hidden="1">{#N/A,#N/A,FALSE,"Yield";#N/A,#N/A,FALSE,"Loss1";#N/A,#N/A,FALSE,"Loss2";#N/A,#N/A,FALSE,"Hour-Labor(배분)";#N/A,#N/A,FALSE,"Capital Expenditure";#N/A,#N/A,FALSE,"Productivity"}</definedName>
    <definedName name="_cc8" hidden="1">{#N/A,#N/A,FALSE,"Yield";#N/A,#N/A,FALSE,"Loss1";#N/A,#N/A,FALSE,"Loss2";#N/A,#N/A,FALSE,"Hour-Labor(배분)";#N/A,#N/A,FALSE,"Capital Expenditure";#N/A,#N/A,FALSE,"Productivity"}</definedName>
    <definedName name="_cc9" hidden="1">{#N/A,#N/A,FALSE,"98소지이동TOTvs99.1 (2)";#N/A,#N/A,FALSE,"TOTAL";#N/A,#N/A,FALSE,"98소지이동TOTvs99.1(b) (2)"}</definedName>
    <definedName name="_Dist_Bin" localSheetId="44" hidden="1">#REF!</definedName>
    <definedName name="_Dist_Bin" hidden="1">#REF!</definedName>
    <definedName name="_Dist_Values" localSheetId="44" hidden="1">#REF!</definedName>
    <definedName name="_Dist_Values" hidden="1">#REF!</definedName>
    <definedName name="_Fill" localSheetId="44" hidden="1">#REF!</definedName>
    <definedName name="_Fill" hidden="1">#REF!</definedName>
    <definedName name="_xlnm._FilterDatabase" localSheetId="29" hidden="1">'15'!$D$28:$M$38</definedName>
    <definedName name="_xlnm._FilterDatabase" localSheetId="44" hidden="1">#REF!</definedName>
    <definedName name="_xlnm._FilterDatabase" localSheetId="47" hidden="1">'33'!$B$121:$K$121</definedName>
    <definedName name="_xlnm._FilterDatabase" localSheetId="8" hidden="1">CE!$B$3:$H$20</definedName>
    <definedName name="_xlnm._FilterDatabase" localSheetId="1" hidden="1">Dart_BS!#REF!</definedName>
    <definedName name="_xlnm._FilterDatabase" localSheetId="2" hidden="1">Dart_PL!#REF!</definedName>
    <definedName name="_xlnm._FilterDatabase" localSheetId="3" hidden="1">정산표!$D$4:$H$104</definedName>
    <definedName name="_xlnm._FilterDatabase" hidden="1">#REF!</definedName>
    <definedName name="_jh1" hidden="1">{#N/A,#N/A,FALSE,"Yield";#N/A,#N/A,FALSE,"Loss1";#N/A,#N/A,FALSE,"Loss2";#N/A,#N/A,FALSE,"Hour-Labor(배분)";#N/A,#N/A,FALSE,"Capital Expenditure";#N/A,#N/A,FALSE,"Productivity"}</definedName>
    <definedName name="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4" hidden="1">{#N/A,#N/A,FALSE,"Yield";#N/A,#N/A,FALSE,"Loss1";#N/A,#N/A,FALSE,"Loss2";#N/A,#N/A,FALSE,"Hour-Labor(배분)";#N/A,#N/A,FALSE,"Capital Expenditure";#N/A,#N/A,FALSE,"Productivity"}</definedName>
    <definedName name="_jh5" hidden="1">{#N/A,#N/A,FALSE,"98소지이동TOTvs99.1 (2)";#N/A,#N/A,FALSE,"TOTAL";#N/A,#N/A,FALSE,"98소지이동TOTvs99.1(b) (2)"}</definedName>
    <definedName name="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2" hidden="1">{#N/A,#N/A,FALSE,"Yield";#N/A,#N/A,FALSE,"Loss1";#N/A,#N/A,FALSE,"Loss2";#N/A,#N/A,FALSE,"Hour-Labor(배분)";#N/A,#N/A,FALSE,"Capital Expenditure";#N/A,#N/A,FALSE,"Productivity"}</definedName>
    <definedName name="_jj3" hidden="1">{#N/A,#N/A,FALSE,"군산원가";#N/A,#N/A,FALSE,"팀별월별";#N/A,#N/A,FALSE,"타공정대체";#N/A,#N/A,FALSE,"기타경비";#N/A,#N/A,FALSE,"원료";#N/A,#N/A,FALSE,"연료"}</definedName>
    <definedName name="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6" hidden="1">{#N/A,#N/A,FALSE,"Yield";#N/A,#N/A,FALSE,"Loss1";#N/A,#N/A,FALSE,"Loss2";#N/A,#N/A,FALSE,"Hour-Labor(배분)";#N/A,#N/A,FALSE,"Capital Expenditure";#N/A,#N/A,FALSE,"Productivity"}</definedName>
    <definedName name="_jj7" hidden="1">{#N/A,#N/A,FALSE,"98소지이동TOTvs99.1 (2)";#N/A,#N/A,FALSE,"TOTAL";#N/A,#N/A,FALSE,"98소지이동TOTvs99.1(b) (2)"}</definedName>
    <definedName name="_Key1" localSheetId="44" hidden="1">#REF!</definedName>
    <definedName name="_Key1" hidden="1">#REF!</definedName>
    <definedName name="_Key2" localSheetId="44" hidden="1">#REF!</definedName>
    <definedName name="_Key2" hidden="1">#REF!</definedName>
    <definedName name="_kl505" hidden="1">{#N/A,#N/A,FALSE,"군산원가";#N/A,#N/A,FALSE,"팀별월별";#N/A,#N/A,FALSE,"타공정대체";#N/A,#N/A,FALSE,"기타경비";#N/A,#N/A,FALSE,"원료";#N/A,#N/A,FALSE,"연료"}</definedName>
    <definedName name="_KTM10" hidden="1">{#N/A,#N/A,FALSE,"현장 NCR 분석";#N/A,#N/A,FALSE,"현장품질감사";#N/A,#N/A,FALSE,"현장품질감사"}</definedName>
    <definedName name="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2" hidden="1">{#N/A,#N/A,FALSE,"98소지이동TOTvs99.1 (2)";#N/A,#N/A,FALSE,"TOTAL";#N/A,#N/A,FALSE,"98소지이동TOTvs99.1(b) (2)"}</definedName>
    <definedName name="_ll3" hidden="1">{#N/A,#N/A,FALSE,"98소지이동TOTvs99.1 (2)";#N/A,#N/A,FALSE,"TOTAL";#N/A,#N/A,FALSE,"98소지이동TOTvs99.1(b) (2)"}</definedName>
    <definedName name="_ll4" hidden="1">{#N/A,#N/A,FALSE,"군산원가";#N/A,#N/A,FALSE,"팀별월별";#N/A,#N/A,FALSE,"타공정대체";#N/A,#N/A,FALSE,"기타경비";#N/A,#N/A,FALSE,"원료";#N/A,#N/A,FALSE,"연료"}</definedName>
    <definedName name="_ll5" hidden="1">{#N/A,#N/A,FALSE,"군산원가";#N/A,#N/A,FALSE,"팀별월별";#N/A,#N/A,FALSE,"타공정대체";#N/A,#N/A,FALSE,"기타경비";#N/A,#N/A,FALSE,"원료";#N/A,#N/A,FALSE,"연료"}</definedName>
    <definedName name="_ll6" hidden="1">{#N/A,#N/A,FALSE,"98소지이동TOTvs99.1 (2)";#N/A,#N/A,FALSE,"TOTAL";#N/A,#N/A,FALSE,"98소지이동TOTvs99.1(b) (2)"}</definedName>
    <definedName name="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9" hidden="1">{#N/A,#N/A,FALSE,"Yield";#N/A,#N/A,FALSE,"Loss1";#N/A,#N/A,FALSE,"Loss2";#N/A,#N/A,FALSE,"Hour-Labor(배분)";#N/A,#N/A,FALSE,"Capital Expenditure";#N/A,#N/A,FALSE,"Productivity"}</definedName>
    <definedName name="_MatInverse_In" localSheetId="44" hidden="1">#REF!</definedName>
    <definedName name="_MatInverse_In" hidden="1">#REF!</definedName>
    <definedName name="_MatInverse_Out" localSheetId="44" hidden="1">#REF!</definedName>
    <definedName name="_MatInverse_Out" hidden="1">#REF!</definedName>
    <definedName name="_MatMult_B" localSheetId="44" hidden="1">#REF!</definedName>
    <definedName name="_MatMult_B" hidden="1">#REF!</definedName>
    <definedName name="_ML6" hidden="1">{#N/A,#N/A,FALSE,"98소지이동TOTvs99.1 (2)";#N/A,#N/A,FALSE,"TOTAL";#N/A,#N/A,FALSE,"98소지이동TOTvs99.1(b) (2)"}</definedName>
    <definedName name="_mm1" hidden="1">{#N/A,#N/A,FALSE,"98소지이동TOTvs99.1 (2)";#N/A,#N/A,FALSE,"TOTAL";#N/A,#N/A,FALSE,"98소지이동TOTvs99.1(b) (2)"}</definedName>
    <definedName name="_mm2" hidden="1">{#N/A,#N/A,FALSE,"98소지이동TOTvs99.1 (2)";#N/A,#N/A,FALSE,"TOTAL";#N/A,#N/A,FALSE,"98소지이동TOTvs99.1(b) (2)"}</definedName>
    <definedName name="_mm3" hidden="1">{#N/A,#N/A,FALSE,"군산원가";#N/A,#N/A,FALSE,"팀별월별";#N/A,#N/A,FALSE,"타공정대체";#N/A,#N/A,FALSE,"기타경비";#N/A,#N/A,FALSE,"원료";#N/A,#N/A,FALSE,"연료"}</definedName>
    <definedName name="_mm4" hidden="1">{#N/A,#N/A,FALSE,"군산원가";#N/A,#N/A,FALSE,"팀별월별";#N/A,#N/A,FALSE,"타공정대체";#N/A,#N/A,FALSE,"기타경비";#N/A,#N/A,FALSE,"원료";#N/A,#N/A,FALSE,"연료"}</definedName>
    <definedName name="_mm5" hidden="1">{#N/A,#N/A,FALSE,"98소지이동TOTvs99.1 (2)";#N/A,#N/A,FALSE,"TOTAL";#N/A,#N/A,FALSE,"98소지이동TOTvs99.1(b) (2)"}</definedName>
    <definedName name="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8" hidden="1">{#N/A,#N/A,FALSE,"Yield";#N/A,#N/A,FALSE,"Loss1";#N/A,#N/A,FALSE,"Loss2";#N/A,#N/A,FALSE,"Hour-Labor(배분)";#N/A,#N/A,FALSE,"Capital Expenditure";#N/A,#N/A,FALSE,"Productivity"}</definedName>
    <definedName name="_mm9" hidden="1">{#N/A,#N/A,FALSE,"98소지이동TOTvs99.1 (2)";#N/A,#N/A,FALSE,"TOTAL";#N/A,#N/A,FALSE,"98소지이동TOTvs99.1(b) (2)"}</definedName>
    <definedName name="_Order1" hidden="1">255</definedName>
    <definedName name="_Order2" hidden="1">255</definedName>
    <definedName name="_Parse_In" localSheetId="44" hidden="1">#REF!</definedName>
    <definedName name="_Parse_In" hidden="1">#REF!</definedName>
    <definedName name="_Parse_Out" localSheetId="44" hidden="1">#REF!</definedName>
    <definedName name="_Parse_Out" hidden="1">#REF!</definedName>
    <definedName name="_PF1" hidden="1">{#N/A,#N/A,FALSE,"군산원가";#N/A,#N/A,FALSE,"팀별월별";#N/A,#N/A,FALSE,"타공정대체";#N/A,#N/A,FALSE,"기타경비";#N/A,#N/A,FALSE,"원료";#N/A,#N/A,FALSE,"연료"}</definedName>
    <definedName name="_Regression_Int" hidden="1">1</definedName>
    <definedName name="_RR1" hidden="1">{#N/A,#N/A,FALSE,"98소지이동TOTvs99.1 (2)";#N/A,#N/A,FALSE,"TOTAL";#N/A,#N/A,FALSE,"98소지이동TOTvs99.1(b) (2)"}</definedName>
    <definedName name="_RR2" hidden="1">{#N/A,#N/A,FALSE,"군산원가";#N/A,#N/A,FALSE,"팀별월별";#N/A,#N/A,FALSE,"타공정대체";#N/A,#N/A,FALSE,"기타경비";#N/A,#N/A,FALSE,"원료";#N/A,#N/A,FALSE,"연료"}</definedName>
    <definedName name="_RR3" hidden="1">{#N/A,#N/A,FALSE,"군산원가";#N/A,#N/A,FALSE,"팀별월별";#N/A,#N/A,FALSE,"타공정대체";#N/A,#N/A,FALSE,"기타경비";#N/A,#N/A,FALSE,"원료";#N/A,#N/A,FALSE,"연료"}</definedName>
    <definedName name="_RR4" hidden="1">{#N/A,#N/A,FALSE,"98소지이동TOTvs99.1 (2)";#N/A,#N/A,FALSE,"TOTAL";#N/A,#N/A,FALSE,"98소지이동TOTvs99.1(b) (2)"}</definedName>
    <definedName name="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7" hidden="1">{#N/A,#N/A,FALSE,"Yield";#N/A,#N/A,FALSE,"Loss1";#N/A,#N/A,FALSE,"Loss2";#N/A,#N/A,FALSE,"Hour-Labor(배분)";#N/A,#N/A,FALSE,"Capital Expenditure";#N/A,#N/A,FALSE,"Productivity"}</definedName>
    <definedName name="_RR8" hidden="1">{#N/A,#N/A,FALSE,"98소지이동TOTvs99.1 (2)";#N/A,#N/A,FALSE,"TOTAL";#N/A,#N/A,FALSE,"98소지이동TOTvs99.1(b) (2)"}</definedName>
    <definedName name="_Sort" localSheetId="44" hidden="1">#REF!</definedName>
    <definedName name="_Sort" hidden="1">#REF!</definedName>
    <definedName name="_SS1" hidden="1">{#N/A,#N/A,FALSE,"98소지이동TOTvs99.1 (2)";#N/A,#N/A,FALSE,"TOTAL";#N/A,#N/A,FALSE,"98소지이동TOTvs99.1(b) (2)"}</definedName>
    <definedName name="_SS10" hidden="1">{#N/A,#N/A,FALSE,"군산원가";#N/A,#N/A,FALSE,"팀별월별";#N/A,#N/A,FALSE,"타공정대체";#N/A,#N/A,FALSE,"기타경비";#N/A,#N/A,FALSE,"원료";#N/A,#N/A,FALSE,"연료"}</definedName>
    <definedName name="_SS11" hidden="1">{#N/A,#N/A,FALSE,"98소지이동TOTvs99.1 (2)";#N/A,#N/A,FALSE,"TOTAL";#N/A,#N/A,FALSE,"98소지이동TOTvs99.1(b) (2)"}</definedName>
    <definedName name="_SS12" hidden="1">{#N/A,#N/A,FALSE,"98소지이동TOTvs99.1 (2)";#N/A,#N/A,FALSE,"TOTAL";#N/A,#N/A,FALSE,"98소지이동TOTvs99.1(b) (2)"}</definedName>
    <definedName name="_SS13" hidden="1">{#N/A,#N/A,FALSE,"98소지이동TOTvs99.1 (2)";#N/A,#N/A,FALSE,"TOTAL";#N/A,#N/A,FALSE,"98소지이동TOTvs99.1(b) (2)"}</definedName>
    <definedName name="_SS14" hidden="1">{#N/A,#N/A,FALSE,"98소지이동TOTvs99.1 (2)";#N/A,#N/A,FALSE,"TOTAL";#N/A,#N/A,FALSE,"98소지이동TOTvs99.1(b) (2)"}</definedName>
    <definedName name="_SS15" hidden="1">{#N/A,#N/A,FALSE,"군산원가";#N/A,#N/A,FALSE,"팀별월별";#N/A,#N/A,FALSE,"타공정대체";#N/A,#N/A,FALSE,"기타경비";#N/A,#N/A,FALSE,"원료";#N/A,#N/A,FALSE,"연료"}</definedName>
    <definedName name="_SS16" hidden="1">{#N/A,#N/A,FALSE,"군산원가";#N/A,#N/A,FALSE,"팀별월별";#N/A,#N/A,FALSE,"타공정대체";#N/A,#N/A,FALSE,"기타경비";#N/A,#N/A,FALSE,"원료";#N/A,#N/A,FALSE,"연료"}</definedName>
    <definedName name="_SS17" hidden="1">{#N/A,#N/A,FALSE,"군산원가";#N/A,#N/A,FALSE,"팀별월별";#N/A,#N/A,FALSE,"타공정대체";#N/A,#N/A,FALSE,"기타경비";#N/A,#N/A,FALSE,"원료";#N/A,#N/A,FALSE,"연료"}</definedName>
    <definedName name="_SS18" hidden="1">{#N/A,#N/A,FALSE,"군산원가";#N/A,#N/A,FALSE,"팀별월별";#N/A,#N/A,FALSE,"타공정대체";#N/A,#N/A,FALSE,"기타경비";#N/A,#N/A,FALSE,"원료";#N/A,#N/A,FALSE,"연료"}</definedName>
    <definedName name="_SS19" hidden="1">{#N/A,#N/A,FALSE,"Yield";#N/A,#N/A,FALSE,"Loss1";#N/A,#N/A,FALSE,"Loss2";#N/A,#N/A,FALSE,"Hour-Labor(배분)";#N/A,#N/A,FALSE,"Capital Expenditure";#N/A,#N/A,FALSE,"Productivity"}</definedName>
    <definedName name="_SS2" hidden="1">{#N/A,#N/A,FALSE,"98소지이동TOTvs99.1 (2)";#N/A,#N/A,FALSE,"TOTAL";#N/A,#N/A,FALSE,"98소지이동TOTvs99.1(b) (2)"}</definedName>
    <definedName name="_SS20" hidden="1">{#N/A,#N/A,FALSE,"98소지이동TOTvs99.1 (2)";#N/A,#N/A,FALSE,"TOTAL";#N/A,#N/A,FALSE,"98소지이동TOTvs99.1(b) (2)"}</definedName>
    <definedName name="_SS21" hidden="1">{#N/A,#N/A,FALSE,"98소지이동TOTvs99.1 (2)";#N/A,#N/A,FALSE,"TOTAL";#N/A,#N/A,FALSE,"98소지이동TOTvs99.1(b) (2)"}</definedName>
    <definedName name="_SS22" hidden="1">{#N/A,#N/A,FALSE,"Yield";#N/A,#N/A,FALSE,"Loss1";#N/A,#N/A,FALSE,"Loss2";#N/A,#N/A,FALSE,"Hour-Labor(배분)";#N/A,#N/A,FALSE,"Capital Expenditure";#N/A,#N/A,FALSE,"Productivity"}</definedName>
    <definedName name="_SS23" hidden="1">{#N/A,#N/A,FALSE,"Yield";#N/A,#N/A,FALSE,"Loss1";#N/A,#N/A,FALSE,"Loss2";#N/A,#N/A,FALSE,"Hour-Labor(배분)";#N/A,#N/A,FALSE,"Capital Expenditure";#N/A,#N/A,FALSE,"Productivity"}</definedName>
    <definedName name="_SS24" hidden="1">{#N/A,#N/A,FALSE,"Yield";#N/A,#N/A,FALSE,"Loss1";#N/A,#N/A,FALSE,"Loss2";#N/A,#N/A,FALSE,"Hour-Labor(배분)";#N/A,#N/A,FALSE,"Capital Expenditure";#N/A,#N/A,FALSE,"Productivity"}</definedName>
    <definedName name="_SS25" hidden="1">{#N/A,#N/A,FALSE,"98소지이동TOTvs99.1 (2)";#N/A,#N/A,FALSE,"TOTAL";#N/A,#N/A,FALSE,"98소지이동TOTvs99.1(b) (2)"}</definedName>
    <definedName name="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7" hidden="1">{#N/A,#N/A,FALSE,"Yield";#N/A,#N/A,FALSE,"Loss1";#N/A,#N/A,FALSE,"Loss2";#N/A,#N/A,FALSE,"Hour-Labor(배분)";#N/A,#N/A,FALSE,"Capital Expenditure";#N/A,#N/A,FALSE,"Productivity"}</definedName>
    <definedName name="_SS28" hidden="1">{#N/A,#N/A,FALSE,"군산원가";#N/A,#N/A,FALSE,"팀별월별";#N/A,#N/A,FALSE,"타공정대체";#N/A,#N/A,FALSE,"기타경비";#N/A,#N/A,FALSE,"원료";#N/A,#N/A,FALSE,"연료"}</definedName>
    <definedName name="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3" hidden="1">{#N/A,#N/A,FALSE,"군산원가";#N/A,#N/A,FALSE,"팀별월별";#N/A,#N/A,FALSE,"타공정대체";#N/A,#N/A,FALSE,"기타경비";#N/A,#N/A,FALSE,"원료";#N/A,#N/A,FALSE,"연료"}</definedName>
    <definedName name="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1" hidden="1">{#N/A,#N/A,FALSE,"Yield";#N/A,#N/A,FALSE,"Loss1";#N/A,#N/A,FALSE,"Loss2";#N/A,#N/A,FALSE,"Hour-Labor(배분)";#N/A,#N/A,FALSE,"Capital Expenditure";#N/A,#N/A,FALSE,"Productivity"}</definedName>
    <definedName name="_SS32" hidden="1">{#N/A,#N/A,FALSE,"98소지이동TOTvs99.1 (2)";#N/A,#N/A,FALSE,"TOTAL";#N/A,#N/A,FALSE,"98소지이동TOTvs99.1(b) (2)"}</definedName>
    <definedName name="_SS4" hidden="1">{#N/A,#N/A,FALSE,"군산원가";#N/A,#N/A,FALSE,"팀별월별";#N/A,#N/A,FALSE,"타공정대체";#N/A,#N/A,FALSE,"기타경비";#N/A,#N/A,FALSE,"원료";#N/A,#N/A,FALSE,"연료"}</definedName>
    <definedName name="_SS5" hidden="1">{#N/A,#N/A,FALSE,"98소지이동TOTvs99.1 (2)";#N/A,#N/A,FALSE,"TOTAL";#N/A,#N/A,FALSE,"98소지이동TOTvs99.1(b) (2)"}</definedName>
    <definedName name="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8" hidden="1">{#N/A,#N/A,FALSE,"98소지이동TOTvs99.1 (2)";#N/A,#N/A,FALSE,"TOTAL";#N/A,#N/A,FALSE,"98소지이동TOTvs99.1(b) (2)"}</definedName>
    <definedName name="_SS9" hidden="1">{#N/A,#N/A,FALSE,"98소지이동TOTvs99.1 (2)";#N/A,#N/A,FALSE,"TOTAL";#N/A,#N/A,FALSE,"98소지이동TOTvs99.1(b) (2)"}</definedName>
    <definedName name="_Table1_In1" localSheetId="44" hidden="1">#REF!</definedName>
    <definedName name="_Table1_In1" hidden="1">#REF!</definedName>
    <definedName name="_Table1_Out" localSheetId="44" hidden="1">#REF!</definedName>
    <definedName name="_Table1_Out" hidden="1">#REF!</definedName>
    <definedName name="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XX1" hidden="1">{#N/A,#N/A,FALSE,"98소지이동TOTvs99.1 (2)";#N/A,#N/A,FALSE,"TOTAL";#N/A,#N/A,FALSE,"98소지이동TOTvs99.1(b) (2)"}</definedName>
    <definedName name="_XX10" hidden="1">{#N/A,#N/A,FALSE,"Yield";#N/A,#N/A,FALSE,"Loss1";#N/A,#N/A,FALSE,"Loss2";#N/A,#N/A,FALSE,"Hour-Labor(배분)";#N/A,#N/A,FALSE,"Capital Expenditure";#N/A,#N/A,FALSE,"Productivity"}</definedName>
    <definedName name="_XX2" hidden="1">{#N/A,#N/A,FALSE,"98소지이동TOTvs99.1 (2)";#N/A,#N/A,FALSE,"TOTAL";#N/A,#N/A,FALSE,"98소지이동TOTvs99.1(b) (2)"}</definedName>
    <definedName name="_XX3" hidden="1">{#N/A,#N/A,FALSE,"98소지이동TOTvs99.1 (2)";#N/A,#N/A,FALSE,"TOTAL";#N/A,#N/A,FALSE,"98소지이동TOTvs99.1(b) (2)"}</definedName>
    <definedName name="_XX4" hidden="1">{#N/A,#N/A,FALSE,"군산원가";#N/A,#N/A,FALSE,"팀별월별";#N/A,#N/A,FALSE,"타공정대체";#N/A,#N/A,FALSE,"기타경비";#N/A,#N/A,FALSE,"원료";#N/A,#N/A,FALSE,"연료"}</definedName>
    <definedName name="_XX5" hidden="1">{#N/A,#N/A,FALSE,"군산원가";#N/A,#N/A,FALSE,"팀별월별";#N/A,#N/A,FALSE,"타공정대체";#N/A,#N/A,FALSE,"기타경비";#N/A,#N/A,FALSE,"원료";#N/A,#N/A,FALSE,"연료"}</definedName>
    <definedName name="_XX6" hidden="1">{#N/A,#N/A,FALSE,"Yield";#N/A,#N/A,FALSE,"Loss1";#N/A,#N/A,FALSE,"Loss2";#N/A,#N/A,FALSE,"Hour-Labor(배분)";#N/A,#N/A,FALSE,"Capital Expenditure";#N/A,#N/A,FALSE,"Productivity"}</definedName>
    <definedName name="_XX7" hidden="1">{#N/A,#N/A,FALSE,"98소지이동TOTvs99.1 (2)";#N/A,#N/A,FALSE,"TOTAL";#N/A,#N/A,FALSE,"98소지이동TOTvs99.1(b) (2)"}</definedName>
    <definedName name="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ZZ1" hidden="1">{#N/A,#N/A,FALSE,"98소지이동TOTvs99.1 (2)";#N/A,#N/A,FALSE,"TOTAL";#N/A,#N/A,FALSE,"98소지이동TOTvs99.1(b) (2)"}</definedName>
    <definedName name="Ⅱ" hidden="1">{#N/A,#N/A,FALSE,"정공"}</definedName>
    <definedName name="aa"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AA" hidden="1">{#N/A,#N/A,FALSE,"손익표지";#N/A,#N/A,FALSE,"손익계산";#N/A,#N/A,FALSE,"일반관리비";#N/A,#N/A,FALSE,"영업외수익";#N/A,#N/A,FALSE,"영업외비용";#N/A,#N/A,FALSE,"매출액";#N/A,#N/A,FALSE,"요약손익";#N/A,#N/A,FALSE,"요약대차";#N/A,#N/A,FALSE,"매출채권현황";#N/A,#N/A,FALSE,"매출채권명세"}</definedName>
    <definedName name="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S" hidden="1">{#N/A,#N/A,FALSE,"정공"}</definedName>
    <definedName name="ABCDEF" hidden="1">{#N/A,#N/A,FALSE,"정공"}</definedName>
    <definedName name="ABCD관리" hidden="1">{#N/A,#N/A,FALSE,"정공"}</definedName>
    <definedName name="Access_Button" hidden="1">"일일bts납품현황_및_계획_OneShot__Sheet2_List"</definedName>
    <definedName name="AccessDatabase" hidden="1">"D:\피엠\BTS납품\일일bts납품현황 및 계획(OneShot).mdb"</definedName>
    <definedName name="adc" hidden="1">{#N/A,#N/A,FALSE,"계약직(여)"}</definedName>
    <definedName name="adef" hidden="1">{#N/A,#N/A,FALSE,"정공"}</definedName>
    <definedName name="adw"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nscount" hidden="1">1</definedName>
    <definedName name="AOCNFTHSDLR" hidden="1">{#N/A,#N/A,FALSE,"정공"}</definedName>
    <definedName name="AS2DocOpenMode" hidden="1">"AS2DocumentEdit"</definedName>
    <definedName name="AS2ReportLS" hidden="1">1</definedName>
    <definedName name="AS2SyncStepLS" hidden="1">0</definedName>
    <definedName name="AS2TickmarkLS" localSheetId="44" hidden="1">#REF!</definedName>
    <definedName name="AS2TickmarkLS" hidden="1">#REF!</definedName>
    <definedName name="AS2VersionLS" hidden="1">300</definedName>
    <definedName name="asd" hidden="1">{"FORM17",#N/A,FALSE,"Commission1";"FORM17.1",#N/A,FALSE,"Commission2"}</definedName>
    <definedName name="asdf" hidden="1">{#N/A,#N/A,FALSE,"정공"}</definedName>
    <definedName name="asdwdwdqw" hidden="1">{#N/A,#N/A,FALSE,"Yield";#N/A,#N/A,FALSE,"Loss1";#N/A,#N/A,FALSE,"Loss2";#N/A,#N/A,FALSE,"Hour-Labor(배분)";#N/A,#N/A,FALSE,"Capital Expenditure";#N/A,#N/A,FALSE,"Productivity"}</definedName>
    <definedName name="asfsd" hidden="1">{"FORM17",#N/A,FALSE,"Commission1";"FORM17.1",#N/A,FALSE,"Commission2"}</definedName>
    <definedName name="Asset9808CAK" localSheetId="44" hidden="1">#REF!</definedName>
    <definedName name="Asset9808CAK" hidden="1">#REF!</definedName>
    <definedName name="Assets9808CAK" localSheetId="44" hidden="1">#REF!</definedName>
    <definedName name="Assets9808CAK" hidden="1">#REF!</definedName>
    <definedName name="axcdf" hidden="1">{#N/A,#N/A,FALSE,"정공"}</definedName>
    <definedName name="B2BS" hidden="1">{"mult96",#N/A,FALSE,"PETCOMP";"est96",#N/A,FALSE,"PETCOMP";"mult95",#N/A,FALSE,"PETCOMP";"est95",#N/A,FALSE,"PETCOMP";"multltm",#N/A,FALSE,"PETCOMP";"resultltm",#N/A,FALSE,"PETCOMP"}</definedName>
    <definedName name="B2IS" hidden="1">{"DCF","UPSIDE CASE",FALSE,"Sheet1";"DCF","BASE CASE",FALSE,"Sheet1";"DCF","DOWNSIDE CASE",FALSE,"Sheet1"}</definedName>
    <definedName name="B3PL" hidden="1">{"DCF","UPSIDE CASE",FALSE,"Sheet1";"DCF","BASE CASE",FALSE,"Sheet1";"DCF","DOWNSIDE CASE",FALSE,"Sheet1"}</definedName>
    <definedName name="B4BS" hidden="1">{"adj95mult",#N/A,FALSE,"COMPCO";"adj95est",#N/A,FALSE,"COMPCO"}</definedName>
    <definedName name="B4IS" hidden="1">{"adj95mult",#N/A,FALSE,"COMPCO";"adj95est",#N/A,FALSE,"COMPCO"}</definedName>
    <definedName name="B5BS" hidden="1">{"EVA",#N/A,FALSE,"EVA";"WACC",#N/A,FALSE,"WACC"}</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G_Del" hidden="1">15</definedName>
    <definedName name="BG_Ins" hidden="1">4</definedName>
    <definedName name="BG_Mod" hidden="1">6</definedName>
    <definedName name="bhbcd" hidden="1">{#N/A,#N/A,FALSE,"98소지이동TOTvs99.1 (2)";#N/A,#N/A,FALSE,"TOTAL";#N/A,#N/A,FALSE,"98소지이동TOTvs99.1(b) (2)"}</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S" hidden="1">{#N/A,#N/A,TRUE,"COFTOT"}</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차이내역" hidden="1">{#N/A,#N/A,FALSE,"정공"}</definedName>
    <definedName name="bv" hidden="1">{#N/A,#N/A,FALSE,"1.CRITERIA";#N/A,#N/A,FALSE,"2.IS";#N/A,#N/A,FALSE,"3.BS";#N/A,#N/A,FALSE,"4.PER PL";#N/A,#N/A,FALSE,"5.INVESTMENT";#N/A,#N/A,FALSE,"6.공문";#N/A,#N/A,FALSE,"7.netinvest"}</definedName>
    <definedName name="cbs" localSheetId="44" hidden="1">#REF!</definedName>
    <definedName name="cbs" hidden="1">#REF!</definedName>
    <definedName name="CCASH"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C"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F02기초" hidden="1">{#N/A,#N/A,TRUE,"Summary";#N/A,#N/A,TRUE,"IS";#N/A,#N/A,TRUE,"Adj";#N/A,#N/A,TRUE,"BS";#N/A,#N/A,TRUE,"CF";#N/A,#N/A,TRUE,"Debt";#N/A,#N/A,TRUE,"IRR"}</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i" hidden="1">{#N/A,#N/A,FALSE,"손익표지";#N/A,#N/A,FALSE,"손익계산";#N/A,#N/A,FALSE,"일반관리비";#N/A,#N/A,FALSE,"영업외수익";#N/A,#N/A,FALSE,"영업외비용";#N/A,#N/A,FALSE,"매출액";#N/A,#N/A,FALSE,"요약손익";#N/A,#N/A,FALSE,"요약대차";#N/A,#N/A,FALSE,"매출채권현황";#N/A,#N/A,FALSE,"매출채권명세"}</definedName>
    <definedName name="ck" hidden="1">{"'분양원가'!$B$1:$F$113"}</definedName>
    <definedName name="CLAIM" hidden="1">{#N/A,#N/A,FALSE,"98소지이동TOTvs99.1 (2)";#N/A,#N/A,FALSE,"TOTAL";#N/A,#N/A,FALSE,"98소지이동TOTvs99.1(b) (2)"}</definedName>
    <definedName name="CLAIM2" hidden="1">{#N/A,#N/A,FALSE,"98소지이동TOTvs99.1 (2)";#N/A,#N/A,FALSE,"TOTAL";#N/A,#N/A,FALSE,"98소지이동TOTvs99.1(b) (2)"}</definedName>
    <definedName name="cvj" hidden="1">{#N/A,#N/A,FALSE,"KMC최종회의(7월) 자료"}</definedName>
    <definedName name="D" hidden="1">{#N/A,#N/A,FALSE,"Yield";#N/A,#N/A,FALSE,"Loss1";#N/A,#N/A,FALSE,"Loss2";#N/A,#N/A,FALSE,"Hour-Labor(배분)";#N/A,#N/A,FALSE,"Capital Expenditure";#N/A,#N/A,FALSE,"Productivity"}</definedName>
    <definedName name="D3BS" hidden="1">{"adj95mult",#N/A,FALSE,"COMPCO";"adj95est",#N/A,FALSE,"COMPCO"}</definedName>
    <definedName name="D3IS" hidden="1">{"adj95mult",#N/A,FALSE,"COMPCO";"adj95est",#N/A,FALSE,"COMPCO"}</definedName>
    <definedName name="DDC부문" hidden="1">{#N/A,#N/A,FALSE,"계약직(여)"}</definedName>
    <definedName name="DDDDDD" hidden="1">{#N/A,#N/A,FALSE,"98소지이동TOTvs99.1 (2)";#N/A,#N/A,FALSE,"TOTAL";#N/A,#N/A,FALSE,"98소지이동TOTvs99.1(b) (2)"}</definedName>
    <definedName name="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 hidden="1">{#N/A,#N/A,FALSE,"군산원가";#N/A,#N/A,FALSE,"팀별월별";#N/A,#N/A,FALSE,"타공정대체";#N/A,#N/A,FALSE,"기타경비";#N/A,#N/A,FALSE,"원료";#N/A,#N/A,FALSE,"연료"}</definedName>
    <definedName name="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 hidden="1">{#N/A,#N/A,FALSE,"98소지이동TOTvs99.1 (2)";#N/A,#N/A,FALSE,"TOTAL";#N/A,#N/A,FALSE,"98소지이동TOTvs99.1(b) (2)"}</definedName>
    <definedName name="DDDDDDDDDDDD" hidden="1">{#N/A,#N/A,FALSE,"Yield";#N/A,#N/A,FALSE,"Loss1";#N/A,#N/A,FALSE,"Loss2";#N/A,#N/A,FALSE,"Hour-Labor(배분)";#N/A,#N/A,FALSE,"Capital Expenditure";#N/A,#N/A,FALSE,"Productivity"}</definedName>
    <definedName name="DDDDDDDDDDDDD" hidden="1">{#N/A,#N/A,FALSE,"98소지이동TOTvs99.1 (2)";#N/A,#N/A,FALSE,"TOTAL";#N/A,#N/A,FALSE,"98소지이동TOTvs99.1(b) (2)"}</definedName>
    <definedName name="DDDDDDDDDDDDDDD" hidden="1">{#N/A,#N/A,FALSE,"98소지이동TOTvs99.1 (2)";#N/A,#N/A,FALSE,"TOTAL";#N/A,#N/A,FALSE,"98소지이동TOTvs99.1(b) (2)"}</definedName>
    <definedName name="DDDDDDDDDDDDDDDD" hidden="1">{#N/A,#N/A,FALSE,"98소지이동TOTvs99.1 (2)";#N/A,#N/A,FALSE,"TOTAL";#N/A,#N/A,FALSE,"98소지이동TOTvs99.1(b) (2)"}</definedName>
    <definedName name="DDDDDDDDDDDDDDDDDDD" hidden="1">{#N/A,#N/A,FALSE,"98소지이동TOTvs99.1 (2)";#N/A,#N/A,FALSE,"TOTAL";#N/A,#N/A,FALSE,"98소지이동TOTvs99.1(b) (2)"}</definedName>
    <definedName name="DDDDDDDDDDDDDDDDDDDDD" hidden="1">{#N/A,#N/A,FALSE,"98소지이동TOTvs99.1 (2)";#N/A,#N/A,FALSE,"TOTAL";#N/A,#N/A,FALSE,"98소지이동TOTvs99.1(b) (2)"}</definedName>
    <definedName name="DDDDDDDDDDDDDDDDDDDDDD" hidden="1">{#N/A,#N/A,FALSE,"군산원가";#N/A,#N/A,FALSE,"팀별월별";#N/A,#N/A,FALSE,"타공정대체";#N/A,#N/A,FALSE,"기타경비";#N/A,#N/A,FALSE,"원료";#N/A,#N/A,FALSE,"연료"}</definedName>
    <definedName name="DDDDDDDDDDDDDDDDDDDDDDDD" hidden="1">{#N/A,#N/A,FALSE,"군산원가";#N/A,#N/A,FALSE,"팀별월별";#N/A,#N/A,FALSE,"타공정대체";#N/A,#N/A,FALSE,"기타경비";#N/A,#N/A,FALSE,"원료";#N/A,#N/A,FALSE,"연료"}</definedName>
    <definedName name="DDDDDDDDDDDDDDDDDDDDDDDDDD" hidden="1">{#N/A,#N/A,FALSE,"군산원가";#N/A,#N/A,FALSE,"팀별월별";#N/A,#N/A,FALSE,"타공정대체";#N/A,#N/A,FALSE,"기타경비";#N/A,#N/A,FALSE,"원료";#N/A,#N/A,FALSE,"연료"}</definedName>
    <definedName name="DDDDDDDDDDDDDDDDDDDDDDDDDDD" hidden="1">{#N/A,#N/A,FALSE,"군산원가";#N/A,#N/A,FALSE,"팀별월별";#N/A,#N/A,FALSE,"타공정대체";#N/A,#N/A,FALSE,"기타경비";#N/A,#N/A,FALSE,"원료";#N/A,#N/A,FALSE,"연료"}</definedName>
    <definedName name="DDDDDDDDDDDDDDDDDDDDDDDDDDDDD" hidden="1">{#N/A,#N/A,FALSE,"Yield";#N/A,#N/A,FALSE,"Loss1";#N/A,#N/A,FALSE,"Loss2";#N/A,#N/A,FALSE,"Hour-Labor(배분)";#N/A,#N/A,FALSE,"Capital Expenditure";#N/A,#N/A,FALSE,"Productivity"}</definedName>
    <definedName name="DDDDDDDDDDDDDDDDDDDDDDDDDDDDDDD" hidden="1">{#N/A,#N/A,FALSE,"98소지이동TOTvs99.1 (2)";#N/A,#N/A,FALSE,"TOTAL";#N/A,#N/A,FALSE,"98소지이동TOTvs99.1(b) (2)"}</definedName>
    <definedName name="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 hidden="1">{#N/A,#N/A,FALSE,"Yield";#N/A,#N/A,FALSE,"Loss1";#N/A,#N/A,FALSE,"Loss2";#N/A,#N/A,FALSE,"Hour-Labor(배분)";#N/A,#N/A,FALSE,"Capital Expenditure";#N/A,#N/A,FALSE,"Productivity"}</definedName>
    <definedName name="DDDDDDDDDDDDDDDDDDDDDDDDDDDDDDDDDDDDDD" hidden="1">{#N/A,#N/A,FALSE,"군산원가";#N/A,#N/A,FALSE,"팀별월별";#N/A,#N/A,FALSE,"타공정대체";#N/A,#N/A,FALSE,"기타경비";#N/A,#N/A,FALSE,"원료";#N/A,#N/A,FALSE,"연료"}</definedName>
    <definedName name="DDDDDDD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DDDDDDDDDDDDDDDD" hidden="1">{#N/A,#N/A,FALSE,"Yield";#N/A,#N/A,FALSE,"Loss1";#N/A,#N/A,FALSE,"Loss2";#N/A,#N/A,FALSE,"Hour-Labor(배분)";#N/A,#N/A,FALSE,"Capital Expenditure";#N/A,#N/A,FALSE,"Productivity"}</definedName>
    <definedName name="dddfg" hidden="1">{#N/A,#N/A,FALSE,"정공"}</definedName>
    <definedName name="DDDQQ" hidden="1">{#N/A,#N/A,FALSE,"DAOCM 2차 검토"}</definedName>
    <definedName name="df" hidden="1">{"FORM1",#N/A,FALSE,"Revenue";"FORMTR",#N/A,FALSE,"Revenue";"FORM3.1",#N/A,FALSE,"Revenue"}</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sgdfsg" hidden="1">{#N/A,#N/A,FALSE,"98소지이동TOTvs99.1 (2)";#N/A,#N/A,FALSE,"TOTAL";#N/A,#N/A,FALSE,"98소지이동TOTvs99.1(b) (2)"}</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gdf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LWJS" hidden="1">{#N/A,#N/A,FALSE,"Yield";#N/A,#N/A,FALSE,"Loss1";#N/A,#N/A,FALSE,"Loss2";#N/A,#N/A,FALSE,"Hour-Labor(배분)";#N/A,#N/A,FALSE,"Capital Expenditure";#N/A,#N/A,FALSE,"Productivity"}</definedName>
    <definedName name="dnjs" hidden="1">{"FORM17",#N/A,FALSE,"Commission1";"FORM17.1",#N/A,FALSE,"Commission2"}</definedName>
    <definedName name="ds" hidden="1">{"FORM1",#N/A,TRUE,"Revenue";"FORM1.1",#N/A,TRUE,"Revenue";"FORM1.2",#N/A,TRUE,"Revenue";"FORM2",#N/A,TRUE,"Revenue";"FORM2.1",#N/A,TRUE,"Revenue"}</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ee" localSheetId="44" hidden="1">#REF!</definedName>
    <definedName name="ee" hidden="1">#REF!</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KSWHD" hidden="1">{#N/A,#N/A,FALSE,"Yield";#N/A,#N/A,FALSE,"Loss1";#N/A,#N/A,FALSE,"Loss2";#N/A,#N/A,FALSE,"Hour-Labor(배분)";#N/A,#N/A,FALSE,"Capital Expenditure";#N/A,#N/A,FALSE,"Productivity"}</definedName>
    <definedName name="ELSK" hidden="1">{#N/A,#N/A,FALSE,"1.CRITERIA";#N/A,#N/A,FALSE,"2.IS";#N/A,#N/A,FALSE,"3.BS";#N/A,#N/A,FALSE,"4.PER PL";#N/A,#N/A,FALSE,"5.INVESTMENT";#N/A,#N/A,FALSE,"6.공문";#N/A,#N/A,FALSE,"7.netinvest"}</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fd" hidden="1">{"FORM16",#N/A,TRUE,"Personnel1";"FORM16.2",#N/A,TRUE,"Personnel2";"FORM16.2",#N/A,TRUE,"Personnel3";"FORM16.3",#N/A,TRUE,"Personnel4";"FORM16.4",#N/A,TRUE,"Personnel5"}</definedName>
    <definedName name="fdsfdf"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FFFFDD" hidden="1">{#N/A,#N/A,FALSE,"정공"}</definedName>
    <definedName name="FFFFFFFFF" hidden="1">{#N/A,#N/A,FALSE,"정공"}</definedName>
    <definedName name="fg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vfgf" hidden="1">{#N/A,#N/A,FALSE,"98소지이동TOTvs99.1 (2)";#N/A,#N/A,FALSE,"TOTAL";#N/A,#N/A,FALSE,"98소지이동TOTvs99.1(b) (2)"}</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jgj" hidden="1">{#N/A,#N/A,FALSE,"98소지이동TOTvs99.1 (2)";#N/A,#N/A,FALSE,"TOTAL";#N/A,#N/A,FALSE,"98소지이동TOTvs99.1(b) (2)"}</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data" localSheetId="44" hidden="1">#REF!</definedName>
    <definedName name="fildata" hidden="1">#REF!</definedName>
    <definedName name="fiti" hidden="1">{#N/A,#N/A,TRUE,"COFTOT"}</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fd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GG" hidden="1">{#N/A,#N/A,FALSE,"정공"}</definedName>
    <definedName name="GHGHGH" hidden="1">{"'미착금액'!$A$4:$G$14"}</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udjk" hidden="1">{#N/A,#N/A,FALSE,"정공"}</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sdg" hidden="1">{#N/A,#N/A,FALSE,"Yield";#N/A,#N/A,FALSE,"Loss1";#N/A,#N/A,FALSE,"Loss2";#N/A,#N/A,FALSE,"Hour-Labor(배분)";#N/A,#N/A,FALSE,"Capital Expenditure";#N/A,#N/A,FALSE,"Productivity"}</definedName>
    <definedName name="gvg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k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hgh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TML_CodePage" hidden="1">949</definedName>
    <definedName name="HTML_Control" hidden="1">{"'분양원가'!$B$1:$F$113"}</definedName>
    <definedName name="HTML_Description" hidden="1">""</definedName>
    <definedName name="HTML_Email" hidden="1">""</definedName>
    <definedName name="HTML_Header" hidden="1">"분양원가"</definedName>
    <definedName name="HTML_LastUpdate" hidden="1">"98-04-28"</definedName>
    <definedName name="HTML_LineAfter" hidden="1">FALSE</definedName>
    <definedName name="HTML_LineBefore" hidden="1">FALSE</definedName>
    <definedName name="HTML_Name" hidden="1">"대아건설"</definedName>
    <definedName name="HTML_OBDlg2" hidden="1">TRUE</definedName>
    <definedName name="HTML_OBDlg4" hidden="1">TRUE</definedName>
    <definedName name="HTML_OS" hidden="1">0</definedName>
    <definedName name="HTML_PathFile" hidden="1">"C:\YD1\MyHTML.htm"</definedName>
    <definedName name="HTML_Title" hidden="1">"분양원가"</definedName>
    <definedName name="iiioo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S"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 hidden="1">{#N/A,#N/A,FALSE,"98소지이동TOTvs99.1 (2)";#N/A,#N/A,FALSE,"TOTAL";#N/A,#N/A,FALSE,"98소지이동TOTvs99.1(b) (2)"}</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yj" hidden="1">{#N/A,#N/A,FALSE,"Yield";#N/A,#N/A,FALSE,"Loss1";#N/A,#N/A,FALSE,"Loss2";#N/A,#N/A,FALSE,"Hour-Labor(배분)";#N/A,#N/A,FALSE,"Capital Expenditure";#N/A,#N/A,FALSE,"Productivity"}</definedName>
    <definedName name="jyjy" hidden="1">{#N/A,#N/A,FALSE,"Yield";#N/A,#N/A,FALSE,"Loss1";#N/A,#N/A,FALSE,"Loss2";#N/A,#N/A,FALSE,"Hour-Labor(배분)";#N/A,#N/A,FALSE,"Capital Expenditure";#N/A,#N/A,FALSE,"Productivity"}</definedName>
    <definedName name="K"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aa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{#N/A,#N/A,FALSE,"BS";#N/A,#N/A,FALSE,"PL";#N/A,#N/A,FALSE,"처분";#N/A,#N/A,FALSE,"현금";#N/A,#N/A,FALSE,"매출";#N/A,#N/A,FALSE,"원가";#N/A,#N/A,FALSE,"경영"}</definedName>
    <definedName name="KKKD" hidden="1">{#N/A,#N/A,FALSE,"Yield";#N/A,#N/A,FALSE,"Loss1";#N/A,#N/A,FALSE,"Loss2";#N/A,#N/A,FALSE,"Hour-Labor(배분)";#N/A,#N/A,FALSE,"Capital Expenditure";#N/A,#N/A,FALSE,"Productivity"}</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TB" hidden="1">{#N/A,#N/A,TRUE,"COFTOT"}</definedName>
    <definedName name="LINE검토2" hidden="1">{#N/A,#N/A,TRUE,"Y생산";#N/A,#N/A,TRUE,"Y판매";#N/A,#N/A,TRUE,"Y총물량";#N/A,#N/A,TRUE,"Y능력";#N/A,#N/A,TRUE,"YKD"}</definedName>
    <definedName name="LL" hidden="1">{#N/A,#N/A,FALSE,"98소지이동TOTvs99.1 (2)";#N/A,#N/A,FALSE,"TOTAL";#N/A,#N/A,FALSE,"98소지이동TOTvs99.1(b) (2)"}</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oan"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ss1" hidden="1">{#N/A,#N/A,FALSE,"98소지이동TOTvs99.1 (2)";#N/A,#N/A,FALSE,"TOTAL";#N/A,#N/A,FALSE,"98소지이동TOTvs99.1(b) (2)"}</definedName>
    <definedName name="LY" localSheetId="44" hidden="1">#REF!</definedName>
    <definedName name="LY" hidden="1">#REF!</definedName>
    <definedName name="M"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L4.0" hidden="1">{#N/A,#N/A,FALSE,"98소지이동TOTvs99.1 (2)";#N/A,#N/A,FALSE,"TOTAL";#N/A,#N/A,FALSE,"98소지이동TOTvs99.1(b) (2)"}</definedName>
    <definedName name="ML5.5" hidden="1">{#N/A,#N/A,FALSE,"98소지이동TOTvs99.1 (2)";#N/A,#N/A,FALSE,"TOTAL";#N/A,#N/A,FALSE,"98소지이동TOTvs99.1(b) (2)"}</definedName>
    <definedName name="ML6.0" hidden="1">{#N/A,#N/A,FALSE,"군산원가";#N/A,#N/A,FALSE,"팀별월별";#N/A,#N/A,FALSE,"타공정대체";#N/A,#N/A,FALSE,"기타경비";#N/A,#N/A,FALSE,"원료";#N/A,#N/A,FALSE,"연료"}</definedName>
    <definedName name="ML6.00" hidden="1">{#N/A,#N/A,FALSE,"Yield";#N/A,#N/A,FALSE,"Loss1";#N/A,#N/A,FALSE,"Loss2";#N/A,#N/A,FALSE,"Hour-Labor(배분)";#N/A,#N/A,FALSE,"Capital Expenditure";#N/A,#N/A,FALSE,"Productivity"}</definedName>
    <definedName name="ML7.00" hidden="1">{#N/A,#N/A,FALSE,"Yield";#N/A,#N/A,FALSE,"Loss1";#N/A,#N/A,FALSE,"Loss2";#N/A,#N/A,FALSE,"Hour-Labor(배분)";#N/A,#N/A,FALSE,"Capital Expenditure";#N/A,#N/A,FALSE,"Productivity"}</definedName>
    <definedName name="ML8.0" hidden="1">{#N/A,#N/A,FALSE,"군산원가";#N/A,#N/A,FALSE,"팀별월별";#N/A,#N/A,FALSE,"타공정대체";#N/A,#N/A,FALSE,"기타경비";#N/A,#N/A,FALSE,"원료";#N/A,#N/A,FALSE,"연료"}</definedName>
    <definedName name="mmm"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MMM" hidden="1">{#N/A,#N/A,FALSE,"손익표지";#N/A,#N/A,FALSE,"손익계산";#N/A,#N/A,FALSE,"일반관리비";#N/A,#N/A,FALSE,"영업외수익";#N/A,#N/A,FALSE,"영업외비용";#N/A,#N/A,FALSE,"매출액";#N/A,#N/A,FALSE,"요약손익";#N/A,#N/A,FALSE,"요약대차";#N/A,#N/A,FALSE,"매출채권현황";#N/A,#N/A,FALSE,"매출채권명세"}</definedName>
    <definedName name="moh" hidden="1">{#N/A,#N/A,FALSE,"98소지이동TOTvs99.1 (2)";#N/A,#N/A,FALSE,"TOTAL";#N/A,#N/A,FALSE,"98소지이동TOTvs99.1(b) (2)"}</definedName>
    <definedName name="MS" hidden="1">{#N/A,#N/A,FALSE,"손익표지";#N/A,#N/A,FALSE,"손익계산";#N/A,#N/A,FALSE,"일반관리비";#N/A,#N/A,FALSE,"영업외수익";#N/A,#N/A,FALSE,"영업외비용";#N/A,#N/A,FALSE,"매출액";#N/A,#N/A,FALSE,"요약손익";#N/A,#N/A,FALSE,"요약대차";#N/A,#N/A,FALSE,"매출채권현황";#N/A,#N/A,FALSE,"매출채권명세"}</definedName>
    <definedName name="NEW" localSheetId="44" hidden="1">#REF!</definedName>
    <definedName name="NEW" hidden="1">#REF!</definedName>
    <definedName name="nlbu" hidden="1">{#N/A,#N/A,FALSE,"Yield";#N/A,#N/A,FALSE,"Loss1";#N/A,#N/A,FALSE,"Loss2";#N/A,#N/A,FALSE,"Hour-Labor(배분)";#N/A,#N/A,FALSE,"Capital Expenditure";#N/A,#N/A,FALSE,"Productivity"}</definedName>
    <definedName name="nnn"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o" localSheetId="44" hidden="1">#REF!</definedName>
    <definedName name="o" hidden="1">#REF!</definedName>
    <definedName name="ownership" hidden="1">{#N/A,#N/A,TRUE,"Summary";#N/A,#N/A,TRUE,"IS";#N/A,#N/A,TRUE,"Adj";#N/A,#N/A,TRUE,"BS";#N/A,#N/A,TRUE,"CF";#N/A,#N/A,TRUE,"Debt";#N/A,#N/A,TRUE,"IRR"}</definedName>
    <definedName name="PPK" hidden="1">{#N/A,#N/A,FALSE,"96 3월물량표";#N/A,#N/A,FALSE,"96 4월물량표";#N/A,#N/A,FALSE,"96 5월물량표"}</definedName>
    <definedName name="_xlnm.Print_Area" localSheetId="57">'1,4,5차 평가'!$A$1:$O$34</definedName>
    <definedName name="_xlnm.Print_Area" localSheetId="9">CF!$A$1:$E$71</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QNQNNQ" hidden="1">{#N/A,#N/A,FALSE,"Yield";#N/A,#N/A,FALSE,"Loss1";#N/A,#N/A,FALSE,"Loss2";#N/A,#N/A,FALSE,"Hour-Labor(배분)";#N/A,#N/A,FALSE,"Capital Expenditure";#N/A,#N/A,FALSE,"Productivity"}</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qqqqqqqqqq" localSheetId="44" hidden="1">#REF!</definedName>
    <definedName name="qqqqqqqqqqqqq" hidden="1">#REF!</definedName>
    <definedName name="RF" localSheetId="44">#REF!</definedName>
    <definedName name="RF">#REF!</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KSK" localSheetId="44" hidden="1">#REF!</definedName>
    <definedName name="RKSK" hidden="1">#REF!</definedName>
    <definedName name="RLDJE"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TNF" hidden="1">{#N/A,#N/A,FALSE,"Yield";#N/A,#N/A,FALSE,"Loss1";#N/A,#N/A,FALSE,"Loss2";#N/A,#N/A,FALSE,"Hour-Labor(배분)";#N/A,#N/A,FALSE,"Capital Expenditure";#N/A,#N/A,FALSE,"Productivity"}</definedName>
    <definedName name="rms" hidden="1">{"adj95mult",#N/A,FALSE,"COMPCO";"adj95est",#N/A,FALSE,"COMPCO"}</definedName>
    <definedName name="RR" hidden="1">{#N/A,#N/A,FALSE,"98소지이동TOTvs99.1 (2)";#N/A,#N/A,FALSE,"TOTAL";#N/A,#N/A,FALSE,"98소지이동TOTvs99.1(b) (2)"}</definedName>
    <definedName name="rrr"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adadsa" hidden="1">{#N/A,#N/A,FALSE,"Yield";#N/A,#N/A,FALSE,"Loss1";#N/A,#N/A,FALSE,"Loss2";#N/A,#N/A,FALSE,"Hour-Labor(배분)";#N/A,#N/A,FALSE,"Capital Expenditure";#N/A,#N/A,FALSE,"Productivity"}</definedName>
    <definedName name="sadas" hidden="1">{#N/A,#N/A,FALSE,"98소지이동TOTvs99.1 (2)";#N/A,#N/A,FALSE,"TOTAL";#N/A,#N/A,FALSE,"98소지이동TOTvs99.1(b) (2)"}</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F"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sgrt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EJINBS" hidden="1">{#N/A,#N/A,FALSE,"정공"}</definedName>
    <definedName name="sfdfdf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o" localSheetId="44" hidden="1">#REF!</definedName>
    <definedName name="so" hidden="1">#REF!</definedName>
    <definedName name="sssss" hidden="1">{#N/A,#N/A,FALSE,"Yield";#N/A,#N/A,FALSE,"Loss1";#N/A,#N/A,FALSE,"Loss2";#N/A,#N/A,FALSE,"Hour-Labor(배분)";#N/A,#N/A,FALSE,"Capital Expenditure";#N/A,#N/A,FALSE,"Productivity"}</definedName>
    <definedName name="SSSSSS" hidden="1">{#N/A,#N/A,FALSE,"98소지이동TOTvs99.1 (2)";#N/A,#N/A,FALSE,"TOTAL";#N/A,#N/A,FALSE,"98소지이동TOTvs99.1(b) (2)"}</definedName>
    <definedName name="TextRefCopyRangeCount" hidden="1">4</definedName>
    <definedName name="THEME2" hidden="1">{#N/A,#N/A,FALSE,"96 3월물량표";#N/A,#N/A,FALSE,"96 4월물량표";#N/A,#N/A,FALSE,"96 5월물량표"}</definedName>
    <definedName name="TKTKTK" hidden="1">{"'미착금액'!$A$4:$G$14"}</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p" hidden="1">{#N/A,#N/A,FALSE,"Yield";#N/A,#N/A,FALSE,"Loss1";#N/A,#N/A,FALSE,"Loss2";#N/A,#N/A,FALSE,"Hour-Labor(배분)";#N/A,#N/A,FALSE,"Capital Expenditure";#N/A,#N/A,FALSE,"Productivity"}</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q"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ttttttttt"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vv"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JRCL" hidden="1">{#N/A,#N/A,FALSE,"군산원가";#N/A,#N/A,FALSE,"팀별월별";#N/A,#N/A,FALSE,"타공정대체";#N/A,#N/A,FALSE,"기타경비";#N/A,#N/A,FALSE,"원료";#N/A,#N/A,FALSE,"연료"}</definedName>
    <definedName name="wrn.345." hidden="1">{#N/A,#N/A,FALSE,"96 3월물량표";#N/A,#N/A,FALSE,"96 4월물량표";#N/A,#N/A,FALSE,"96 5월물량표"}</definedName>
    <definedName name="wrn.5월사장단회의." hidden="1">{#N/A,#N/A,FALSE,"9905";#N/A,#N/A,FALSE,"5누적";#N/A,#N/A,FALSE,"99년trim (2)";#N/A,#N/A,FALSE,"Loss1(5)";#N/A,#N/A,FALSE,"Yield(5)";#N/A,#N/A,FALSE,"Sheet2"}</definedName>
    <definedName name="wrn.adj95." hidden="1">{"adj95mult",#N/A,FALSE,"COMPCO";"adj95est",#N/A,FALSE,"COMPCO"}</definedName>
    <definedName name="wrn.Aging._.and._.Trend._.Analysis." hidden="1">{#N/A,#N/A,FALSE,"Aging Summary";#N/A,#N/A,FALSE,"Ratio Analysis";#N/A,#N/A,FALSE,"Test 120 Day Accts";#N/A,#N/A,FALSE,"Tickmarks"}</definedName>
    <definedName name="wrn.COMMISSION." hidden="1">{"FORM17",#N/A,FALSE,"Commission1";"FORM17.1",#N/A,FALSE,"Commission2"}</definedName>
    <definedName name="wrn.compco." hidden="1">{"mult96",#N/A,FALSE,"PETCOMP";"est96",#N/A,FALSE,"PETCOMP";"mult95",#N/A,FALSE,"PETCOMP";"est95",#N/A,FALSE,"PETCOMP";"multltm",#N/A,FALSE,"PETCOMP";"resultltm",#N/A,FALSE,"PETCOMP"}</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DACOM._.광전송장치._.투찰가._.검토." hidden="1">{#N/A,#N/A,FALSE,"DAOCM 2차 검토"}</definedName>
    <definedName name="wrn.Economic._.Value._.Added._.Analysis." hidden="1">{"EVA",#N/A,FALSE,"EVA";"WACC",#N/A,FALSE,"WACC"}</definedName>
    <definedName name="wrn.exco." hidden="1">{#N/A,#N/A,FALSE,"Yield";#N/A,#N/A,FALSE,"Loss1";#N/A,#N/A,FALSE,"Loss2";#N/A,#N/A,FALSE,"Hour-Labor(배분)";#N/A,#N/A,FALSE,"Capital Expenditure";#N/A,#N/A,FALSE,"Productivity"}</definedName>
    <definedName name="wrn.EXCO1월loss현황분석자료." hidden="1">{#N/A,#N/A,FALSE,"98소지이동TOTvs99.1 (2)";#N/A,#N/A,FALSE,"TOTAL";#N/A,#N/A,FALSE,"98소지이동TOTvs99.1(b) (2)"}</definedName>
    <definedName name="wrn.imprim." hidden="1">{#N/A,#N/A,TRUE,"COFTOT"}</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OUTPUT." hidden="1">{"DCF","UPSIDE CASE",FALSE,"Sheet1";"DCF","BASE CASE",FALSE,"Sheet1";"DCF","DOWNSIDE CASE",FALSE,"Sheet1"}</definedName>
    <definedName name="wrn.PERSONNEL." hidden="1">{"FORM16",#N/A,TRUE,"Personnel1";"FORM16.2",#N/A,TRUE,"Personnel2";"FORM16.2",#N/A,TRUE,"Personnel3";"FORM16.3",#N/A,TRUE,"Personnel4";"FORM16.4",#N/A,TRUE,"Personnel5"}</definedName>
    <definedName name="wrn.Plan._.Europe._.pdts._.transparents." hidden="1">{#N/A,#N/A,FALSE,"TRANSP2";#N/A,#N/A,FALSE,"VISOL2";#N/A,#N/A,FALSE,"ITR2";#N/A,#N/A,FALSE,"CSOL2";#N/A,#N/A,FALSE,"FEUILLETE2";#N/A,#N/A,FALSE,"TRMP2";#N/A,#N/A,FALSE,"ARG2";#N/A,#N/A,FALSE,"VIMP2"}</definedName>
    <definedName name="wrn.Planone." hidden="1">{#N/A,#N/A,FALSE,"TRANSP1";#N/A,#N/A,FALSE,"VISOL1";#N/A,#N/A,FALSE,"ITR1";#N/A,#N/A,FALSE,"CSOL1";#N/A,#N/A,FALSE,"FEUILLETE1";#N/A,#N/A,FALSE,"TRMP1";#N/A,#N/A,FALSE,"ARG1";#N/A,#N/A,FALSE,"VIMP1"}</definedName>
    <definedName name="wrn.PrintAll." hidden="1">{#N/A,#N/A,TRUE,"Summary";#N/A,#N/A,TRUE,"IS";#N/A,#N/A,TRUE,"Adj";#N/A,#N/A,TRUE,"BS";#N/A,#N/A,TRUE,"CF";#N/A,#N/A,TRUE,"Debt";#N/A,#N/A,TRUE,"IRR"}</definedName>
    <definedName name="wrn.REV1." hidden="1">{"FORM1",#N/A,FALSE,"Revenue";"FORMTR",#N/A,FALSE,"Revenue";"FORM3.1",#N/A,FALSE,"Revenue"}</definedName>
    <definedName name="wrn.REVENUE." hidden="1">{"FORM1",#N/A,TRUE,"Revenue";"FORM1.1",#N/A,TRUE,"Revenue";"FORM1.2",#N/A,TRUE,"Revenue";"FORM2",#N/A,TRUE,"Revenue";"FORM2.1",#N/A,TRUE,"Revenue"}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hidden="1">{#N/A,#N/A,FALSE,"계약직(여)"}</definedName>
    <definedName name="wrn.설변현황."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에실대비."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예실대비."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월추정." hidden="1">{#N/A,#N/A,FALSE,"월추정감가상각비";#N/A,#N/A,FALSE,"main_prog"}</definedName>
    <definedName name="wrn.일일보고." hidden="1">{#N/A,#N/A,FALSE,"보통예금";#N/A,#N/A,FALSE,"입.출금명세서";#N/A,#N/A,FALSE,"현금출납현황 ";#N/A,#N/A,FALSE,"차입금,예금"}</definedName>
    <definedName name="wrn.재무제표." hidden="1">{#N/A,#N/A,FALSE,"BS";#N/A,#N/A,FALSE,"IS";#N/A,#N/A,FALSE,"결손금처리";#N/A,#N/A,FALSE,"cashflow"}</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채권채무조회서." hidden="1">{#N/A,#N/A,FALSE,"채권채무";#N/A,#N/A,FALSE,"control sheet"}</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항강판." hidden="1">{"현수",#N/A,FALSE,"월추정감가상각비"}</definedName>
    <definedName name="wrn.함영민." hidden="1">{#N/A,#N/A,FALSE,"범우구미";#N/A,#N/A,FALSE,"세한케미칼";#N/A,#N/A,FALSE,"세명화학";#N/A,#N/A,FALSE,"신영케미칼";#N/A,#N/A,FALSE,"일석상사"}</definedName>
    <definedName name="wrn.현대정공구매현황." hidden="1">{#N/A,#N/A,FALSE,"정공"}</definedName>
    <definedName name="wrn.현장._.NCR._.분석." hidden="1">{#N/A,#N/A,FALSE,"현장 NCR 분석";#N/A,#N/A,FALSE,"현장품질감사";#N/A,#N/A,FALSE,"현장품질감사"}</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XREF_COLUMN_1" localSheetId="44" hidden="1">#REF!</definedName>
    <definedName name="XREF_COLUMN_1" hidden="1">#REF!</definedName>
    <definedName name="XREF_COLUMN_14" localSheetId="44" hidden="1">#REF!</definedName>
    <definedName name="XREF_COLUMN_14" hidden="1">#REF!</definedName>
    <definedName name="XREF_COLUMN_15" localSheetId="44" hidden="1">#REF!</definedName>
    <definedName name="XREF_COLUMN_15" hidden="1">#REF!</definedName>
    <definedName name="XREF_COLUMN_2" localSheetId="44" hidden="1">#REF!</definedName>
    <definedName name="XREF_COLUMN_2" hidden="1">#REF!</definedName>
    <definedName name="XREF_COLUMN_3" localSheetId="44" hidden="1">#REF!</definedName>
    <definedName name="XREF_COLUMN_3" hidden="1">#REF!</definedName>
    <definedName name="XREF_COLUMN_4" localSheetId="44" hidden="1">#REF!</definedName>
    <definedName name="XREF_COLUMN_4" hidden="1">#REF!</definedName>
    <definedName name="XREF_COLUMN_5" localSheetId="44" hidden="1">#REF!</definedName>
    <definedName name="XREF_COLUMN_5" hidden="1">#REF!</definedName>
    <definedName name="XREF_COLUMN_7" localSheetId="44" hidden="1">#REF!</definedName>
    <definedName name="XREF_COLUMN_7" hidden="1">#REF!</definedName>
    <definedName name="XRefActiveRow" localSheetId="44" hidden="1">#REF!</definedName>
    <definedName name="XRefActiveRow" hidden="1">#REF!</definedName>
    <definedName name="XRefColumnsCount" hidden="1">9</definedName>
    <definedName name="XRefCopy1" localSheetId="44" hidden="1">#REF!</definedName>
    <definedName name="XRefCopy1" hidden="1">#REF!</definedName>
    <definedName name="XRefCopy10" localSheetId="44" hidden="1">#REF!</definedName>
    <definedName name="XRefCopy10" hidden="1">#REF!</definedName>
    <definedName name="XRefCopy10Row" localSheetId="44" hidden="1">#REF!</definedName>
    <definedName name="XRefCopy10Row" hidden="1">#REF!</definedName>
    <definedName name="XRefCopy11" localSheetId="44" hidden="1">#REF!</definedName>
    <definedName name="XRefCopy11" hidden="1">#REF!</definedName>
    <definedName name="XRefCopy11Row" localSheetId="44" hidden="1">#REF!</definedName>
    <definedName name="XRefCopy11Row" hidden="1">#REF!</definedName>
    <definedName name="XRefCopy12" localSheetId="44" hidden="1">#REF!</definedName>
    <definedName name="XRefCopy12" hidden="1">#REF!</definedName>
    <definedName name="XRefCopy12Row" localSheetId="44" hidden="1">#REF!</definedName>
    <definedName name="XRefCopy12Row" hidden="1">#REF!</definedName>
    <definedName name="XRefCopy13" localSheetId="44" hidden="1">#REF!</definedName>
    <definedName name="XRefCopy13" hidden="1">#REF!</definedName>
    <definedName name="XRefCopy13Row" localSheetId="44" hidden="1">#REF!</definedName>
    <definedName name="XRefCopy13Row" hidden="1">#REF!</definedName>
    <definedName name="XRefCopy14" localSheetId="44" hidden="1">#REF!</definedName>
    <definedName name="XRefCopy14" hidden="1">#REF!</definedName>
    <definedName name="XRefCopy14Row" localSheetId="44" hidden="1">#REF!</definedName>
    <definedName name="XRefCopy14Row" hidden="1">#REF!</definedName>
    <definedName name="XRefCopy15" localSheetId="44" hidden="1">#REF!</definedName>
    <definedName name="XRefCopy15" hidden="1">#REF!</definedName>
    <definedName name="XRefCopy15Row" localSheetId="44" hidden="1">#REF!</definedName>
    <definedName name="XRefCopy15Row" hidden="1">#REF!</definedName>
    <definedName name="XRefCopy16" localSheetId="44" hidden="1">#REF!</definedName>
    <definedName name="XRefCopy16" hidden="1">#REF!</definedName>
    <definedName name="XRefCopy16Row" localSheetId="44" hidden="1">#REF!</definedName>
    <definedName name="XRefCopy16Row" hidden="1">#REF!</definedName>
    <definedName name="XRefCopy17" localSheetId="44" hidden="1">#REF!</definedName>
    <definedName name="XRefCopy17" hidden="1">#REF!</definedName>
    <definedName name="XRefCopy18" localSheetId="44" hidden="1">#REF!</definedName>
    <definedName name="XRefCopy18" hidden="1">#REF!</definedName>
    <definedName name="XRefCopy19" localSheetId="44" hidden="1">#REF!</definedName>
    <definedName name="XRefCopy19" hidden="1">#REF!</definedName>
    <definedName name="XRefCopy1Row" localSheetId="44" hidden="1">#REF!</definedName>
    <definedName name="XRefCopy1Row" hidden="1">#REF!</definedName>
    <definedName name="XRefCopy2" localSheetId="44" hidden="1">#REF!</definedName>
    <definedName name="XRefCopy2" hidden="1">#REF!</definedName>
    <definedName name="XRefCopy20" localSheetId="44" hidden="1">#REF!</definedName>
    <definedName name="XRefCopy20" hidden="1">#REF!</definedName>
    <definedName name="XRefCopy21" localSheetId="44" hidden="1">#REF!</definedName>
    <definedName name="XRefCopy21" hidden="1">#REF!</definedName>
    <definedName name="XRefCopy22" localSheetId="44" hidden="1">#REF!</definedName>
    <definedName name="XRefCopy22" hidden="1">#REF!</definedName>
    <definedName name="XRefCopy23" localSheetId="44" hidden="1">#REF!</definedName>
    <definedName name="XRefCopy23" hidden="1">#REF!</definedName>
    <definedName name="XRefCopy24" localSheetId="44" hidden="1">#REF!</definedName>
    <definedName name="XRefCopy24" hidden="1">#REF!</definedName>
    <definedName name="XRefCopy25" localSheetId="44" hidden="1">#REF!</definedName>
    <definedName name="XRefCopy25" hidden="1">#REF!</definedName>
    <definedName name="XRefCopy26" localSheetId="44" hidden="1">#REF!</definedName>
    <definedName name="XRefCopy26" hidden="1">#REF!</definedName>
    <definedName name="XRefCopy27" localSheetId="44" hidden="1">#REF!</definedName>
    <definedName name="XRefCopy27" hidden="1">#REF!</definedName>
    <definedName name="XRefCopy28" localSheetId="44" hidden="1">#REF!</definedName>
    <definedName name="XRefCopy28" hidden="1">#REF!</definedName>
    <definedName name="XRefCopy29" localSheetId="44" hidden="1">#REF!</definedName>
    <definedName name="XRefCopy29" hidden="1">#REF!</definedName>
    <definedName name="XRefCopy2Row" localSheetId="44" hidden="1">#REF!</definedName>
    <definedName name="XRefCopy2Row" hidden="1">#REF!</definedName>
    <definedName name="XRefCopy3" localSheetId="44" hidden="1">#REF!</definedName>
    <definedName name="XRefCopy3" hidden="1">#REF!</definedName>
    <definedName name="XRefCopy30" localSheetId="44" hidden="1">#REF!</definedName>
    <definedName name="XRefCopy30" hidden="1">#REF!</definedName>
    <definedName name="XRefCopy31" localSheetId="44" hidden="1">#REF!</definedName>
    <definedName name="XRefCopy31" hidden="1">#REF!</definedName>
    <definedName name="XRefCopy32" localSheetId="44" hidden="1">#REF!</definedName>
    <definedName name="XRefCopy32" hidden="1">#REF!</definedName>
    <definedName name="XRefCopy33" localSheetId="44" hidden="1">#REF!</definedName>
    <definedName name="XRefCopy33" hidden="1">#REF!</definedName>
    <definedName name="XRefCopy34" localSheetId="44" hidden="1">#REF!</definedName>
    <definedName name="XRefCopy34" hidden="1">#REF!</definedName>
    <definedName name="XRefCopy35" localSheetId="44" hidden="1">#REF!</definedName>
    <definedName name="XRefCopy35" hidden="1">#REF!</definedName>
    <definedName name="XRefCopy36" localSheetId="44" hidden="1">#REF!</definedName>
    <definedName name="XRefCopy36" hidden="1">#REF!</definedName>
    <definedName name="XRefCopy37" localSheetId="44" hidden="1">#REF!</definedName>
    <definedName name="XRefCopy37" hidden="1">#REF!</definedName>
    <definedName name="XRefCopy38" localSheetId="44" hidden="1">#REF!</definedName>
    <definedName name="XRefCopy38" hidden="1">#REF!</definedName>
    <definedName name="XRefCopy39" localSheetId="44" hidden="1">#REF!</definedName>
    <definedName name="XRefCopy39" hidden="1">#REF!</definedName>
    <definedName name="XRefCopy3Row" localSheetId="44" hidden="1">#REF!</definedName>
    <definedName name="XRefCopy3Row" hidden="1">#REF!</definedName>
    <definedName name="XRefCopy4" localSheetId="44" hidden="1">#REF!</definedName>
    <definedName name="XRefCopy4" hidden="1">#REF!</definedName>
    <definedName name="XRefCopy40" localSheetId="44" hidden="1">#REF!</definedName>
    <definedName name="XRefCopy40" hidden="1">#REF!</definedName>
    <definedName name="XRefCopy41" localSheetId="44" hidden="1">#REF!</definedName>
    <definedName name="XRefCopy41" hidden="1">#REF!</definedName>
    <definedName name="XRefCopy42" localSheetId="44" hidden="1">#REF!</definedName>
    <definedName name="XRefCopy42" hidden="1">#REF!</definedName>
    <definedName name="XRefCopy43" localSheetId="44" hidden="1">#REF!</definedName>
    <definedName name="XRefCopy43" hidden="1">#REF!</definedName>
    <definedName name="XRefCopy44" localSheetId="44" hidden="1">#REF!</definedName>
    <definedName name="XRefCopy44" hidden="1">#REF!</definedName>
    <definedName name="XRefCopy45" localSheetId="44" hidden="1">#REF!</definedName>
    <definedName name="XRefCopy45" hidden="1">#REF!</definedName>
    <definedName name="XRefCopy46" localSheetId="44" hidden="1">#REF!</definedName>
    <definedName name="XRefCopy46" hidden="1">#REF!</definedName>
    <definedName name="XRefCopy47" localSheetId="44" hidden="1">#REF!</definedName>
    <definedName name="XRefCopy47" hidden="1">#REF!</definedName>
    <definedName name="XRefCopy48" localSheetId="44" hidden="1">#REF!</definedName>
    <definedName name="XRefCopy48" hidden="1">#REF!</definedName>
    <definedName name="XRefCopy49" localSheetId="44" hidden="1">#REF!</definedName>
    <definedName name="XRefCopy49" hidden="1">#REF!</definedName>
    <definedName name="XRefCopy4Row" localSheetId="44" hidden="1">#REF!</definedName>
    <definedName name="XRefCopy4Row" hidden="1">#REF!</definedName>
    <definedName name="XRefCopy5" localSheetId="44" hidden="1">#REF!</definedName>
    <definedName name="XRefCopy5" hidden="1">#REF!</definedName>
    <definedName name="XRefCopy50" localSheetId="44" hidden="1">#REF!</definedName>
    <definedName name="XRefCopy50" hidden="1">#REF!</definedName>
    <definedName name="XRefCopy5Row" localSheetId="44" hidden="1">#REF!</definedName>
    <definedName name="XRefCopy5Row" hidden="1">#REF!</definedName>
    <definedName name="XRefCopy6" localSheetId="44" hidden="1">#REF!</definedName>
    <definedName name="XRefCopy6" hidden="1">#REF!</definedName>
    <definedName name="XRefCopy6Row" localSheetId="44" hidden="1">#REF!</definedName>
    <definedName name="XRefCopy6Row" hidden="1">#REF!</definedName>
    <definedName name="XRefCopy7" localSheetId="44" hidden="1">#REF!</definedName>
    <definedName name="XRefCopy7" hidden="1">#REF!</definedName>
    <definedName name="XRefCopy8" localSheetId="44" hidden="1">#REF!</definedName>
    <definedName name="XRefCopy8" hidden="1">#REF!</definedName>
    <definedName name="XRefCopy8Row" localSheetId="44" hidden="1">#REF!</definedName>
    <definedName name="XRefCopy8Row" hidden="1">#REF!</definedName>
    <definedName name="XRefCopy9" localSheetId="44" hidden="1">#REF!</definedName>
    <definedName name="XRefCopy9" hidden="1">#REF!</definedName>
    <definedName name="XRefCopy9Row" localSheetId="44" hidden="1">#REF!</definedName>
    <definedName name="XRefCopy9Row" hidden="1">#REF!</definedName>
    <definedName name="XRefCopyRangeCount" hidden="1">8</definedName>
    <definedName name="XRefPaste1" localSheetId="44" hidden="1">#REF!</definedName>
    <definedName name="XRefPaste1" hidden="1">#REF!</definedName>
    <definedName name="XRefPaste10" localSheetId="44" hidden="1">#REF!</definedName>
    <definedName name="XRefPaste10" hidden="1">#REF!</definedName>
    <definedName name="XRefPaste10Row" localSheetId="44" hidden="1">#REF!</definedName>
    <definedName name="XRefPaste10Row" hidden="1">#REF!</definedName>
    <definedName name="XRefPaste11" localSheetId="44" hidden="1">#REF!</definedName>
    <definedName name="XRefPaste11" hidden="1">#REF!</definedName>
    <definedName name="XRefPaste11Row" localSheetId="44" hidden="1">#REF!</definedName>
    <definedName name="XRefPaste11Row" hidden="1">#REF!</definedName>
    <definedName name="XRefPaste12" localSheetId="44" hidden="1">#REF!</definedName>
    <definedName name="XRefPaste12" hidden="1">#REF!</definedName>
    <definedName name="XRefPaste12Row" localSheetId="44" hidden="1">#REF!</definedName>
    <definedName name="XRefPaste12Row" hidden="1">#REF!</definedName>
    <definedName name="XRefPaste13" localSheetId="44" hidden="1">#REF!</definedName>
    <definedName name="XRefPaste13" hidden="1">#REF!</definedName>
    <definedName name="XRefPaste13Row" localSheetId="44" hidden="1">#REF!</definedName>
    <definedName name="XRefPaste13Row" hidden="1">#REF!</definedName>
    <definedName name="XRefPaste14" localSheetId="44" hidden="1">#REF!</definedName>
    <definedName name="XRefPaste14" hidden="1">#REF!</definedName>
    <definedName name="XRefPaste14Row" localSheetId="44" hidden="1">#REF!</definedName>
    <definedName name="XRefPaste14Row" hidden="1">#REF!</definedName>
    <definedName name="XRefPaste15" localSheetId="44" hidden="1">#REF!</definedName>
    <definedName name="XRefPaste15" hidden="1">#REF!</definedName>
    <definedName name="XRefPaste15Row" localSheetId="44" hidden="1">#REF!</definedName>
    <definedName name="XRefPaste15Row" hidden="1">#REF!</definedName>
    <definedName name="XRefPaste16" localSheetId="44" hidden="1">#REF!</definedName>
    <definedName name="XRefPaste16" hidden="1">#REF!</definedName>
    <definedName name="XRefPaste16Row" localSheetId="44" hidden="1">#REF!</definedName>
    <definedName name="XRefPaste16Row" hidden="1">#REF!</definedName>
    <definedName name="XRefPaste17" localSheetId="44" hidden="1">#REF!</definedName>
    <definedName name="XRefPaste17" hidden="1">#REF!</definedName>
    <definedName name="XRefPaste17Row" localSheetId="44" hidden="1">#REF!</definedName>
    <definedName name="XRefPaste17Row" hidden="1">#REF!</definedName>
    <definedName name="XRefPaste18" localSheetId="44" hidden="1">#REF!</definedName>
    <definedName name="XRefPaste18" hidden="1">#REF!</definedName>
    <definedName name="XRefPaste18Row" localSheetId="44" hidden="1">#REF!</definedName>
    <definedName name="XRefPaste18Row" hidden="1">#REF!</definedName>
    <definedName name="XRefPaste19" localSheetId="44" hidden="1">#REF!</definedName>
    <definedName name="XRefPaste19" hidden="1">#REF!</definedName>
    <definedName name="XRefPaste19Row" localSheetId="44" hidden="1">#REF!</definedName>
    <definedName name="XRefPaste19Row" hidden="1">#REF!</definedName>
    <definedName name="XRefPaste1Row" localSheetId="44" hidden="1">#REF!</definedName>
    <definedName name="XRefPaste1Row" hidden="1">#REF!</definedName>
    <definedName name="XRefPaste2" localSheetId="44" hidden="1">#REF!</definedName>
    <definedName name="XRefPaste2" hidden="1">#REF!</definedName>
    <definedName name="XRefPaste20" localSheetId="44" hidden="1">#REF!</definedName>
    <definedName name="XRefPaste20" hidden="1">#REF!</definedName>
    <definedName name="XRefPaste20Row" localSheetId="44" hidden="1">#REF!</definedName>
    <definedName name="XRefPaste20Row" hidden="1">#REF!</definedName>
    <definedName name="XRefPaste21" localSheetId="44" hidden="1">#REF!</definedName>
    <definedName name="XRefPaste21" hidden="1">#REF!</definedName>
    <definedName name="XRefPaste21Row" localSheetId="44" hidden="1">#REF!</definedName>
    <definedName name="XRefPaste21Row" hidden="1">#REF!</definedName>
    <definedName name="XRefPaste22" localSheetId="44" hidden="1">#REF!</definedName>
    <definedName name="XRefPaste22" hidden="1">#REF!</definedName>
    <definedName name="XRefPaste22Row" localSheetId="44" hidden="1">#REF!</definedName>
    <definedName name="XRefPaste22Row" hidden="1">#REF!</definedName>
    <definedName name="XRefPaste23" localSheetId="44" hidden="1">#REF!</definedName>
    <definedName name="XRefPaste23" hidden="1">#REF!</definedName>
    <definedName name="XRefPaste23Row" localSheetId="44" hidden="1">#REF!</definedName>
    <definedName name="XRefPaste23Row" hidden="1">#REF!</definedName>
    <definedName name="XRefPaste24" localSheetId="44" hidden="1">#REF!</definedName>
    <definedName name="XRefPaste24" hidden="1">#REF!</definedName>
    <definedName name="XRefPaste24Row" localSheetId="44" hidden="1">#REF!</definedName>
    <definedName name="XRefPaste24Row" hidden="1">#REF!</definedName>
    <definedName name="XRefPaste25" localSheetId="44" hidden="1">#REF!</definedName>
    <definedName name="XRefPaste25" hidden="1">#REF!</definedName>
    <definedName name="XRefPaste25Row" localSheetId="44" hidden="1">#REF!</definedName>
    <definedName name="XRefPaste25Row" hidden="1">#REF!</definedName>
    <definedName name="XRefPaste26" localSheetId="44" hidden="1">#REF!</definedName>
    <definedName name="XRefPaste26" hidden="1">#REF!</definedName>
    <definedName name="XRefPaste26Row" localSheetId="44" hidden="1">#REF!</definedName>
    <definedName name="XRefPaste26Row" hidden="1">#REF!</definedName>
    <definedName name="XRefPaste27" localSheetId="44" hidden="1">#REF!</definedName>
    <definedName name="XRefPaste27" hidden="1">#REF!</definedName>
    <definedName name="XRefPaste28" localSheetId="44" hidden="1">#REF!</definedName>
    <definedName name="XRefPaste28" hidden="1">#REF!</definedName>
    <definedName name="XRefPaste29" localSheetId="44" hidden="1">#REF!</definedName>
    <definedName name="XRefPaste29" hidden="1">#REF!</definedName>
    <definedName name="XRefPaste2Row" localSheetId="44" hidden="1">#REF!</definedName>
    <definedName name="XRefPaste2Row" hidden="1">#REF!</definedName>
    <definedName name="XRefPaste3" localSheetId="44" hidden="1">#REF!</definedName>
    <definedName name="XRefPaste3" hidden="1">#REF!</definedName>
    <definedName name="XRefPaste30" localSheetId="44" hidden="1">#REF!</definedName>
    <definedName name="XRefPaste30" hidden="1">#REF!</definedName>
    <definedName name="XRefPaste31" localSheetId="44" hidden="1">#REF!</definedName>
    <definedName name="XRefPaste31" hidden="1">#REF!</definedName>
    <definedName name="XRefPaste32" localSheetId="44" hidden="1">#REF!</definedName>
    <definedName name="XRefPaste32" hidden="1">#REF!</definedName>
    <definedName name="XRefPaste33" localSheetId="44" hidden="1">#REF!</definedName>
    <definedName name="XRefPaste33" hidden="1">#REF!</definedName>
    <definedName name="XRefPaste34" localSheetId="44" hidden="1">#REF!</definedName>
    <definedName name="XRefPaste34" hidden="1">#REF!</definedName>
    <definedName name="XRefPaste35" localSheetId="44" hidden="1">#REF!</definedName>
    <definedName name="XRefPaste35" hidden="1">#REF!</definedName>
    <definedName name="XRefPaste36" localSheetId="44" hidden="1">#REF!</definedName>
    <definedName name="XRefPaste36" hidden="1">#REF!</definedName>
    <definedName name="XRefPaste37" localSheetId="44" hidden="1">#REF!</definedName>
    <definedName name="XRefPaste37" hidden="1">#REF!</definedName>
    <definedName name="XRefPaste38" localSheetId="44" hidden="1">#REF!</definedName>
    <definedName name="XRefPaste38" hidden="1">#REF!</definedName>
    <definedName name="XRefPaste39" localSheetId="44" hidden="1">#REF!</definedName>
    <definedName name="XRefPaste39" hidden="1">#REF!</definedName>
    <definedName name="XRefPaste3Row" localSheetId="44" hidden="1">#REF!</definedName>
    <definedName name="XRefPaste3Row" hidden="1">#REF!</definedName>
    <definedName name="XRefPaste4" localSheetId="44" hidden="1">#REF!</definedName>
    <definedName name="XRefPaste4" hidden="1">#REF!</definedName>
    <definedName name="XRefPaste40" localSheetId="44" hidden="1">#REF!</definedName>
    <definedName name="XRefPaste40" hidden="1">#REF!</definedName>
    <definedName name="XRefPaste41" localSheetId="44" hidden="1">#REF!</definedName>
    <definedName name="XRefPaste41" hidden="1">#REF!</definedName>
    <definedName name="XRefPaste42" localSheetId="44" hidden="1">#REF!</definedName>
    <definedName name="XRefPaste42" hidden="1">#REF!</definedName>
    <definedName name="XRefPaste42Row" localSheetId="44" hidden="1">#REF!</definedName>
    <definedName name="XRefPaste42Row" hidden="1">#REF!</definedName>
    <definedName name="XRefPaste43" localSheetId="44" hidden="1">#REF!</definedName>
    <definedName name="XRefPaste43" hidden="1">#REF!</definedName>
    <definedName name="XRefPaste44" localSheetId="44" hidden="1">#REF!</definedName>
    <definedName name="XRefPaste44" hidden="1">#REF!</definedName>
    <definedName name="XRefPaste45" localSheetId="44" hidden="1">#REF!</definedName>
    <definedName name="XRefPaste45" hidden="1">#REF!</definedName>
    <definedName name="XRefPaste46" localSheetId="44" hidden="1">#REF!</definedName>
    <definedName name="XRefPaste46" hidden="1">#REF!</definedName>
    <definedName name="XRefPaste47" localSheetId="44" hidden="1">#REF!</definedName>
    <definedName name="XRefPaste47" hidden="1">#REF!</definedName>
    <definedName name="XRefPaste48" localSheetId="44" hidden="1">#REF!</definedName>
    <definedName name="XRefPaste48" hidden="1">#REF!</definedName>
    <definedName name="XRefPaste49" localSheetId="44" hidden="1">#REF!</definedName>
    <definedName name="XRefPaste49" hidden="1">#REF!</definedName>
    <definedName name="XRefPaste4Row" localSheetId="44" hidden="1">#REF!</definedName>
    <definedName name="XRefPaste4Row" hidden="1">#REF!</definedName>
    <definedName name="XRefPaste5" localSheetId="44" hidden="1">#REF!</definedName>
    <definedName name="XRefPaste5" hidden="1">#REF!</definedName>
    <definedName name="XRefPaste50" localSheetId="44" hidden="1">#REF!</definedName>
    <definedName name="XRefPaste50" hidden="1">#REF!</definedName>
    <definedName name="XRefPaste51" localSheetId="44" hidden="1">#REF!</definedName>
    <definedName name="XRefPaste51" hidden="1">#REF!</definedName>
    <definedName name="XRefPaste5Row" localSheetId="44" hidden="1">#REF!</definedName>
    <definedName name="XRefPaste5Row" hidden="1">#REF!</definedName>
    <definedName name="XRefPaste6" localSheetId="44" hidden="1">#REF!</definedName>
    <definedName name="XRefPaste6" hidden="1">#REF!</definedName>
    <definedName name="XRefPaste6Row" localSheetId="44" hidden="1">#REF!</definedName>
    <definedName name="XRefPaste6Row" hidden="1">#REF!</definedName>
    <definedName name="XRefPaste7" localSheetId="44" hidden="1">#REF!</definedName>
    <definedName name="XRefPaste7" hidden="1">#REF!</definedName>
    <definedName name="XRefPaste7Row" localSheetId="44" hidden="1">#REF!</definedName>
    <definedName name="XRefPaste7Row" hidden="1">#REF!</definedName>
    <definedName name="XRefPaste8" localSheetId="44" hidden="1">#REF!</definedName>
    <definedName name="XRefPaste8" hidden="1">#REF!</definedName>
    <definedName name="XRefPaste8Row" localSheetId="44" hidden="1">#REF!</definedName>
    <definedName name="XRefPaste8Row" hidden="1">#REF!</definedName>
    <definedName name="XRefPaste9" localSheetId="44" hidden="1">#REF!</definedName>
    <definedName name="XRefPaste9" hidden="1">#REF!</definedName>
    <definedName name="XRefPaste9Row" localSheetId="44" hidden="1">#REF!</definedName>
    <definedName name="XRefPaste9Row" hidden="1">#REF!</definedName>
    <definedName name="XRefPasteRangeCount" hidden="1">8</definedName>
    <definedName name="Yield" hidden="1">{#N/A,#N/A,FALSE,"98소지이동TOTvs99.1 (2)";#N/A,#N/A,FALSE,"TOTAL";#N/A,#N/A,FALSE,"98소지이동TOTvs99.1(b) (2)"}</definedName>
    <definedName name="yt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Z_E8FEE9A5_163A_11D2_AED0_0000E81DA68C_.wvu.Rows" localSheetId="44" hidden="1">#REF!</definedName>
    <definedName name="Z_E8FEE9A5_163A_11D2_AED0_0000E81DA68C_.wvu.Rows" hidden="1">#REF!</definedName>
    <definedName name="zzz"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히망ㅎ" hidden="1">{#N/A,#N/A,FALSE,"1.CRITERIA";#N/A,#N/A,FALSE,"2.IS";#N/A,#N/A,FALSE,"3.BS";#N/A,#N/A,FALSE,"4.PER PL";#N/A,#N/A,FALSE,"5.INVESTMENT";#N/A,#N/A,FALSE,"6.공문";#N/A,#N/A,FALSE,"7.netinvest"}</definedName>
    <definedName name="가1" hidden="1">{#N/A,#N/A,TRUE,"Y생산";#N/A,#N/A,TRUE,"Y판매";#N/A,#N/A,TRUE,"Y총물량";#N/A,#N/A,TRUE,"Y능력";#N/A,#N/A,TRUE,"YKD"}</definedName>
    <definedName name="가123" hidden="1">{"'분양원가'!$B$1:$F$113"}</definedName>
    <definedName name="가S_O" hidden="1">{#N/A,#N/A,FALSE,"DAOCM 2차 검토"}</definedName>
    <definedName name="가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가" hidden="1">{#N/A,#N/A,FALSE,"DAOCM 2차 검토"}</definedName>
    <definedName name="가각" hidden="1">{#N/A,#N/A,FALSE,"DAOCM 2차 검토"}</definedName>
    <definedName name="가기긱" hidden="1">{"'미착금액'!$A$4:$G$14"}</definedName>
    <definedName name="가나" hidden="1">{#N/A,#N/A,FALSE,"계약직(여)"}</definedName>
    <definedName name="가나라"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갤로" hidden="1">{#N/A,#N/A,FALSE,"정공"}</definedName>
    <definedName name="거"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경리손익" hidden="1">{#N/A,#N/A,FALSE,"정공"}</definedName>
    <definedName name="경비래요" hidden="1">{#N/A,#N/A,FALSE,"정공"}</definedName>
    <definedName name="경비실적" hidden="1">{#N/A,#N/A,FALSE,"정공"}</definedName>
    <definedName name="경영지" hidden="1">{#N/A,#N/A,FALSE,"BS";#N/A,#N/A,FALSE,"PL";#N/A,#N/A,FALSE,"처분";#N/A,#N/A,FALSE,"현금";#N/A,#N/A,FALSE,"매출";#N/A,#N/A,FALSE,"원가";#N/A,#N/A,FALSE,"경영"}</definedName>
    <definedName name="계산" hidden="1">{#N/A,#N/A,FALSE,"1.CRITERIA";#N/A,#N/A,FALSE,"2.IS";#N/A,#N/A,FALSE,"3.BS";#N/A,#N/A,FALSE,"4.PER PL";#N/A,#N/A,FALSE,"5.INVESTMENT";#N/A,#N/A,FALSE,"6.공문";#N/A,#N/A,FALSE,"7.netinvest"}</definedName>
    <definedName name="계약" hidden="1">{#N/A,#N/A,FALSE,"계약직(여)"}</definedName>
    <definedName name="계획2" hidden="1">{#N/A,#N/A,FALSE,"정공"}</definedName>
    <definedName name="공개입찰" hidden="1">{#N/A,#N/A,FALSE,"정공"}</definedName>
    <definedName name="공공공" hidden="1">{#N/A,#N/A,FALSE,"정공"}</definedName>
    <definedName name="공모23" hidden="1">{#N/A,#N/A,FALSE,"현장 NCR 분석";#N/A,#N/A,FALSE,"현장품질감사";#N/A,#N/A,FALSE,"현장품질감사"}</definedName>
    <definedName name="공수투입" hidden="1">{#N/A,#N/A,FALSE,"정공"}</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하소" hidden="1">{#N/A,#N/A,FALSE,"정공"}</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만" hidden="1">{#N/A,#N/A,FALSE,"계약직(여)"}</definedName>
    <definedName name="급여인상안" hidden="1">{#N/A,#N/A,FALSE,"계약직(여)"}</definedName>
    <definedName name="기" hidden="1">{#N/A,#N/A,FALSE,"1.CRITERIA";#N/A,#N/A,FALSE,"2.IS";#N/A,#N/A,FALSE,"3.BS";#N/A,#N/A,FALSE,"4.PER PL";#N/A,#N/A,FALSE,"5.INVESTMENT";#N/A,#N/A,FALSE,"6.공문";#N/A,#N/A,FALSE,"7.netinvest"}</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아" hidden="1">{#N/A,#N/A,FALSE,"1.CRITERIA";#N/A,#N/A,FALSE,"2.IS";#N/A,#N/A,FALSE,"3.BS";#N/A,#N/A,FALSE,"4.PER PL";#N/A,#N/A,FALSE,"5.INVESTMENT";#N/A,#N/A,FALSE,"6.공문";#N/A,#N/A,FALSE,"7.netinvest"}</definedName>
    <definedName name="기아모텍" hidden="1">{#N/A,#N/A,FALSE,"정공"}</definedName>
    <definedName name="기아전자" hidden="1">{#N/A,#N/A,FALSE,"정공"}</definedName>
    <definedName name="기아차" hidden="1">{#N/A,#N/A,FALSE,"1.CRITERIA";#N/A,#N/A,FALSE,"2.IS";#N/A,#N/A,FALSE,"3.BS";#N/A,#N/A,FALSE,"4.PER PL";#N/A,#N/A,FALSE,"5.INVESTMENT";#N/A,#N/A,FALSE,"6.공문";#N/A,#N/A,FALSE,"7.netinvest"}</definedName>
    <definedName name="기얻"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초가격" localSheetId="44">#REF!</definedName>
    <definedName name="기초가격">#REF!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{#N/A,#N/A,FALSE,"정공"}</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류율ㅇ" hidden="1">{#N/A,#N/A,FALSE,"Yield";#N/A,#N/A,FALSE,"Loss1";#N/A,#N/A,FALSE,"Loss2";#N/A,#N/A,FALSE,"Hour-Labor(배분)";#N/A,#N/A,FALSE,"Capital Expenditure";#N/A,#N/A,FALSE,"Productivity"}</definedName>
    <definedName name="ㄴㅁㄻㄹ" hidden="1">{#N/A,#N/A,FALSE,"정공"}</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라" hidden="1">{#N/A,#N/A,FALSE,"계약직(여)"}</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hidden="1">{"FORM1",#N/A,FALSE,"Revenue";"FORMTR",#N/A,FALSE,"Revenue";"FORM3.1",#N/A,FALSE,"Revenue"}</definedName>
    <definedName name="ㄴㅇㅇㅇㅇ" hidden="1">{#N/A,#N/A,FALSE,"정공"}</definedName>
    <definedName name="나나나" hidden="1">{"'미착금액'!$A$4:$G$14"}</definedName>
    <definedName name="나나아ㅓㅇㅇ" hidden="1">{#N/A,#N/A,FALSE,"정공"}</definedName>
    <definedName name="나다라"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오너라" hidden="1">{#N/A,#N/A,FALSE,"정공"}</definedName>
    <definedName name="나오아" hidden="1">{#N/A,#N/A,FALSE,"정공"}</definedName>
    <definedName name="내"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ㄹㅇㄹ" hidden="1">{#N/A,#N/A,FALSE,"정공"}</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ㄷ"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다" hidden="1">{#N/A,#N/A,FALSE,"1.CRITERIA";#N/A,#N/A,FALSE,"2.IS";#N/A,#N/A,FALSE,"3.BS";#N/A,#N/A,FALSE,"4.PER PL";#N/A,#N/A,FALSE,"5.INVESTMENT";#N/A,#N/A,FALSE,"6.공문";#N/A,#N/A,FALSE,"7.netinvest"}</definedName>
    <definedName name="다다익선" hidden="1">{#N/A,#N/A,FALSE,"정공"}</definedName>
    <definedName name="다달이" hidden="1">{#N/A,#N/A,FALSE,"정공"}</definedName>
    <definedName name="다라니경" hidden="1">{#N/A,#N/A,FALSE,"정공"}</definedName>
    <definedName name="다라니경을피우자" hidden="1">{#N/A,#N/A,FALSE,"정공"}</definedName>
    <definedName name="다바" hidden="1">{#N/A,#N/A,FALSE,"1.CRITERIA";#N/A,#N/A,FALSE,"2.IS";#N/A,#N/A,FALSE,"3.BS";#N/A,#N/A,FALSE,"4.PER PL";#N/A,#N/A,FALSE,"5.INVESTMENT";#N/A,#N/A,FALSE,"6.공문";#N/A,#N/A,FALSE,"7.netinvest"}</definedName>
    <definedName name="단기예치금5월" hidden="1">{"'분양원가'!$B$1:$F$113"}</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말기" hidden="1">{#N/A,#N/A,FALSE,"정공"}</definedName>
    <definedName name="단말기번호" hidden="1">{#N/A,#N/A,FALSE,"정공"}</definedName>
    <definedName name="단알기" hidden="1">{#N/A,#N/A,FALSE,"정공"}</definedName>
    <definedName name="당초기준손이" hidden="1">{#N/A,#N/A,FALSE,"정공"}</definedName>
    <definedName name="당초대비비교표" hidden="1">{#N/A,#N/A,FALSE,"정공"}</definedName>
    <definedName name="당초손익표" hidden="1">{#N/A,#N/A,FALSE,"정공"}</definedName>
    <definedName name="대" hidden="1">{#N/A,#N/A,FALSE,"계약직(여)"}</definedName>
    <definedName name="대리님" hidden="1">{#N/A,#N/A,FALSE,"정공"}</definedName>
    <definedName name="대리점사업부" hidden="1">{#N/A,#N/A,FALSE,"계약직(여)"}</definedName>
    <definedName name="대상시트" hidden="1">{#N/A,#N/A,FALSE,"정공"}</definedName>
    <definedName name="대우" hidden="1">{#N/A,#N/A,FALSE,"정공"}</definedName>
    <definedName name="대우하세요" hidden="1">{#N/A,#N/A,FALSE,"정공"}</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localSheetId="44" hidden="1">#REF!</definedName>
    <definedName name="대차대조표.." hidden="1">#REF!</definedName>
    <definedName name="대화상자" hidden="1">{#N/A,#N/A,FALSE,"정공"}</definedName>
    <definedName name="도"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번째" hidden="1">{#N/A,#N/A,FALSE,"정공"}</definedName>
    <definedName name="디" hidden="1">{#N/A,#N/A,FALSE,"1.CRITERIA";#N/A,#N/A,FALSE,"2.IS";#N/A,#N/A,FALSE,"3.BS";#N/A,#N/A,FALSE,"4.PER PL";#N/A,#N/A,FALSE,"5.INVESTMENT";#N/A,#N/A,FALSE,"6.공문";#N/A,#N/A,FALSE,"7.netinvest"}</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ㅇㄹㄹㄹㄹ" hidden="1">{#N/A,#N/A,FALSE,"정공"}</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ㅎㅎ" hidden="1">{#N/A,#N/A,FALSE,"98소지이동TOTvs99.1 (2)";#N/A,#N/A,FALSE,"TOTAL";#N/A,#N/A,FALSE,"98소지이동TOTvs99.1(b) (2)"}</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란다리아" hidden="1">{#N/A,#N/A,FALSE,"정공"}</definedName>
    <definedName name="랴"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비" localSheetId="44" hidden="1">#REF!</definedName>
    <definedName name="리비" hidden="1">#REF!</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 hidden="1">{#N/A,#N/A,FALSE,"정공"}</definedName>
    <definedName name="ㅁㄴㅇㄴ" hidden="1">{#N/A,#N/A,FALSE,"정공"}</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ㅁ" hidden="1">{#N/A,#N/A,FALSE,"정공"}</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 hidden="1">{#N/A,#N/A,FALSE,"계약직(여)"}</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44" hidden="1">#REF!</definedName>
    <definedName name="ㅁㅁㅁㅁㅁ" hidden="1">#REF!</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ㅇ"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마"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만국어" hidden="1">{#N/A,#N/A,FALSE,"정공"}</definedName>
    <definedName name="만기" localSheetId="44">#REF!</definedName>
    <definedName name="만기">#REF!</definedName>
    <definedName name="만다라어" hidden="1">{#N/A,#N/A,FALSE,"정공"}</definedName>
    <definedName name="만다라어빈국" hidden="1">{#N/A,#N/A,FALSE,"정공"}</definedName>
    <definedName name="매"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기준" hidden="1">{#N/A,#N/A,FALSE,"정공"}</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hidden="1">{#N/A,#N/A,FALSE,"정공"}</definedName>
    <definedName name="매출액2" hidden="1">{#N/A,#N/A,FALSE,"1.CRITERIA";#N/A,#N/A,FALSE,"2.IS";#N/A,#N/A,FALSE,"3.BS";#N/A,#N/A,FALSE,"4.PER PL";#N/A,#N/A,FALSE,"5.INVESTMENT";#N/A,#N/A,FALSE,"6.공문";#N/A,#N/A,FALSE,"7.netinvest"}</definedName>
    <definedName name="매출전환손익" hidden="1">{#N/A,#N/A,FALSE,"정공"}</definedName>
    <definedName name="매출추1" hidden="1">{#N/A,#N/A,FALSE,"정공"}</definedName>
    <definedName name="매출추정" hidden="1">{#N/A,#N/A,FALSE,"정공"}</definedName>
    <definedName name="머머"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차도" hidden="1">{#N/A,#N/A,FALSE,"정공"}</definedName>
    <definedName name="몰라" hidden="1">{#N/A,#N/A,FALSE,"계약직(여)"}</definedName>
    <definedName name="뫌" hidden="1">{#N/A,#N/A,FALSE,"1.CRITERIA";#N/A,#N/A,FALSE,"2.IS";#N/A,#N/A,FALSE,"3.BS";#N/A,#N/A,FALSE,"4.PER PL";#N/A,#N/A,FALSE,"5.INVESTMENT";#N/A,#N/A,FALSE,"6.공문";#N/A,#N/A,FALSE,"7.netinvest"}</definedName>
    <definedName name="무늬분석"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무" hidden="1">{#N/A,#N/A,FALSE,"1.CRITERIA";#N/A,#N/A,FALSE,"2.IS";#N/A,#N/A,FALSE,"3.BS";#N/A,#N/A,FALSE,"4.PER PL";#N/A,#N/A,FALSE,"5.INVESTMENT";#N/A,#N/A,FALSE,"6.공문";#N/A,#N/A,FALSE,"7.netinvest"}</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뮤뮤" hidden="1">{#N/A,#N/A,FALSE,"1.CRITERIA";#N/A,#N/A,FALSE,"2.IS";#N/A,#N/A,FALSE,"3.BS";#N/A,#N/A,FALSE,"4.PER PL";#N/A,#N/A,FALSE,"5.INVESTMENT";#N/A,#N/A,FALSE,"6.공문";#N/A,#N/A,FALSE,"7.netinvest"}</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hidden="1">{#N/A,#N/A,FALSE,"정공"}</definedName>
    <definedName name="미석" hidden="1">{#N/A,#N/A,FALSE,"정공"}</definedName>
    <definedName name="미움" hidden="1">{#N/A,#N/A,FALSE,"98소지이동TOTvs99.1 (2)";#N/A,#N/A,FALSE,"TOTAL";#N/A,#N/A,FALSE,"98소지이동TOTvs99.1(b) (2)"}</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{#N/A,#N/A,FALSE,"군산원가";#N/A,#N/A,FALSE,"팀별월별";#N/A,#N/A,FALSE,"타공정대체";#N/A,#N/A,FALSE,"기타경비";#N/A,#N/A,FALSE,"원료";#N/A,#N/A,FALSE,"연료"}</definedName>
    <definedName name="ㅂㅈㄴㅁ" hidden="1">{#N/A,#N/A,FALSE,"정공"}</definedName>
    <definedName name="바"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hidden="1">{"'분양원가'!$B$1:$F$113"}</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랑라" hidden="1">{#N/A,#N/A,FALSE,"정공"}</definedName>
    <definedName name="바로"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보상자" hidden="1">{#N/A,#N/A,FALSE,"정공"}</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hidden="1">{"'분양원가'!$B$1:$F$113"}</definedName>
    <definedName name="박왕근" hidden="1">{#N/A,#N/A,FALSE,"98소지이동TOTvs99.1 (2)";#N/A,#N/A,FALSE,"TOTAL";#N/A,#N/A,FALSE,"98소지이동TOTvs99.1(b) (2)"}</definedName>
    <definedName name="발"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명세" localSheetId="44" hidden="1">#REF!</definedName>
    <definedName name="배관명세" hidden="1">#REF!</definedName>
    <definedName name="배배배" hidden="1">{"'미착금액'!$A$4:$G$14"}</definedName>
    <definedName name="배부기준첨부" hidden="1">{#N/A,#N/A,FALSE,"정공"}</definedName>
    <definedName name="배부기준첨부하오" hidden="1">{#N/A,#N/A,FALSE,"정공"}</definedName>
    <definedName name="버바바" hidden="1">{#N/A,#N/A,FALSE,"정공"}</definedName>
    <definedName name="버버" hidden="1">{#N/A,#N/A,FALSE,"1.CRITERIA";#N/A,#N/A,FALSE,"2.IS";#N/A,#N/A,FALSE,"3.BS";#N/A,#N/A,FALSE,"4.PER PL";#N/A,#N/A,FALSE,"5.INVESTMENT";#N/A,#N/A,FALSE,"6.공문";#N/A,#N/A,FALSE,"7.netinvest"}</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속" localSheetId="44" hidden="1">#REF!</definedName>
    <definedName name="부속" hidden="1">#REF!</definedName>
    <definedName name="부외부채" hidden="1">{"adj95mult",#N/A,FALSE,"COMPCO";"adj95est",#N/A,FALSE,"COMPCO"}</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분기목표대비" hidden="1">{#N/A,#N/A,FALSE,"현장 NCR 분석";#N/A,#N/A,FALSE,"현장품질감사";#N/A,#N/A,FALSE,"현장품질감사"}</definedName>
    <definedName name="분사" hidden="1">{"'미착금액'!$A$4:$G$14"}</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비비" localSheetId="44" hidden="1">#REF!</definedName>
    <definedName name="비비비" hidden="1">#REF!</definedName>
    <definedName name="비율2" localSheetId="44" hidden="1">#REF!</definedName>
    <definedName name="비율2" hidden="1">#REF!</definedName>
    <definedName name="비품1" localSheetId="44" hidden="1">#REF!</definedName>
    <definedName name="비품1" hidden="1">#REF!</definedName>
    <definedName name="빙수" hidden="1">{#N/A,#N/A,FALSE,"1.CRITERIA";#N/A,#N/A,FALSE,"2.IS";#N/A,#N/A,FALSE,"3.BS";#N/A,#N/A,FALSE,"4.PER PL";#N/A,#N/A,FALSE,"5.INVESTMENT";#N/A,#N/A,FALSE,"6.공문";#N/A,#N/A,FALSE,"7.netinvest"}</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세" hidden="1">{#N/A,#N/A,FALSE,"98소지이동TOTvs99.1 (2)";#N/A,#N/A,FALSE,"TOTAL";#N/A,#N/A,FALSE,"98소지이동TOTvs99.1(b) (2)"}</definedName>
    <definedName name="사" hidden="1">{#N/A,#N/A,FALSE,"1.CRITERIA";#N/A,#N/A,FALSE,"2.IS";#N/A,#N/A,FALSE,"3.BS";#N/A,#N/A,FALSE,"4.PER PL";#N/A,#N/A,FALSE,"5.INVESTMENT";#N/A,#N/A,FALSE,"6.공문";#N/A,#N/A,FALSE,"7.netinvest"}</definedName>
    <definedName name="사다함이" hidden="1">{#N/A,#N/A,FALSE,"정공"}</definedName>
    <definedName name="사업계획2" hidden="1">{#N/A,#N/A,FALSE,"정공"}</definedName>
    <definedName name="사업비교표" hidden="1">{#N/A,#N/A,FALSE,"정공"}</definedName>
    <definedName name="사업추진" hidden="1">{#N/A,#N/A,FALSE,"정공"}</definedName>
    <definedName name="사원미지급" hidden="1">{#N/A,#N/A,FALSE,"1.CRITERIA";#N/A,#N/A,FALSE,"2.IS";#N/A,#N/A,FALSE,"3.BS";#N/A,#N/A,FALSE,"4.PER PL";#N/A,#N/A,FALSE,"5.INVESTMENT";#N/A,#N/A,FALSE,"6.공문";#N/A,#N/A,FALSE,"7.netinvest"}</definedName>
    <definedName name="삼성" hidden="1">{#N/A,#N/A,FALSE,"정공"}</definedName>
    <definedName name="삼성2" hidden="1">{#N/A,#N/A,FALSE,"정공"}</definedName>
    <definedName name="상로허호" hidden="1">{#N/A,#N/A,FALSE,"정공"}</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품" localSheetId="44" hidden="1">#REF!</definedName>
    <definedName name="상품" hidden="1">#REF!</definedName>
    <definedName name="새새샛" hidden="1">{"'미착금액'!$A$4:$G$14"}</definedName>
    <definedName name="새파일편집" hidden="1">{#N/A,#N/A,FALSE,"정공"}</definedName>
    <definedName name="생산" hidden="1">{#N/A,#N/A,FALSE,"98소지이동TOTvs99.1 (2)";#N/A,#N/A,FALSE,"TOTAL";#N/A,#N/A,FALSE,"98소지이동TOTvs99.1(b) (2)"}</definedName>
    <definedName name="생산1" hidden="1">{#N/A,#N/A,FALSE,"군산원가";#N/A,#N/A,FALSE,"팀별월별";#N/A,#N/A,FALSE,"타공정대체";#N/A,#N/A,FALSE,"기타경비";#N/A,#N/A,FALSE,"원료";#N/A,#N/A,FALSE,"연료"}</definedName>
    <definedName name="생산2" hidden="1">{#N/A,#N/A,FALSE,"군산원가";#N/A,#N/A,FALSE,"팀별월별";#N/A,#N/A,FALSE,"타공정대체";#N/A,#N/A,FALSE,"기타경비";#N/A,#N/A,FALSE,"원료";#N/A,#N/A,FALSE,"연료"}</definedName>
    <definedName name="생산3" hidden="1">{#N/A,#N/A,FALSE,"98소지이동TOTvs99.1 (2)";#N/A,#N/A,FALSE,"TOTAL";#N/A,#N/A,FALSE,"98소지이동TOTvs99.1(b) (2)"}</definedName>
    <definedName name="생산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6" hidden="1">{#N/A,#N/A,FALSE,"Yield";#N/A,#N/A,FALSE,"Loss1";#N/A,#N/A,FALSE,"Loss2";#N/A,#N/A,FALSE,"Hour-Labor(배분)";#N/A,#N/A,FALSE,"Capital Expenditure";#N/A,#N/A,FALSE,"Productivity"}</definedName>
    <definedName name="생산7" hidden="1">{#N/A,#N/A,FALSE,"98소지이동TOTvs99.1 (2)";#N/A,#N/A,FALSE,"TOTAL";#N/A,#N/A,FALSE,"98소지이동TOTvs99.1(b) (2)"}</definedName>
    <definedName name="생산능력" hidden="1">{#N/A,#N/A,FALSE,"정공"}</definedName>
    <definedName name="생산성" hidden="1">{#N/A,#N/A,FALSE,"손익표지";#N/A,#N/A,FALSE,"손익계산";#N/A,#N/A,FALSE,"일반관리비";#N/A,#N/A,FALSE,"영업외수익";#N/A,#N/A,FALSE,"영업외비용";#N/A,#N/A,FALSE,"매출액";#N/A,#N/A,FALSE,"요약손익";#N/A,#N/A,FALSE,"요약대차";#N/A,#N/A,FALSE,"매출채권현황";#N/A,#N/A,FALSE,"매출채권명세"}</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생산손익" hidden="1">{#N/A,#N/A,FALSE,"정공"}</definedName>
    <definedName name="생산품목" hidden="1">{#N/A,#N/A,FALSE,"정공"}</definedName>
    <definedName name="서안동확인서" hidden="1">{#N/A,#N/A,FALSE,"DAOCM 2차 검토"}</definedName>
    <definedName name="서이"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설비투자" hidden="1">{#N/A,#N/A,FALSE,"정공"}</definedName>
    <definedName name="소요기간" hidden="1">{#N/A,#N/A,FALSE,"정공"}</definedName>
    <definedName name="손" hidden="1">{#N/A,#N/A,FALSE,"계약직(여)"}</definedName>
    <definedName name="손실" hidden="1">{#N/A,#N/A,FALSE,"98소지이동TOTvs99.1 (2)";#N/A,#N/A,FALSE,"TOTAL";#N/A,#N/A,FALSE,"98소지이동TOTvs99.1(b) (2)"}</definedName>
    <definedName name="손익계산" hidden="1">{#N/A,#N/A,FALSE,"정공"}</definedName>
    <definedName name="손익계산서"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조정_04_12" hidden="1">{#N/A,#N/A,FALSE,"1.CRITERIA";#N/A,#N/A,FALSE,"2.IS";#N/A,#N/A,FALSE,"3.BS";#N/A,#N/A,FALSE,"4.PER PL";#N/A,#N/A,FALSE,"5.INVESTMENT";#N/A,#N/A,FALSE,"6.공문";#N/A,#N/A,FALSE,"7.netinvest"}</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송" hidden="1">{#N/A,#N/A,TRUE,"Y생산";#N/A,#N/A,TRUE,"Y판매";#N/A,#N/A,TRUE,"Y총물량";#N/A,#N/A,TRUE,"Y능력";#N/A,#N/A,TRUE,"YKD"}</definedName>
    <definedName name="송익" hidden="1">{#N/A,#N/A,FALSE,"정공"}</definedName>
    <definedName name="송창기" hidden="1">{#N/A,#N/A,TRUE,"Y생산";#N/A,#N/A,TRUE,"Y판매";#N/A,#N/A,TRUE,"Y총물량";#N/A,#N/A,TRUE,"Y능력";#N/A,#N/A,TRUE,"YKD"}</definedName>
    <definedName name="수량추정" hidden="1">{#N/A,#N/A,FALSE,"정공"}</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유LOSS" hidden="1">{#N/A,#N/A,FALSE,"군산원가";#N/A,#N/A,FALSE,"팀별월별";#N/A,#N/A,FALSE,"타공정대체";#N/A,#N/A,FALSE,"기타경비";#N/A,#N/A,FALSE,"원료";#N/A,#N/A,FALSE,"연료"}</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6누적" hidden="1">{#N/A,#N/A,FALSE,"98소지이동TOTvs99.1 (2)";#N/A,#N/A,FALSE,"TOTAL";#N/A,#N/A,FALSE,"98소지이동TOTvs99.1(b) (2)"}</definedName>
    <definedName name="수정현금흐름표" hidden="1">{#N/A,#N/A,TRUE,"Summary";#N/A,#N/A,TRUE,"IS";#N/A,#N/A,TRUE,"Adj";#N/A,#N/A,TRUE,"BS";#N/A,#N/A,TRUE,"CF";#N/A,#N/A,TRUE,"Debt";#N/A,#N/A,TRUE,"IRR"}</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신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ㄹㄴ" hidden="1">{#N/A,#N/A,FALSE,"98소지이동TOTvs99.1 (2)";#N/A,#N/A,FALSE,"TOTAL";#N/A,#N/A,FALSE,"98소지이동TOTvs99.1(b) (2)"}</definedName>
    <definedName name="ㅇㄹㄹ" hidden="1">{#N/A,#N/A,FALSE,"98소지이동TOTvs99.1 (2)";#N/A,#N/A,FALSE,"TOTAL";#N/A,#N/A,FALSE,"98소지이동TOTvs99.1(b) (2)"}</definedName>
    <definedName name="ㅇㄹㄹㄹㄹ" hidden="1">{#N/A,#N/A,FALSE,"정공"}</definedName>
    <definedName name="ㅇㄹㅇㄹㅇ" hidden="1">{#N/A,#N/A,FALSE,"정공"}</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ㅎ" hidden="1">{#N/A,#N/A,FALSE,"정공"}</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ㄴㅇㄴ" hidden="1">{#N/A,#N/A,FALSE,"정공"}</definedName>
    <definedName name="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ㄴㄴ" hidden="1">{#N/A,#N/A,FALSE,"정공"}</definedName>
    <definedName name="ㅇㅇㅇㅇ" hidden="1">{#N/A,#N/A,FALSE,"정공"}</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hidden="1">{#N/A,#N/A,FALSE,"정공"}</definedName>
    <definedName name="ㅇ여ㅗ흐ㅓㅇ휸" hidden="1">{#N/A,#N/A,FALSE,"98소지이동TOTvs99.1 (2)";#N/A,#N/A,FALSE,"TOTAL";#N/A,#N/A,FALSE,"98소지이동TOTvs99.1(b) (2)"}</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아" hidden="1">{#N/A,#N/A,FALSE,"1.CRITERIA";#N/A,#N/A,FALSE,"2.IS";#N/A,#N/A,FALSE,"3.BS";#N/A,#N/A,FALSE,"4.PER PL";#N/A,#N/A,FALSE,"5.INVESTMENT";#N/A,#N/A,FALSE,"6.공문";#N/A,#N/A,FALSE,"7.netinvest"}</definedName>
    <definedName name="아니래요" hidden="1">{#N/A,#N/A,FALSE,"정공"}</definedName>
    <definedName name="아니면말고" hidden="1">{#N/A,#N/A,FALSE,"정공"}</definedName>
    <definedName name="아니오" hidden="1">{#N/A,#N/A,FALSE,"정공"}</definedName>
    <definedName name="아리랑" hidden="1">{#N/A,#N/A,FALSE,"정공"}</definedName>
    <definedName name="아리랑동동" hidden="1">{#N/A,#N/A,FALSE,"정공"}</definedName>
    <definedName name="아아아" hidden="1">{#N/A,#N/A,FALSE,"1.CRITERIA";#N/A,#N/A,FALSE,"2.IS";#N/A,#N/A,FALSE,"3.BS";#N/A,#N/A,FALSE,"4.PER PL";#N/A,#N/A,FALSE,"5.INVESTMENT";#N/A,#N/A,FALSE,"6.공문";#N/A,#N/A,FALSE,"7.netinvest"}</definedName>
    <definedName name="아아아2" hidden="1">{"'미착금액'!$A$4:$G$14"}</definedName>
    <definedName name="아이" hidden="1">{#N/A,#N/A,FALSE,"1.CRITERIA";#N/A,#N/A,FALSE,"2.IS";#N/A,#N/A,FALSE,"3.BS";#N/A,#N/A,FALSE,"4.PER PL";#N/A,#N/A,FALSE,"5.INVESTMENT";#N/A,#N/A,FALSE,"6.공문";#N/A,#N/A,FALSE,"7.netinvest"}</definedName>
    <definedName name="안" localSheetId="44" hidden="1">#REF!</definedName>
    <definedName name="안" hidden="1">#REF!</definedName>
    <definedName name="안전" hidden="1">{#N/A,#N/A,FALSE,"98소지이동TOTvs99.1 (2)";#N/A,#N/A,FALSE,"TOTAL";#N/A,#N/A,FALSE,"98소지이동TOTvs99.1(b) (2)"}</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앗서" hidden="1">{#N/A,#N/A,FALSE,"정공"}</definedName>
    <definedName name="약식손익" hidden="1">{#N/A,#N/A,FALSE,"정공"}</definedName>
    <definedName name="약정잉자" hidden="1">{#N/A,#N/A,FALSE,"정공"}</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어어" hidden="1">{#N/A,#N/A,FALSE,"1.CRITERIA";#N/A,#N/A,FALSE,"2.IS";#N/A,#N/A,FALSE,"3.BS";#N/A,#N/A,FALSE,"4.PER PL";#N/A,#N/A,FALSE,"5.INVESTMENT";#N/A,#N/A,FALSE,"6.공문";#N/A,#N/A,FALSE,"7.netinvest"}</definedName>
    <definedName name="업무보고용" hidden="1">{#N/A,#N/A,FALSE,"정공"}</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hidden="1">{#N/A,#N/A,FALSE,"1.CRITERIA";#N/A,#N/A,FALSE,"2.IS";#N/A,#N/A,FALSE,"3.BS";#N/A,#N/A,FALSE,"4.PER PL";#N/A,#N/A,FALSE,"5.INVESTMENT";#N/A,#N/A,FALSE,"6.공문";#N/A,#N/A,FALSE,"7.netinvest"}</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hidden="1">{#N/A,#N/A,FALSE,"정공"}</definedName>
    <definedName name="영" hidden="1">{#N/A,#N/A,FALSE,"1.CRITERIA";#N/A,#N/A,FALSE,"2.IS";#N/A,#N/A,FALSE,"3.BS";#N/A,#N/A,FALSE,"4.PER PL";#N/A,#N/A,FALSE,"5.INVESTMENT";#N/A,#N/A,FALSE,"6.공문";#N/A,#N/A,FALSE,"7.netinvest"}</definedName>
    <definedName name="영성기업" hidden="1">{#N/A,#N/A,FALSE,"범우구미";#N/A,#N/A,FALSE,"세한케미칼";#N/A,#N/A,FALSE,"세명화학";#N/A,#N/A,FALSE,"신영케미칼";#N/A,#N/A,FALSE,"일석상사"}</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치보증" hidden="1">{"'분양원가'!$B$1:$F$113"}</definedName>
    <definedName name="예치보증금" hidden="1">{"'분양원가'!$B$1:$F$113"}</definedName>
    <definedName name="오" hidden="1">{#N/A,#N/A,FALSE,"1.CRITERIA";#N/A,#N/A,FALSE,"2.IS";#N/A,#N/A,FALSE,"3.BS";#N/A,#N/A,FALSE,"4.PER PL";#N/A,#N/A,FALSE,"5.INVESTMENT";#N/A,#N/A,FALSE,"6.공문";#N/A,#N/A,FALSE,"7.netinvest"}</definedName>
    <definedName name="오성협" hidden="1">{#N/A,#N/A,TRUE,"Y생산";#N/A,#N/A,TRUE,"Y판매";#N/A,#N/A,TRUE,"Y총물량";#N/A,#N/A,TRUE,"Y능력";#N/A,#N/A,TRUE,"YKD"}</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예금"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약" hidden="1">{#N/A,#N/A,FALSE,"정공"}</definedName>
    <definedName name="요약3" hidden="1">{#N/A,#N/A,FALSE,"정공"}</definedName>
    <definedName name="요약5" hidden="1">{#N/A,#N/A,FALSE,"정공"}</definedName>
    <definedName name="요약총괄" hidden="1">{#N/A,#N/A,FALSE,"정공"}</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가관리라" hidden="1">{#N/A,#N/A,FALSE,"정공"}</definedName>
    <definedName name="원가분석" hidden="1">{#N/A,#N/A,FALSE,"1.CRITERIA";#N/A,#N/A,FALSE,"2.IS";#N/A,#N/A,FALSE,"3.BS";#N/A,#N/A,FALSE,"4.PER PL";#N/A,#N/A,FALSE,"5.INVESTMENT";#N/A,#N/A,FALSE,"6.공문";#N/A,#N/A,FALSE,"7.netinvest"}</definedName>
    <definedName name="원가적용" hidden="1">{#N/A,#N/A,FALSE,"정공"}</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월"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hidden="1">{#N/A,#N/A,FALSE,"정공"}</definedName>
    <definedName name="유" localSheetId="44" hidden="1">#REF!</definedName>
    <definedName name="유" hidden="1">#REF!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hidden="1">{#N/A,#N/A,FALSE,"1.CRITERIA";#N/A,#N/A,FALSE,"2.IS";#N/A,#N/A,FALSE,"3.BS";#N/A,#N/A,FALSE,"4.PER PL";#N/A,#N/A,FALSE,"5.INVESTMENT";#N/A,#N/A,FALSE,"6.공문";#N/A,#N/A,FALSE,"7.netinvest"}</definedName>
    <definedName name="유형근" hidden="1">"AS2DocumentEdit"</definedName>
    <definedName name="유형테스트" hidden="1">{"FORM17",#N/A,FALSE,"Commission1";"FORM17.1",#N/A,FALSE,"Commission2"}</definedName>
    <definedName name="이" hidden="1">{#N/A,#N/A,FALSE,"98소지이동TOTvs99.1 (2)";#N/A,#N/A,FALSE,"TOTAL";#N/A,#N/A,FALSE,"98소지이동TOTvs99.1(b) (2)"}</definedName>
    <definedName name="이광흐ㅣ2" hidden="1">{#N/A,#N/A,FALSE,"98소지이동TOTvs99.1 (2)";#N/A,#N/A,FALSE,"TOTAL";#N/A,#N/A,FALSE,"98소지이동TOTvs99.1(b) (2)"}</definedName>
    <definedName name="이광희" hidden="1">{#N/A,#N/A,FALSE,"Yield";#N/A,#N/A,FALSE,"Loss1";#N/A,#N/A,FALSE,"Loss2";#N/A,#N/A,FALSE,"Hour-Labor(배분)";#N/A,#N/A,FALSE,"Capital Expenditure";#N/A,#N/A,FALSE,"Productivity"}</definedName>
    <definedName name="이름_1" hidden="1">{#N/A,#N/A,FALSE,"DAOCM 2차 검토"}</definedName>
    <definedName name="이미" hidden="1">{#N/A,#N/A,FALSE,"98소지이동TOTvs99.1 (2)";#N/A,#N/A,FALSE,"TOTAL";#N/A,#N/A,FALSE,"98소지이동TOTvs99.1(b) (2)"}</definedName>
    <definedName name="이미리" hidden="1">{#N/A,#N/A,FALSE,"98소지이동TOTvs99.1 (2)";#N/A,#N/A,FALSE,"TOTAL";#N/A,#N/A,FALSE,"98소지이동TOTvs99.1(b) (2)"}</definedName>
    <definedName name="이사회" hidden="1">{"adj95mult",#N/A,FALSE,"COMPCO";"adj95est",#N/A,FALSE,"COMPCO"}</definedName>
    <definedName name="이여도" hidden="1">{#N/A,#N/A,FALSE,"98소지이동TOTvs99.1 (2)";#N/A,#N/A,FALSE,"TOTAL";#N/A,#N/A,FALSE,"98소지이동TOTvs99.1(b) (2)"}</definedName>
    <definedName name="이연" hidden="1">{"FORM17",#N/A,FALSE,"Commission1";"FORM17.1",#N/A,FALSE,"Commission2"}</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력2" hidden="1">{#N/A,#N/A,FALSE,"계약직(여)"}</definedName>
    <definedName name="인원1" hidden="1">{#N/A,#N/A,FALSE,"98소지이동TOTvs99.1 (2)";#N/A,#N/A,FALSE,"TOTAL";#N/A,#N/A,FALSE,"98소지이동TOTvs99.1(b) (2)"}</definedName>
    <definedName name="인원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충원사유" hidden="1">{#N/A,#N/A,FALSE,"계약직(여)"}</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임동원" hidden="1">{#N/A,#N/A,FALSE,"정공"}</definedName>
    <definedName name="임차" hidden="1">{"'분양원가'!$B$1:$F$113"}</definedName>
    <definedName name="임차2" hidden="1">{"'분양원가'!$B$1:$F$113"}</definedName>
    <definedName name="입력현황1" hidden="1">{#N/A,#N/A,FALSE,"DAOCM 2차 검토"}</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{"FORM17",#N/A,FALSE,"Commission1";"FORM17.1",#N/A,FALSE,"Commission2"}</definedName>
    <definedName name="ㅈㅈㅈㅈ" hidden="1">{#N/A,#N/A,FALSE,"정공"}</definedName>
    <definedName name="자금계획" hidden="1">{#N/A,#N/A,FALSE,"정공"}</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본금" hidden="1">{#N/A,#N/A,FALSE,"정공"}</definedName>
    <definedName name="자본적" hidden="1">{#N/A,#N/A,FALSE,"98소지이동TOTvs99.1 (2)";#N/A,#N/A,FALSE,"TOTAL";#N/A,#N/A,FALSE,"98소지이동TOTvs99.1(b) (2)"}</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자자잦" hidden="1">{#N/A,#N/A,FALSE,"정공"}</definedName>
    <definedName name="작업" hidden="1">{#N/A,#N/A,FALSE,"군산원가";#N/A,#N/A,FALSE,"팀별월별";#N/A,#N/A,FALSE,"타공정대체";#N/A,#N/A,FALSE,"기타경비";#N/A,#N/A,FALSE,"원료";#N/A,#N/A,FALSE,"연료"}</definedName>
    <definedName name="잔다르크" hidden="1">{#N/A,#N/A,FALSE,"정공"}</definedName>
    <definedName name="잡손실" hidden="1">{#N/A,#N/A,FALSE,"1.CRITERIA";#N/A,#N/A,FALSE,"2.IS";#N/A,#N/A,FALSE,"3.BS";#N/A,#N/A,FALSE,"4.PER PL";#N/A,#N/A,FALSE,"5.INVESTMENT";#N/A,#N/A,FALSE,"6.공문";#N/A,#N/A,FALSE,"7.netinvest"}</definedName>
    <definedName name="잡손익2" hidden="1">{#N/A,#N/A,FALSE,"BS";#N/A,#N/A,FALSE,"PL";#N/A,#N/A,FALSE,"처분";#N/A,#N/A,FALSE,"현금";#N/A,#N/A,FALSE,"매출";#N/A,#N/A,FALSE,"원가";#N/A,#N/A,FALSE,"경영"}</definedName>
    <definedName name="잡이익" hidden="1">{#N/A,#N/A,FALSE,"1.CRITERIA";#N/A,#N/A,FALSE,"2.IS";#N/A,#N/A,FALSE,"3.BS";#N/A,#N/A,FALSE,"4.PER PL";#N/A,#N/A,FALSE,"5.INVESTMENT";#N/A,#N/A,FALSE,"6.공문";#N/A,#N/A,FALSE,"7.netinvest"}</definedName>
    <definedName name="장병서" hidden="1">{"FORM1",#N/A,FALSE,"Revenue";"FORMTR",#N/A,FALSE,"Revenue";"FORM3.1",#N/A,FALSE,"Revenue"}</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hidden="1">{"'분양원가'!$B$1:$F$113"}</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hidden="1">{"'분양원가'!$B$1:$F$113"}</definedName>
    <definedName name="재산관리비12월" hidden="1">{#N/A,#N/A,TRUE,"COFTOT"}</definedName>
    <definedName name="재재재" hidden="1">{"'미착금액'!$A$4:$G$14"}</definedName>
    <definedName name="저장품" hidden="1">{"'분양원가'!$B$1:$F$113"}</definedName>
    <definedName name="적치" hidden="1">{#N/A,#N/A,FALSE,"군산원가";#N/A,#N/A,FALSE,"팀별월별";#N/A,#N/A,FALSE,"타공정대체";#N/A,#N/A,FALSE,"기타경비";#N/A,#N/A,FALSE,"원료";#N/A,#N/A,FALSE,"연료"}</definedName>
    <definedName name="전2" hidden="1">{#N/A,#N/A,FALSE,"정공"}</definedName>
    <definedName name="전기오류" localSheetId="44" hidden="1">#REF!</definedName>
    <definedName name="전기오류" hidden="1">#REF!</definedName>
    <definedName name="전략" hidden="1">{#N/A,#N/A,FALSE,"정공"}</definedName>
    <definedName name="전략2" hidden="1">{#N/A,#N/A,FALSE,"정공"}</definedName>
    <definedName name="전략투" hidden="1">{#N/A,#N/A,FALSE,"정공"}</definedName>
    <definedName name="전송영업1" hidden="1">{#N/A,#N/A,FALSE,"DAOCM 2차 검토"}</definedName>
    <definedName name="전송영업2" hidden="1">{#N/A,#N/A,FALSE,"DAOCM 2차 검토"}</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표수거비" hidden="1">{#N/A,#N/A,FALSE,"계약직(여)"}</definedName>
    <definedName name="절감내역상세" hidden="1">{#N/A,#N/A,FALSE,"정공"}</definedName>
    <definedName name="절감반기계획對실적" hidden="1">{#N/A,#N/A,FALSE,"정공"}</definedName>
    <definedName name="정공" hidden="1">{#N/A,#N/A,FALSE,"정공"}</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구분손익" hidden="1">{#N/A,#N/A,FALSE,"정공"}</definedName>
    <definedName name="제품별" hidden="1">{#N/A,#N/A,FALSE,"정공"}</definedName>
    <definedName name="제품별손익" hidden="1">{#N/A,#N/A,FALSE,"정공"}</definedName>
    <definedName name="제품손익표" hidden="1">{#N/A,#N/A,FALSE,"정공"}</definedName>
    <definedName name="조" hidden="1">{#N/A,#N/A,FALSE,"1.CRITERIA";#N/A,#N/A,FALSE,"2.IS";#N/A,#N/A,FALSE,"3.BS";#N/A,#N/A,FALSE,"4.PER PL";#N/A,#N/A,FALSE,"5.INVESTMENT";#N/A,#N/A,FALSE,"6.공문";#N/A,#N/A,FALSE,"7.netinvest"}</definedName>
    <definedName name="조정" localSheetId="44" hidden="1">#REF!</definedName>
    <definedName name="조정" hidden="1">#REF!</definedName>
    <definedName name="조정2" hidden="1">{#N/A,#N/A,FALSE,"DAOCM 2차 검토"}</definedName>
    <definedName name="조정후손익" hidden="1">{#N/A,#N/A,FALSE,"정공"}</definedName>
    <definedName name="조직1" hidden="1">{#N/A,#N/A,FALSE,"정공"}</definedName>
    <definedName name="조직3" hidden="1">{#N/A,#N/A,FALSE,"정공"}</definedName>
    <definedName name="종합2" hidden="1">{#N/A,#N/A,FALSE,"정공"}</definedName>
    <definedName name="종합미래2" hidden="1">{#N/A,#N/A,FALSE,"정공"}</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주가상승계수" localSheetId="44">#REF!</definedName>
    <definedName name="주가상승계수">#REF!</definedName>
    <definedName name="주가하락계수" localSheetId="44">#REF!</definedName>
    <definedName name="주가하락계수">#REF!</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hidden="1">{#N/A,#N/A,TRUE,"Y생산";#N/A,#N/A,TRUE,"Y판매";#N/A,#N/A,TRUE,"Y총물량";#N/A,#N/A,TRUE,"Y능력";#N/A,#N/A,TRUE,"YKD"}</definedName>
    <definedName name="주요업무3" hidden="1">{#N/A,#N/A,TRUE,"Y생산";#N/A,#N/A,TRUE,"Y판매";#N/A,#N/A,TRUE,"Y총물량";#N/A,#N/A,TRUE,"Y능력";#N/A,#N/A,TRUE,"YKD"}</definedName>
    <definedName name="중간요약" hidden="1">{#N/A,#N/A,FALSE,"BS";#N/A,#N/A,FALSE,"PL";#N/A,#N/A,FALSE,"처분";#N/A,#N/A,FALSE,"현금";#N/A,#N/A,FALSE,"매출";#N/A,#N/A,FALSE,"원가";#N/A,#N/A,FALSE,"경영"}</definedName>
    <definedName name="중기" hidden="1">{#N/A,#N/A,FALSE,"정공"}</definedName>
    <definedName name="지분법" hidden="1">{#N/A,#N/A,FALSE,"계약직(여)"}</definedName>
    <definedName name="지역본부" hidden="1">{#N/A,#N/A,FALSE,"DAOCM 2차 검토"}</definedName>
    <definedName name="지지지" hidden="1">{"'미착금액'!$A$4:$G$14"}</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차" hidden="1">{#N/A,#N/A,FALSE,"1.CRITERIA";#N/A,#N/A,FALSE,"2.IS";#N/A,#N/A,FALSE,"3.BS";#N/A,#N/A,FALSE,"4.PER PL";#N/A,#N/A,FALSE,"5.INVESTMENT";#N/A,#N/A,FALSE,"6.공문";#N/A,#N/A,FALSE,"7.netinvest"}</definedName>
    <definedName name="차입명세" hidden="1">{"'분양원가'!$B$1:$F$113"}</definedName>
    <definedName name="차트" hidden="1">{#N/A,#N/A,FALSE,"정공"}</definedName>
    <definedName name="참고2" localSheetId="44" hidden="1">#REF!</definedName>
    <definedName name="참고2" hidden="1">#REF!</definedName>
    <definedName name="창고LOSS" hidden="1">{#N/A,#N/A,FALSE,"군산원가";#N/A,#N/A,FALSE,"팀별월별";#N/A,#N/A,FALSE,"타공정대체";#N/A,#N/A,FALSE,"기타경비";#N/A,#N/A,FALSE,"원료";#N/A,#N/A,FALSE,"연료"}</definedName>
    <definedName name="초임금비교" hidden="1">{#N/A,#N/A,FALSE,"계약직(여)"}</definedName>
    <definedName name="초임급" hidden="1">{#N/A,#N/A,FALSE,"계약직(여)"}</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hidden="1">{#N/A,#N/A,FALSE,"정공"}</definedName>
    <definedName name="총괄6" hidden="1">{#N/A,#N/A,FALSE,"정공"}</definedName>
    <definedName name="촤" hidden="1">{#N/A,#N/A,FALSE,"1.CRITERIA";#N/A,#N/A,FALSE,"2.IS";#N/A,#N/A,FALSE,"3.BS";#N/A,#N/A,FALSE,"4.PER PL";#N/A,#N/A,FALSE,"5.INVESTMENT";#N/A,#N/A,FALSE,"6.공문";#N/A,#N/A,FALSE,"7.netinvest"}</definedName>
    <definedName name="최리리" hidden="1">{#N/A,#N/A,FALSE,"정공"}</definedName>
    <definedName name="최영" hidden="1">{#N/A,#N/A,FALSE,"정공"}</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진" hidden="1">{#N/A,#N/A,FALSE,"정공"}</definedName>
    <definedName name="추진전략" hidden="1">{#N/A,#N/A,FALSE,"정공"}</definedName>
    <definedName name="ㅋ"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카러"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투" localSheetId="44" hidden="1">#REF!</definedName>
    <definedName name="투" hidden="1">#REF!</definedName>
    <definedName name="투자자산" hidden="1">{"FORM17",#N/A,FALSE,"Commission1";"FORM17.1",#N/A,FALSE,"Commission2"}</definedName>
    <definedName name="투자자산2" hidden="1">{"FORM1",#N/A,FALSE,"Revenue";"FORMTR",#N/A,FALSE,"Revenue";"FORM3.1",#N/A,FALSE,"Revenue"}</definedName>
    <definedName name="특정"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도라상자" hidden="1">{#N/A,#N/A,FALSE,"정공"}</definedName>
    <definedName name="판본부" hidden="1">{#N/A,#N/A,FALSE,"군산원가";#N/A,#N/A,FALSE,"팀별월별";#N/A,#N/A,FALSE,"타공정대체";#N/A,#N/A,FALSE,"기타경비";#N/A,#N/A,FALSE,"원료";#N/A,#N/A,FALSE,"연료"}</definedName>
    <definedName name="판유리"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균이자율" localSheetId="44" hidden="1">#REF!</definedName>
    <definedName name="평균이자율" hidden="1">#REF!</definedName>
    <definedName name="포" hidden="1">{#N/A,#N/A,FALSE,"1.CRITERIA";#N/A,#N/A,FALSE,"2.IS";#N/A,#N/A,FALSE,"3.BS";#N/A,#N/A,FALSE,"4.PER PL";#N/A,#N/A,FALSE,"5.INVESTMENT";#N/A,#N/A,FALSE,"6.공문";#N/A,#N/A,FALSE,"7.netinvest"}</definedName>
    <definedName name="포공화학" hidden="1">{#N/A,#N/A,FALSE,"범우구미";#N/A,#N/A,FALSE,"세한케미칼";#N/A,#N/A,FALSE,"세명화학";#N/A,#N/A,FALSE,"신영케미칼";#N/A,#N/A,FALSE,"일석상사"}</definedName>
    <definedName name="품" hidden="1">{#N/A,#N/A,TRUE,"Y생산";#N/A,#N/A,TRUE,"Y판매";#N/A,#N/A,TRUE,"Y총물량";#N/A,#N/A,TRUE,"Y능력";#N/A,#N/A,TRUE,"YKD"}</definedName>
    <definedName name="품종별" hidden="1">{#N/A,#N/A,FALSE,"Yield";#N/A,#N/A,FALSE,"Loss1";#N/A,#N/A,FALSE,"Loss2";#N/A,#N/A,FALSE,"Hour-Labor(배분)";#N/A,#N/A,FALSE,"Capital Expenditure";#N/A,#N/A,FALSE,"Productivity"}</definedName>
    <definedName name="품질지수" hidden="1">{#N/A,#N/A,FALSE,"KMC최종회의(7월) 자료"}</definedName>
    <definedName name="ㅎ" hidden="1">{#N/A,#N/A,FALSE,"손익표지";#N/A,#N/A,FALSE,"손익계산";#N/A,#N/A,FALSE,"일반관리비";#N/A,#N/A,FALSE,"영업외수익";#N/A,#N/A,FALSE,"영업외비용";#N/A,#N/A,FALSE,"매출액";#N/A,#N/A,FALSE,"요약손익";#N/A,#N/A,FALSE,"요약대차";#N/A,#N/A,FALSE,"매출채권현황";#N/A,#N/A,FALSE,"매출채권명세"}</definedName>
    <definedName name="ㅎㅁ" hidden="1">{#N/A,#N/A,FALSE,"손익표지";#N/A,#N/A,FALSE,"손익계산";#N/A,#N/A,FALSE,"일반관리비";#N/A,#N/A,FALSE,"영업외수익";#N/A,#N/A,FALSE,"영업외비용";#N/A,#N/A,FALSE,"매출액";#N/A,#N/A,FALSE,"요약손익";#N/A,#N/A,FALSE,"요약대차";#N/A,#N/A,FALSE,"매출채권현황";#N/A,#N/A,FALSE,"매출채권명세"}</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hidden="1">{#N/A,#N/A,TRUE,"Summary";#N/A,#N/A,TRUE,"IS";#N/A,#N/A,TRUE,"Adj";#N/A,#N/A,TRUE,"BS";#N/A,#N/A,TRUE,"CF";#N/A,#N/A,TRUE,"Debt";#N/A,#N/A,TRUE,"IRR"}</definedName>
    <definedName name="ㅎㅎ하" hidden="1">{#N/A,#N/A,FALSE,"계약직(여)"}</definedName>
    <definedName name="하" hidden="1">{#N/A,#N/A,FALSE,"1.CRITERIA";#N/A,#N/A,FALSE,"2.IS";#N/A,#N/A,FALSE,"3.BS";#N/A,#N/A,FALSE,"4.PER PL";#N/A,#N/A,FALSE,"5.INVESTMENT";#N/A,#N/A,FALSE,"6.공문";#N/A,#N/A,FALSE,"7.netinvest"}</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원양행" hidden="1">{#N/A,#N/A,FALSE,"범우구미";#N/A,#N/A,FALSE,"세한케미칼";#N/A,#N/A,FALSE,"세명화학";#N/A,#N/A,FALSE,"신영케미칼";#N/A,#N/A,FALSE,"일석상사"}</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행사가격" localSheetId="44">#REF!</definedName>
    <definedName name="행사가격">#REF!</definedName>
    <definedName name="행사시작일" localSheetId="44">#REF!</definedName>
    <definedName name="행사시작일">#REF!</definedName>
    <definedName name="행사종료일" localSheetId="44">#REF!</definedName>
    <definedName name="행사종료일">#REF!</definedName>
    <definedName name="햐" hidden="1">{#N/A,#N/A,FALSE,"1.CRITERIA";#N/A,#N/A,FALSE,"2.IS";#N/A,#N/A,FALSE,"3.BS";#N/A,#N/A,FALSE,"4.PER PL";#N/A,#N/A,FALSE,"5.INVESTMENT";#N/A,#N/A,FALSE,"6.공문";#N/A,#N/A,FALSE,"7.netinvest"}</definedName>
    <definedName name="헷지확률" localSheetId="44">#REF!</definedName>
    <definedName name="헷지확률">#REF!</definedName>
    <definedName name="혀" hidden="1">{#N/A,#N/A,FALSE,"1.CRITERIA";#N/A,#N/A,FALSE,"2.IS";#N/A,#N/A,FALSE,"3.BS";#N/A,#N/A,FALSE,"4.PER PL";#N/A,#N/A,FALSE,"5.INVESTMENT";#N/A,#N/A,FALSE,"6.공문";#N/A,#N/A,FALSE,"7.netinvest"}</definedName>
    <definedName name="현" hidden="1">{#N/A,#N/A,FALSE,"계약직(여)"}</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표"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대" hidden="1">{#N/A,#N/A,FALSE,"정공"}</definedName>
    <definedName name="현대우주" hidden="1">{#N/A,#N/A,FALSE,"정공"}</definedName>
    <definedName name="현대우주항공" hidden="1">{#N/A,#N/A,FALSE,"정공"}</definedName>
    <definedName name="현대자동차" hidden="1">{#N/A,#N/A,FALSE,"정공"}</definedName>
    <definedName name="현대정공" hidden="1">{#N/A,#N/A,FALSE,"정공"}</definedName>
    <definedName name="호" hidden="1">{#N/A,#N/A,FALSE,"1.CRITERIA";#N/A,#N/A,FALSE,"2.IS";#N/A,#N/A,FALSE,"3.BS";#N/A,#N/A,FALSE,"4.PER PL";#N/A,#N/A,FALSE,"5.INVESTMENT";#N/A,#N/A,FALSE,"6.공문";#N/A,#N/A,FALSE,"7.netinvest"}</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후후" hidden="1">{"'미착금액'!$A$4:$G$14"}</definedName>
    <definedName name="휴"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ㅏ"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ㅓ" hidden="1">{#N/A,#N/A,TRUE,"Y생산";#N/A,#N/A,TRUE,"Y판매";#N/A,#N/A,TRUE,"Y총물량";#N/A,#N/A,TRUE,"Y능력";#N/A,#N/A,TRUE,"YKD"}</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localSheetId="44" hidden="1">#REF!</definedName>
    <definedName name="ㅓㅗㅓㅗㅓㅗ" hidden="1">#REF!</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ㅕ" hidden="1">{#N/A,#N/A,FALSE,"BS";#N/A,#N/A,FALSE,"PL";#N/A,#N/A,FALSE,"처분";#N/A,#N/A,FALSE,"현금";#N/A,#N/A,FALSE,"매출";#N/A,#N/A,FALSE,"원가";#N/A,#N/A,FALSE,"경영"}</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허" hidden="1">{#N/A,#N/A,FALSE,"98소지이동TOTvs99.1 (2)";#N/A,#N/A,FALSE,"TOTAL";#N/A,#N/A,FALSE,"98소지이동TOTvs99.1(b) (2)"}</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ㅛㅛㅛㅛㅛㅛㅛㅛㅛㅛㅛ" hidden="1">{#N/A,#N/A,FALSE,"정공"}</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2" i="19" l="1"/>
  <c r="I137" i="130"/>
  <c r="G137" i="130"/>
  <c r="I33" i="102" l="1"/>
  <c r="G68" i="88"/>
  <c r="G69" i="88"/>
  <c r="G70" i="88"/>
  <c r="G71" i="88"/>
  <c r="G72" i="88"/>
  <c r="G73" i="88"/>
  <c r="G74" i="88"/>
  <c r="G75" i="88"/>
  <c r="G76" i="88"/>
  <c r="G77" i="88"/>
  <c r="G78" i="88"/>
  <c r="G79" i="88"/>
  <c r="G80" i="88"/>
  <c r="G81" i="88"/>
  <c r="G82" i="88"/>
  <c r="G83" i="88"/>
  <c r="G84" i="88"/>
  <c r="G85" i="88"/>
  <c r="G86" i="88"/>
  <c r="G87" i="88"/>
  <c r="G88" i="88"/>
  <c r="G89" i="88"/>
  <c r="G90" i="88"/>
  <c r="G91" i="88"/>
  <c r="G92" i="88"/>
  <c r="Q78" i="85"/>
  <c r="P78" i="85"/>
  <c r="O78" i="85"/>
  <c r="N78" i="85"/>
  <c r="N75" i="85"/>
  <c r="O75" i="85"/>
  <c r="P75" i="85"/>
  <c r="Q75" i="85"/>
  <c r="M75" i="85"/>
  <c r="L75" i="85"/>
  <c r="K75" i="85"/>
  <c r="J75" i="85"/>
  <c r="I75" i="85"/>
  <c r="H75" i="85"/>
  <c r="E61" i="78" l="1"/>
  <c r="E62" i="78"/>
  <c r="H34" i="78"/>
  <c r="F34" i="78"/>
  <c r="F16" i="85"/>
  <c r="F17" i="85"/>
  <c r="H32" i="78" l="1"/>
  <c r="G8" i="95" l="1"/>
  <c r="G9" i="95"/>
  <c r="G10" i="95"/>
  <c r="G11" i="95"/>
  <c r="G12" i="95"/>
  <c r="G13" i="95"/>
  <c r="G14" i="95"/>
  <c r="G15" i="95"/>
  <c r="G16" i="95"/>
  <c r="G17" i="95"/>
  <c r="G18" i="95"/>
  <c r="G7" i="95"/>
  <c r="Y36" i="94" l="1"/>
  <c r="Y9" i="94"/>
  <c r="G9" i="94"/>
  <c r="G36" i="94"/>
  <c r="T9" i="94"/>
  <c r="T36" i="94"/>
  <c r="E9" i="87" l="1"/>
  <c r="E8" i="87"/>
  <c r="O92" i="19"/>
  <c r="Q92" i="19"/>
  <c r="P92" i="19"/>
  <c r="P65" i="19"/>
  <c r="P84" i="19"/>
  <c r="Q84" i="19"/>
  <c r="Q65" i="19"/>
  <c r="Q46" i="19"/>
  <c r="Q49" i="19"/>
  <c r="Q50" i="19"/>
  <c r="Q52" i="19"/>
  <c r="P58" i="19"/>
  <c r="Q58" i="19"/>
  <c r="Q60" i="19"/>
  <c r="P61" i="19"/>
  <c r="Q63" i="19"/>
  <c r="P60" i="19" s="1"/>
  <c r="D18" i="10"/>
  <c r="H58" i="19"/>
  <c r="M58" i="19"/>
  <c r="M52" i="19"/>
  <c r="M60" i="19"/>
  <c r="D41" i="10" l="1"/>
  <c r="H94" i="19"/>
  <c r="H71" i="19"/>
  <c r="M69" i="19"/>
  <c r="M68" i="19"/>
  <c r="H19" i="19"/>
  <c r="I20" i="11"/>
  <c r="E19" i="105"/>
  <c r="E17" i="105" s="1"/>
  <c r="E15" i="105"/>
  <c r="E13" i="105"/>
  <c r="E12" i="105"/>
  <c r="E11" i="105"/>
  <c r="E10" i="105"/>
  <c r="E8" i="105"/>
  <c r="E6" i="105"/>
  <c r="E5" i="105"/>
  <c r="D83" i="148"/>
  <c r="F83" i="148"/>
  <c r="F71" i="148"/>
  <c r="F82" i="148" s="1"/>
  <c r="F85" i="148" s="1"/>
  <c r="D71" i="148"/>
  <c r="F64" i="148"/>
  <c r="D64" i="148"/>
  <c r="F63" i="148"/>
  <c r="D63" i="148"/>
  <c r="F13" i="88" l="1"/>
  <c r="G59" i="88"/>
  <c r="S45" i="88" s="1"/>
  <c r="G60" i="88"/>
  <c r="G61" i="88"/>
  <c r="G62" i="88"/>
  <c r="S46" i="88" s="1"/>
  <c r="G63" i="88"/>
  <c r="G64" i="88"/>
  <c r="G65" i="88"/>
  <c r="G66" i="88"/>
  <c r="G67" i="88"/>
  <c r="S47" i="88" s="1"/>
  <c r="S48" i="88"/>
  <c r="S49" i="88"/>
  <c r="S50" i="88"/>
  <c r="S51" i="88"/>
  <c r="S52" i="88"/>
  <c r="S53" i="88"/>
  <c r="S54" i="88"/>
  <c r="S55" i="88"/>
  <c r="G93" i="88"/>
  <c r="G94" i="88"/>
  <c r="G95" i="88"/>
  <c r="G96" i="88"/>
  <c r="G97" i="88"/>
  <c r="G98" i="88"/>
  <c r="G99" i="88"/>
  <c r="G58" i="88"/>
  <c r="R46" i="88"/>
  <c r="R47" i="88"/>
  <c r="R48" i="88"/>
  <c r="R49" i="88"/>
  <c r="R50" i="88"/>
  <c r="R51" i="88"/>
  <c r="R52" i="88"/>
  <c r="R53" i="88"/>
  <c r="R54" i="88"/>
  <c r="R55" i="88"/>
  <c r="R45" i="88"/>
  <c r="J52" i="70" l="1"/>
  <c r="K52" i="70" l="1"/>
  <c r="L52" i="70" l="1"/>
  <c r="H59" i="70" l="1"/>
  <c r="O59" i="70" s="1"/>
  <c r="H58" i="70"/>
  <c r="O58" i="70" s="1"/>
  <c r="H57" i="70"/>
  <c r="O57" i="70" s="1"/>
  <c r="H56" i="70"/>
  <c r="O56" i="70" s="1"/>
  <c r="H55" i="70"/>
  <c r="O55" i="70" s="1"/>
  <c r="H54" i="70"/>
  <c r="O54" i="70" s="1"/>
  <c r="G58" i="70"/>
  <c r="G59" i="70"/>
  <c r="G57" i="70"/>
  <c r="G56" i="70"/>
  <c r="G55" i="70"/>
  <c r="G54" i="70"/>
  <c r="F58" i="70"/>
  <c r="F59" i="70"/>
  <c r="F57" i="70"/>
  <c r="F56" i="70"/>
  <c r="F55" i="70"/>
  <c r="F54" i="70"/>
  <c r="E59" i="70"/>
  <c r="E58" i="70"/>
  <c r="E57" i="70"/>
  <c r="D58" i="70"/>
  <c r="D59" i="70"/>
  <c r="D57" i="70"/>
  <c r="E56" i="70"/>
  <c r="D56" i="70"/>
  <c r="D55" i="70"/>
  <c r="E55" i="70"/>
  <c r="E54" i="70"/>
  <c r="D54" i="70"/>
  <c r="K57" i="70" l="1"/>
  <c r="J57" i="70"/>
  <c r="L59" i="70"/>
  <c r="H48" i="70" s="1"/>
  <c r="J59" i="70"/>
  <c r="K59" i="70"/>
  <c r="K58" i="70"/>
  <c r="J58" i="70"/>
  <c r="J54" i="70"/>
  <c r="J55" i="70"/>
  <c r="J56" i="70"/>
  <c r="F48" i="70" l="1"/>
  <c r="G48" i="70"/>
  <c r="G20" i="104"/>
  <c r="G33" i="104"/>
  <c r="F11" i="90" l="1"/>
  <c r="I13" i="88"/>
  <c r="H13" i="88"/>
  <c r="G10" i="88"/>
  <c r="E21" i="84"/>
  <c r="H25" i="74"/>
  <c r="J33" i="80"/>
  <c r="J36" i="80"/>
  <c r="K15" i="80"/>
  <c r="J37" i="80" l="1"/>
  <c r="J38" i="80"/>
  <c r="H31" i="78"/>
  <c r="K46" i="78"/>
  <c r="E29" i="78" s="1"/>
  <c r="K47" i="78"/>
  <c r="E30" i="78" s="1"/>
  <c r="K48" i="78"/>
  <c r="E31" i="78" s="1"/>
  <c r="J53" i="78"/>
  <c r="I53" i="78"/>
  <c r="H53" i="78"/>
  <c r="G53" i="78"/>
  <c r="F53" i="78"/>
  <c r="E53" i="78"/>
  <c r="K44" i="78"/>
  <c r="E27" i="78" s="1"/>
  <c r="K43" i="78"/>
  <c r="E26" i="78" s="1"/>
  <c r="F21" i="87" l="1"/>
  <c r="D9" i="10"/>
  <c r="H28" i="78"/>
  <c r="O3" i="153"/>
  <c r="O9" i="153" s="1"/>
  <c r="M4" i="153"/>
  <c r="M5" i="153"/>
  <c r="M6" i="153"/>
  <c r="M7" i="153"/>
  <c r="M3" i="153"/>
  <c r="F1" i="153"/>
  <c r="C1" i="153"/>
  <c r="M9" i="153" l="1"/>
  <c r="O10" i="153"/>
  <c r="F29" i="2"/>
  <c r="H9" i="94" s="1"/>
  <c r="F104" i="4"/>
  <c r="M225" i="4"/>
  <c r="F140" i="4" l="1"/>
  <c r="G140" i="4"/>
  <c r="F141" i="4"/>
  <c r="G141" i="4"/>
  <c r="F142" i="4"/>
  <c r="G142" i="4"/>
  <c r="F143" i="4"/>
  <c r="G143" i="4"/>
  <c r="F144" i="4"/>
  <c r="G144" i="4"/>
  <c r="F225" i="4"/>
  <c r="G225" i="4"/>
  <c r="D82" i="148"/>
  <c r="D85" i="148" s="1"/>
  <c r="H92" i="147" l="1"/>
  <c r="H11" i="147"/>
  <c r="H12" i="147"/>
  <c r="H13" i="147"/>
  <c r="H14" i="147"/>
  <c r="H15" i="147"/>
  <c r="H16" i="147"/>
  <c r="H17" i="147"/>
  <c r="H18" i="147"/>
  <c r="H19" i="147"/>
  <c r="H20" i="147"/>
  <c r="H21" i="147"/>
  <c r="H22" i="147"/>
  <c r="H23" i="147"/>
  <c r="H24" i="147"/>
  <c r="H25" i="147"/>
  <c r="H26" i="147"/>
  <c r="H27" i="147"/>
  <c r="H28" i="147"/>
  <c r="H29" i="147"/>
  <c r="H30" i="147"/>
  <c r="H31" i="147"/>
  <c r="H32" i="147"/>
  <c r="H33" i="147"/>
  <c r="H34" i="147"/>
  <c r="H35" i="147"/>
  <c r="H36" i="147"/>
  <c r="H37" i="147"/>
  <c r="H38" i="147"/>
  <c r="H39" i="147"/>
  <c r="H40" i="147"/>
  <c r="H41" i="147"/>
  <c r="H42" i="147"/>
  <c r="H43" i="147"/>
  <c r="H44" i="147"/>
  <c r="H45" i="147"/>
  <c r="H46" i="147"/>
  <c r="H47" i="147"/>
  <c r="H48" i="147"/>
  <c r="H49" i="147"/>
  <c r="H50" i="147"/>
  <c r="H51" i="147"/>
  <c r="H52" i="147"/>
  <c r="H53" i="147"/>
  <c r="H54" i="147"/>
  <c r="H55" i="147"/>
  <c r="H56" i="147"/>
  <c r="H57" i="147"/>
  <c r="H58" i="147"/>
  <c r="H59" i="147"/>
  <c r="H60" i="147"/>
  <c r="H61" i="147"/>
  <c r="H62" i="147"/>
  <c r="H63" i="147"/>
  <c r="H64" i="147"/>
  <c r="H65" i="147"/>
  <c r="H66" i="147"/>
  <c r="H67" i="147"/>
  <c r="H68" i="147"/>
  <c r="H69" i="147"/>
  <c r="H70" i="147"/>
  <c r="H71" i="147"/>
  <c r="H72" i="147"/>
  <c r="H73" i="147"/>
  <c r="H74" i="147"/>
  <c r="H75" i="147"/>
  <c r="H76" i="147"/>
  <c r="H77" i="147"/>
  <c r="H78" i="147"/>
  <c r="H79" i="147"/>
  <c r="H80" i="147"/>
  <c r="H81" i="147"/>
  <c r="H82" i="147"/>
  <c r="H83" i="147"/>
  <c r="H84" i="147"/>
  <c r="H85" i="147"/>
  <c r="H86" i="147"/>
  <c r="H87" i="147"/>
  <c r="H88" i="147"/>
  <c r="H89" i="147"/>
  <c r="H90" i="147"/>
  <c r="H91" i="147"/>
  <c r="F31" i="147"/>
  <c r="D31" i="147"/>
  <c r="D53" i="147"/>
  <c r="F85" i="147"/>
  <c r="D85" i="147"/>
  <c r="F83" i="147"/>
  <c r="D83" i="147"/>
  <c r="F91" i="147"/>
  <c r="F76" i="147"/>
  <c r="D76" i="147"/>
  <c r="F66" i="147"/>
  <c r="D66" i="147"/>
  <c r="D58" i="147"/>
  <c r="F58" i="147"/>
  <c r="F53" i="147"/>
  <c r="D34" i="147"/>
  <c r="F34" i="147"/>
  <c r="H9" i="147" l="1"/>
  <c r="H10" i="147"/>
  <c r="H8" i="147"/>
  <c r="F21" i="147"/>
  <c r="D21" i="147"/>
  <c r="F7" i="147"/>
  <c r="D7" i="147"/>
  <c r="F96" i="147" l="1"/>
  <c r="F6" i="147"/>
  <c r="M49" i="4"/>
  <c r="M50" i="4"/>
  <c r="G55" i="87"/>
  <c r="F81" i="147" l="1"/>
  <c r="F97" i="147" s="1"/>
  <c r="F30" i="147"/>
  <c r="F64" i="147" s="1"/>
  <c r="F98" i="147" l="1"/>
  <c r="G18" i="70" l="1"/>
  <c r="G17" i="70"/>
  <c r="G16" i="70"/>
  <c r="G15" i="70"/>
  <c r="G14" i="70"/>
  <c r="G12" i="70"/>
  <c r="G19" i="70" s="1"/>
  <c r="G13" i="70"/>
  <c r="T47" i="88" l="1"/>
  <c r="E14" i="67" l="1"/>
  <c r="E89" i="70"/>
  <c r="E95" i="70" s="1"/>
  <c r="F22" i="70"/>
  <c r="F21" i="70"/>
  <c r="F20" i="70"/>
  <c r="J18" i="70"/>
  <c r="J17" i="70"/>
  <c r="F19" i="70" l="1"/>
  <c r="J12" i="70"/>
  <c r="I55" i="70" l="1"/>
  <c r="I56" i="70"/>
  <c r="I57" i="70"/>
  <c r="I58" i="70"/>
  <c r="I59" i="70"/>
  <c r="I54" i="70"/>
  <c r="N55" i="70"/>
  <c r="N54" i="70"/>
  <c r="M22" i="157" l="1"/>
  <c r="J37" i="157"/>
  <c r="J38" i="157" s="1"/>
  <c r="M29" i="157"/>
  <c r="M18" i="157"/>
  <c r="H33" i="80"/>
  <c r="H36" i="80"/>
  <c r="F36" i="72"/>
  <c r="H37" i="80" l="1"/>
  <c r="H38" i="80" s="1"/>
  <c r="F23" i="100" l="1"/>
  <c r="D23" i="100"/>
  <c r="G120" i="102"/>
  <c r="I38" i="102"/>
  <c r="F22" i="99" l="1"/>
  <c r="T48" i="88"/>
  <c r="T49" i="88"/>
  <c r="T50" i="88"/>
  <c r="T51" i="88"/>
  <c r="T52" i="88"/>
  <c r="T53" i="88"/>
  <c r="T54" i="88"/>
  <c r="T55" i="88"/>
  <c r="H69" i="85"/>
  <c r="I69" i="85" l="1"/>
  <c r="N69" i="85" s="1"/>
  <c r="J69" i="85" l="1"/>
  <c r="I15" i="80"/>
  <c r="O69" i="85" l="1"/>
  <c r="K69" i="85"/>
  <c r="P69" i="85" s="1"/>
  <c r="AA18" i="95"/>
  <c r="L69" i="85" l="1"/>
  <c r="D18" i="98"/>
  <c r="Q69" i="85" l="1"/>
  <c r="M69" i="85"/>
  <c r="F61" i="100" l="1"/>
  <c r="E49" i="85" l="1"/>
  <c r="E49" i="100" l="1"/>
  <c r="Q83" i="19"/>
  <c r="D20" i="10"/>
  <c r="E23" i="100" s="1"/>
  <c r="F192" i="4"/>
  <c r="G192" i="4"/>
  <c r="K192" i="4"/>
  <c r="L192" i="4"/>
  <c r="P25" i="19" l="1"/>
  <c r="P23" i="19"/>
  <c r="J5" i="67"/>
  <c r="E7" i="89" l="1"/>
  <c r="E17" i="67"/>
  <c r="F33" i="78"/>
  <c r="Q93" i="137" l="1"/>
  <c r="R18" i="137"/>
  <c r="D96" i="147" l="1"/>
  <c r="D81" i="147"/>
  <c r="D6" i="147" l="1"/>
  <c r="D30" i="147"/>
  <c r="D97" i="147"/>
  <c r="E130" i="4"/>
  <c r="E220" i="4"/>
  <c r="D64" i="147" l="1"/>
  <c r="D98" i="147" s="1"/>
  <c r="I36" i="88" l="1"/>
  <c r="D23" i="78" l="1"/>
  <c r="H115" i="102"/>
  <c r="E104" i="102"/>
  <c r="E47" i="102" l="1"/>
  <c r="E46" i="102"/>
  <c r="H23" i="102"/>
  <c r="F104" i="102" s="1"/>
  <c r="I37" i="102"/>
  <c r="F105" i="102" l="1"/>
  <c r="I23" i="102"/>
  <c r="E111" i="4" l="1"/>
  <c r="E6" i="87"/>
  <c r="D5" i="85" s="1"/>
  <c r="I22" i="87" l="1"/>
  <c r="E22" i="84"/>
  <c r="N56" i="70"/>
  <c r="N57" i="70"/>
  <c r="N58" i="70"/>
  <c r="N59" i="70"/>
  <c r="N7" i="70"/>
  <c r="N14" i="84"/>
  <c r="I15" i="84"/>
  <c r="H15" i="84"/>
  <c r="H81" i="148" l="1"/>
  <c r="H75" i="148"/>
  <c r="H74" i="148"/>
  <c r="G34" i="95" l="1"/>
  <c r="G35" i="95"/>
  <c r="G36" i="95"/>
  <c r="G37" i="95"/>
  <c r="G38" i="95"/>
  <c r="G39" i="95"/>
  <c r="G40" i="95"/>
  <c r="G41" i="95"/>
  <c r="G42" i="95"/>
  <c r="G43" i="95"/>
  <c r="G44" i="95"/>
  <c r="G45" i="95"/>
  <c r="G33" i="95"/>
  <c r="F4" i="156" l="1"/>
  <c r="F5" i="156"/>
  <c r="K5" i="156"/>
  <c r="F6" i="156"/>
  <c r="K6" i="156"/>
  <c r="I7" i="156"/>
  <c r="J7" i="156"/>
  <c r="K9" i="156"/>
  <c r="K10" i="156"/>
  <c r="I11" i="156"/>
  <c r="J11" i="156"/>
  <c r="I13" i="156"/>
  <c r="J13" i="156"/>
  <c r="K14" i="156"/>
  <c r="F15" i="156"/>
  <c r="L18" i="156"/>
  <c r="M18" i="156" s="1"/>
  <c r="L19" i="156"/>
  <c r="M19" i="156" s="1"/>
  <c r="L20" i="156"/>
  <c r="M20" i="156" s="1"/>
  <c r="J23" i="156"/>
  <c r="K23" i="156" s="1"/>
  <c r="J24" i="156"/>
  <c r="K24" i="156"/>
  <c r="J25" i="156"/>
  <c r="K25" i="156"/>
  <c r="L25" i="156"/>
  <c r="J26" i="156"/>
  <c r="I27" i="156"/>
  <c r="K13" i="156" l="1"/>
  <c r="K26" i="156"/>
  <c r="L26" i="156" s="1"/>
  <c r="K11" i="156"/>
  <c r="K7" i="156"/>
  <c r="L23" i="156"/>
  <c r="L24" i="156"/>
  <c r="J15" i="156"/>
  <c r="K27" i="156"/>
  <c r="J27" i="156"/>
  <c r="I15" i="156"/>
  <c r="K15" i="156"/>
  <c r="L27" i="156" l="1"/>
  <c r="H13" i="137"/>
  <c r="AD91" i="137"/>
  <c r="F47" i="102"/>
  <c r="G47" i="102" s="1"/>
  <c r="F59" i="102"/>
  <c r="G59" i="102" s="1"/>
  <c r="I59" i="102" s="1"/>
  <c r="F58" i="102"/>
  <c r="F46" i="102"/>
  <c r="G63" i="102" l="1"/>
  <c r="G51" i="102"/>
  <c r="AU86" i="137"/>
  <c r="AU62" i="137" s="1"/>
  <c r="G46" i="102" l="1"/>
  <c r="G58" i="102"/>
  <c r="I58" i="102" s="1"/>
  <c r="H51" i="102"/>
  <c r="H63" i="102"/>
  <c r="I51" i="102" l="1"/>
  <c r="I52" i="102" s="1"/>
  <c r="J52" i="102" s="1"/>
  <c r="I63" i="102"/>
  <c r="I64" i="102" s="1"/>
  <c r="J64" i="102" s="1"/>
  <c r="N16" i="95" l="1"/>
  <c r="N11" i="95"/>
  <c r="N10" i="95"/>
  <c r="N14" i="95"/>
  <c r="D20" i="11" l="1"/>
  <c r="C20" i="11"/>
  <c r="C13" i="151"/>
  <c r="H21" i="102" l="1"/>
  <c r="L98" i="102"/>
  <c r="P113" i="102"/>
  <c r="P111" i="102"/>
  <c r="P249" i="102"/>
  <c r="G83" i="102"/>
  <c r="M38" i="95" l="1"/>
  <c r="H33" i="78" l="1"/>
  <c r="U46" i="88"/>
  <c r="U45" i="88"/>
  <c r="U48" i="88"/>
  <c r="U49" i="88"/>
  <c r="U50" i="88"/>
  <c r="U51" i="88"/>
  <c r="U52" i="88"/>
  <c r="U53" i="88"/>
  <c r="U54" i="88"/>
  <c r="U55" i="88"/>
  <c r="U47" i="88"/>
  <c r="F7" i="90"/>
  <c r="F19" i="90" s="1"/>
  <c r="E7" i="90"/>
  <c r="E19" i="90" s="1"/>
  <c r="E20" i="80"/>
  <c r="E42" i="80" s="1"/>
  <c r="E20" i="84"/>
  <c r="E63" i="78" l="1"/>
  <c r="I21" i="74" l="1"/>
  <c r="H21" i="74"/>
  <c r="I30" i="72"/>
  <c r="G7" i="93" s="1"/>
  <c r="E30" i="72"/>
  <c r="C43" i="137"/>
  <c r="C44" i="137"/>
  <c r="C39" i="137"/>
  <c r="C40" i="137"/>
  <c r="C14" i="137"/>
  <c r="C16" i="137"/>
  <c r="C17" i="137"/>
  <c r="C18" i="137"/>
  <c r="C19" i="137"/>
  <c r="C20" i="137"/>
  <c r="C21" i="137"/>
  <c r="C23" i="137"/>
  <c r="C24" i="137"/>
  <c r="C25" i="137"/>
  <c r="C26" i="137"/>
  <c r="C27" i="137"/>
  <c r="C28" i="137"/>
  <c r="C29" i="137"/>
  <c r="C30" i="137"/>
  <c r="C13" i="137"/>
  <c r="BZ6" i="137"/>
  <c r="G6" i="97" l="1"/>
  <c r="F47" i="79"/>
  <c r="D22" i="93"/>
  <c r="G5" i="94"/>
  <c r="G30" i="93"/>
  <c r="E7" i="93"/>
  <c r="D16" i="74"/>
  <c r="D38" i="74" s="1"/>
  <c r="BR75" i="137"/>
  <c r="P31" i="19"/>
  <c r="BA98" i="137"/>
  <c r="BR97" i="137"/>
  <c r="C97" i="137" s="1"/>
  <c r="E21" i="87" l="1"/>
  <c r="E6" i="97"/>
  <c r="E47" i="79"/>
  <c r="D16" i="93"/>
  <c r="E48" i="93" s="1"/>
  <c r="E30" i="93"/>
  <c r="E5" i="94"/>
  <c r="AS62" i="137" l="1"/>
  <c r="AM62" i="137"/>
  <c r="D12" i="10"/>
  <c r="BQ87" i="137" l="1"/>
  <c r="C76" i="137"/>
  <c r="AZ98" i="137" l="1"/>
  <c r="AZ96" i="137"/>
  <c r="BR96" i="137" s="1"/>
  <c r="E206" i="4" l="1"/>
  <c r="E122" i="4"/>
  <c r="J111" i="4"/>
  <c r="J206" i="4" s="1"/>
  <c r="E7" i="105"/>
  <c r="E9" i="105" s="1"/>
  <c r="E14" i="105" s="1"/>
  <c r="H9" i="149" l="1"/>
  <c r="H41" i="148" l="1"/>
  <c r="N9" i="95"/>
  <c r="G10" i="155" l="1"/>
  <c r="H10" i="155"/>
  <c r="L72" i="102" l="1"/>
  <c r="F12" i="100" l="1"/>
  <c r="P250" i="102"/>
  <c r="P251" i="102" s="1"/>
  <c r="H250" i="102"/>
  <c r="H249" i="102"/>
  <c r="K235" i="102"/>
  <c r="K237" i="102" s="1"/>
  <c r="J235" i="102"/>
  <c r="J237" i="102" s="1"/>
  <c r="I235" i="102"/>
  <c r="I237" i="102" s="1"/>
  <c r="H235" i="102"/>
  <c r="H237" i="102" s="1"/>
  <c r="G235" i="102"/>
  <c r="G237" i="102" s="1"/>
  <c r="F235" i="102"/>
  <c r="F237" i="102" s="1"/>
  <c r="E235" i="102"/>
  <c r="L232" i="102"/>
  <c r="M232" i="102" s="1"/>
  <c r="K236" i="102" l="1"/>
  <c r="J236" i="102"/>
  <c r="I236" i="102"/>
  <c r="H236" i="102"/>
  <c r="G236" i="102"/>
  <c r="F236" i="102"/>
  <c r="E236" i="102"/>
  <c r="H251" i="102"/>
  <c r="E243" i="102"/>
  <c r="E237" i="102"/>
  <c r="H32" i="79" l="1"/>
  <c r="H56" i="74"/>
  <c r="G56" i="74"/>
  <c r="F56" i="74"/>
  <c r="I53" i="74"/>
  <c r="I54" i="74"/>
  <c r="I55" i="74"/>
  <c r="I52" i="74"/>
  <c r="L36" i="80"/>
  <c r="K36" i="80"/>
  <c r="I36" i="80"/>
  <c r="G36" i="80"/>
  <c r="L33" i="80"/>
  <c r="K33" i="80"/>
  <c r="I33" i="80"/>
  <c r="F88" i="70"/>
  <c r="J12" i="95" l="1"/>
  <c r="I56" i="74"/>
  <c r="H22" i="102"/>
  <c r="I37" i="80"/>
  <c r="I38" i="80" s="1"/>
  <c r="L37" i="80"/>
  <c r="L38" i="80" s="1"/>
  <c r="K37" i="80"/>
  <c r="K38" i="80" s="1"/>
  <c r="G34" i="70"/>
  <c r="G35" i="70" s="1"/>
  <c r="G32" i="70"/>
  <c r="G33" i="70" s="1"/>
  <c r="U56" i="88" l="1"/>
  <c r="E39" i="88" s="1"/>
  <c r="E8" i="90"/>
  <c r="K37" i="72"/>
  <c r="H74" i="85"/>
  <c r="E11" i="90" l="1"/>
  <c r="E12" i="90" s="1"/>
  <c r="I74" i="85"/>
  <c r="N74" i="85" l="1"/>
  <c r="J74" i="85"/>
  <c r="O74" i="85" s="1"/>
  <c r="K74" i="85" l="1"/>
  <c r="P74" i="85" l="1"/>
  <c r="L74" i="85"/>
  <c r="Q74" i="85" l="1"/>
  <c r="M74" i="85"/>
  <c r="L11" i="85" l="1"/>
  <c r="F8" i="85" s="1"/>
  <c r="K11" i="85"/>
  <c r="E8" i="85" s="1"/>
  <c r="M15" i="85"/>
  <c r="L17" i="85"/>
  <c r="F13" i="85" s="1"/>
  <c r="F14" i="85" s="1"/>
  <c r="K17" i="85"/>
  <c r="E13" i="85" s="1"/>
  <c r="J33" i="78" l="1"/>
  <c r="J32" i="78"/>
  <c r="J27" i="78"/>
  <c r="F29" i="78"/>
  <c r="F27" i="78"/>
  <c r="F26" i="78"/>
  <c r="F55" i="78" l="1"/>
  <c r="J55" i="78" l="1"/>
  <c r="K52" i="78"/>
  <c r="E35" i="78" s="1"/>
  <c r="K49" i="78"/>
  <c r="K50" i="78"/>
  <c r="K45" i="78"/>
  <c r="E78" i="137"/>
  <c r="E33" i="78" l="1"/>
  <c r="E28" i="78"/>
  <c r="E32" i="78"/>
  <c r="A1" i="148"/>
  <c r="D16" i="10"/>
  <c r="I41" i="137"/>
  <c r="D43" i="10"/>
  <c r="E140" i="4" l="1"/>
  <c r="H140" i="4" s="1"/>
  <c r="E29" i="2" s="1"/>
  <c r="F9" i="94" s="1"/>
  <c r="E9" i="94" s="1"/>
  <c r="E142" i="4"/>
  <c r="H142" i="4" s="1"/>
  <c r="E141" i="4"/>
  <c r="H141" i="4" s="1"/>
  <c r="E143" i="4"/>
  <c r="H143" i="4" s="1"/>
  <c r="E144" i="4"/>
  <c r="H144" i="4" s="1"/>
  <c r="A1" i="149"/>
  <c r="E225" i="4" s="1"/>
  <c r="H225" i="4" s="1"/>
  <c r="E192" i="4"/>
  <c r="H192" i="4" s="1"/>
  <c r="E81" i="2" s="1"/>
  <c r="M192" i="4"/>
  <c r="F81" i="2" s="1"/>
  <c r="BL87" i="137"/>
  <c r="BV92" i="137"/>
  <c r="P14" i="19"/>
  <c r="G41" i="74" s="1"/>
  <c r="G95" i="137"/>
  <c r="AS90" i="137"/>
  <c r="I27" i="78"/>
  <c r="K27" i="78" s="1"/>
  <c r="AJ90" i="137"/>
  <c r="AM90" i="137"/>
  <c r="AX90" i="137" l="1"/>
  <c r="F38" i="72"/>
  <c r="F41" i="72" s="1"/>
  <c r="G20" i="10"/>
  <c r="F18" i="98"/>
  <c r="E18" i="98" s="1"/>
  <c r="I33" i="78"/>
  <c r="K33" i="78" s="1"/>
  <c r="I26" i="78"/>
  <c r="I31" i="78"/>
  <c r="AO50" i="137"/>
  <c r="AL6" i="137"/>
  <c r="AL2" i="137"/>
  <c r="AK2" i="137"/>
  <c r="V89" i="137"/>
  <c r="G19" i="79"/>
  <c r="G22" i="79" s="1"/>
  <c r="AU90" i="137" l="1"/>
  <c r="AK90" i="137"/>
  <c r="AK6" i="137" s="1"/>
  <c r="I28" i="78"/>
  <c r="F28" i="78"/>
  <c r="D26" i="79"/>
  <c r="I35" i="78" l="1"/>
  <c r="E50" i="100"/>
  <c r="G16" i="151"/>
  <c r="F16" i="151"/>
  <c r="E16" i="151"/>
  <c r="D16" i="151"/>
  <c r="F39" i="152"/>
  <c r="K39" i="152" s="1"/>
  <c r="N39" i="152" s="1"/>
  <c r="F38" i="152"/>
  <c r="K38" i="152" s="1"/>
  <c r="N38" i="152" s="1"/>
  <c r="F37" i="152"/>
  <c r="K37" i="152" s="1"/>
  <c r="N37" i="152" s="1"/>
  <c r="F36" i="152"/>
  <c r="K36" i="152" s="1"/>
  <c r="N36" i="152" s="1"/>
  <c r="F35" i="152"/>
  <c r="K35" i="152" s="1"/>
  <c r="N35" i="152" s="1"/>
  <c r="F34" i="152"/>
  <c r="K34" i="152" s="1"/>
  <c r="N34" i="152" s="1"/>
  <c r="F33" i="152"/>
  <c r="K33" i="152" s="1"/>
  <c r="N33" i="152" s="1"/>
  <c r="D40" i="152"/>
  <c r="F30" i="152"/>
  <c r="K30" i="152" s="1"/>
  <c r="N30" i="152" s="1"/>
  <c r="F29" i="152"/>
  <c r="K29" i="152" s="1"/>
  <c r="N29" i="152" s="1"/>
  <c r="F28" i="152"/>
  <c r="K28" i="152" s="1"/>
  <c r="N28" i="152" s="1"/>
  <c r="F27" i="152"/>
  <c r="K27" i="152" s="1"/>
  <c r="N27" i="152" s="1"/>
  <c r="F26" i="152"/>
  <c r="K26" i="152" s="1"/>
  <c r="N26" i="152" s="1"/>
  <c r="F25" i="152"/>
  <c r="K25" i="152" s="1"/>
  <c r="N25" i="152" s="1"/>
  <c r="F24" i="152"/>
  <c r="K24" i="152" s="1"/>
  <c r="N24" i="152" s="1"/>
  <c r="F23" i="152"/>
  <c r="G22" i="152"/>
  <c r="D22" i="152"/>
  <c r="F21" i="152"/>
  <c r="H21" i="152" s="1"/>
  <c r="K21" i="152" s="1"/>
  <c r="N21" i="152" s="1"/>
  <c r="F20" i="152"/>
  <c r="D19" i="152"/>
  <c r="F18" i="152"/>
  <c r="H18" i="152" s="1"/>
  <c r="K18" i="152" s="1"/>
  <c r="N18" i="152" s="1"/>
  <c r="F17" i="152"/>
  <c r="H17" i="152" s="1"/>
  <c r="K17" i="152" s="1"/>
  <c r="N17" i="152" s="1"/>
  <c r="F16" i="152"/>
  <c r="H16" i="152" s="1"/>
  <c r="K16" i="152" s="1"/>
  <c r="N16" i="152" s="1"/>
  <c r="F15" i="152"/>
  <c r="H15" i="152" s="1"/>
  <c r="K15" i="152" s="1"/>
  <c r="N15" i="152" s="1"/>
  <c r="F14" i="152"/>
  <c r="H14" i="152" s="1"/>
  <c r="K14" i="152" s="1"/>
  <c r="N14" i="152" s="1"/>
  <c r="F13" i="152"/>
  <c r="H13" i="152" s="1"/>
  <c r="K13" i="152" s="1"/>
  <c r="N13" i="152" s="1"/>
  <c r="G19" i="152"/>
  <c r="F12" i="152"/>
  <c r="F10" i="152"/>
  <c r="H10" i="152" s="1"/>
  <c r="F9" i="152"/>
  <c r="H9" i="152" s="1"/>
  <c r="F8" i="152"/>
  <c r="H8" i="152" s="1"/>
  <c r="F7" i="152"/>
  <c r="H7" i="152" s="1"/>
  <c r="F6" i="152"/>
  <c r="H6" i="152" s="1"/>
  <c r="F5" i="152"/>
  <c r="H5" i="152" s="1"/>
  <c r="D11" i="152"/>
  <c r="G11" i="152"/>
  <c r="F3" i="152"/>
  <c r="H3" i="152" l="1"/>
  <c r="J8" i="152"/>
  <c r="K8" i="152" s="1"/>
  <c r="N8" i="152" s="1"/>
  <c r="J10" i="152"/>
  <c r="K10" i="152" s="1"/>
  <c r="N10" i="152" s="1"/>
  <c r="F19" i="152"/>
  <c r="H12" i="152"/>
  <c r="J7" i="152"/>
  <c r="K7" i="152" s="1"/>
  <c r="N7" i="152" s="1"/>
  <c r="J9" i="152"/>
  <c r="K9" i="152" s="1"/>
  <c r="N9" i="152" s="1"/>
  <c r="J5" i="152"/>
  <c r="H20" i="152"/>
  <c r="F22" i="152"/>
  <c r="J6" i="152"/>
  <c r="K6" i="152" s="1"/>
  <c r="N6" i="152" s="1"/>
  <c r="F31" i="152"/>
  <c r="K23" i="152"/>
  <c r="F32" i="152"/>
  <c r="F4" i="152"/>
  <c r="H4" i="152" s="1"/>
  <c r="K4" i="152" s="1"/>
  <c r="N4" i="152" s="1"/>
  <c r="D31" i="152"/>
  <c r="J11" i="152" l="1"/>
  <c r="H22" i="152"/>
  <c r="K20" i="152"/>
  <c r="K5" i="152"/>
  <c r="N5" i="152" s="1"/>
  <c r="K12" i="152"/>
  <c r="H19" i="152"/>
  <c r="F40" i="152"/>
  <c r="K32" i="152"/>
  <c r="K31" i="152"/>
  <c r="N23" i="152"/>
  <c r="N31" i="152" s="1"/>
  <c r="H11" i="152"/>
  <c r="K3" i="152"/>
  <c r="F11" i="152"/>
  <c r="K40" i="152" l="1"/>
  <c r="N32" i="152"/>
  <c r="N40" i="152" s="1"/>
  <c r="K11" i="152"/>
  <c r="M3" i="152"/>
  <c r="N12" i="152"/>
  <c r="N19" i="152" s="1"/>
  <c r="K19" i="152"/>
  <c r="K22" i="152"/>
  <c r="N20" i="152"/>
  <c r="N22" i="152" s="1"/>
  <c r="N3" i="152" l="1"/>
  <c r="N11" i="152" s="1"/>
  <c r="N41" i="152" s="1"/>
  <c r="C15" i="151"/>
  <c r="C16" i="151" s="1"/>
  <c r="H16" i="151" s="1"/>
  <c r="K41" i="152"/>
  <c r="I16" i="151" l="1"/>
  <c r="K43" i="152"/>
  <c r="I14" i="151"/>
  <c r="B50" i="19"/>
  <c r="B51" i="19"/>
  <c r="E25" i="151"/>
  <c r="D24" i="151" s="1"/>
  <c r="M230" i="4" l="1"/>
  <c r="H49" i="149"/>
  <c r="H50" i="149"/>
  <c r="H51" i="149"/>
  <c r="H52" i="149"/>
  <c r="H53" i="149"/>
  <c r="H54" i="149"/>
  <c r="H55" i="149"/>
  <c r="H41" i="149"/>
  <c r="H42" i="149"/>
  <c r="H43" i="149"/>
  <c r="H44" i="149"/>
  <c r="H45" i="149"/>
  <c r="H46" i="149"/>
  <c r="H47" i="149"/>
  <c r="H48" i="149"/>
  <c r="H40" i="149"/>
  <c r="H38" i="149"/>
  <c r="H37" i="149"/>
  <c r="H34" i="149"/>
  <c r="H35" i="149"/>
  <c r="H33" i="149"/>
  <c r="H31" i="149"/>
  <c r="H24" i="149"/>
  <c r="H25" i="149"/>
  <c r="H27" i="149"/>
  <c r="H28" i="149"/>
  <c r="H29" i="149"/>
  <c r="H23" i="149"/>
  <c r="H22" i="149"/>
  <c r="H14" i="149"/>
  <c r="H10" i="149"/>
  <c r="H11" i="149"/>
  <c r="H12" i="149"/>
  <c r="H13" i="149"/>
  <c r="H7" i="149"/>
  <c r="H8" i="149"/>
  <c r="H6" i="149"/>
  <c r="C58" i="2" l="1"/>
  <c r="F58" i="2"/>
  <c r="H71" i="148"/>
  <c r="H72" i="148"/>
  <c r="H73" i="148"/>
  <c r="H70" i="148"/>
  <c r="H67" i="148"/>
  <c r="H68" i="148"/>
  <c r="H63" i="148"/>
  <c r="H64" i="148"/>
  <c r="H65" i="148"/>
  <c r="H62" i="148"/>
  <c r="H52" i="148"/>
  <c r="H53" i="148"/>
  <c r="H54" i="148"/>
  <c r="H55" i="148"/>
  <c r="H56" i="148"/>
  <c r="H57" i="148"/>
  <c r="H58" i="148"/>
  <c r="H59" i="148"/>
  <c r="H60" i="148"/>
  <c r="H48" i="148"/>
  <c r="H49" i="148"/>
  <c r="H50" i="148"/>
  <c r="H51" i="148"/>
  <c r="H43" i="148"/>
  <c r="H44" i="148"/>
  <c r="H45" i="148"/>
  <c r="H46" i="148"/>
  <c r="H47" i="148"/>
  <c r="H42" i="148"/>
  <c r="H32" i="148"/>
  <c r="H33" i="148"/>
  <c r="H35" i="148"/>
  <c r="H36" i="148"/>
  <c r="H37" i="148"/>
  <c r="H38" i="148"/>
  <c r="H39" i="148"/>
  <c r="H40" i="148"/>
  <c r="H31" i="148"/>
  <c r="H30" i="148"/>
  <c r="H29" i="148"/>
  <c r="H24" i="148"/>
  <c r="H23" i="148"/>
  <c r="H16" i="148"/>
  <c r="H17" i="148"/>
  <c r="H18" i="148"/>
  <c r="H19" i="148"/>
  <c r="H10" i="148"/>
  <c r="H11" i="148"/>
  <c r="H12" i="148"/>
  <c r="H15" i="148"/>
  <c r="H9" i="148"/>
  <c r="H7" i="148"/>
  <c r="H6" i="148"/>
  <c r="F45" i="7"/>
  <c r="H9" i="78" s="1"/>
  <c r="F46" i="7"/>
  <c r="I9" i="78" s="1"/>
  <c r="E169" i="4"/>
  <c r="F169" i="4"/>
  <c r="G169" i="4"/>
  <c r="E134" i="4"/>
  <c r="E135" i="4"/>
  <c r="E133" i="4"/>
  <c r="E131" i="4"/>
  <c r="E129" i="4"/>
  <c r="E127" i="4"/>
  <c r="E126" i="4"/>
  <c r="E196" i="4"/>
  <c r="E194" i="4"/>
  <c r="E193" i="4"/>
  <c r="E191" i="4"/>
  <c r="E188" i="4"/>
  <c r="E189" i="4"/>
  <c r="E187" i="4"/>
  <c r="E180" i="4"/>
  <c r="E181" i="4"/>
  <c r="E182" i="4"/>
  <c r="E183" i="4"/>
  <c r="E184" i="4"/>
  <c r="E185" i="4"/>
  <c r="E179" i="4"/>
  <c r="E174" i="4"/>
  <c r="E175" i="4"/>
  <c r="E176" i="4"/>
  <c r="E177" i="4"/>
  <c r="E173" i="4"/>
  <c r="E139" i="4"/>
  <c r="E145" i="4"/>
  <c r="E146" i="4"/>
  <c r="E147" i="4"/>
  <c r="E148" i="4"/>
  <c r="E149" i="4"/>
  <c r="E150" i="4"/>
  <c r="E151" i="4"/>
  <c r="E152" i="4"/>
  <c r="E153" i="4"/>
  <c r="E154" i="4"/>
  <c r="E155" i="4"/>
  <c r="E156" i="4"/>
  <c r="E157" i="4"/>
  <c r="E158" i="4"/>
  <c r="E159" i="4"/>
  <c r="E160" i="4"/>
  <c r="E161" i="4"/>
  <c r="E162" i="4"/>
  <c r="E163" i="4"/>
  <c r="E164" i="4"/>
  <c r="E165" i="4"/>
  <c r="E166" i="4"/>
  <c r="E167" i="4"/>
  <c r="E168" i="4"/>
  <c r="E170" i="4"/>
  <c r="E138" i="4"/>
  <c r="E115" i="4"/>
  <c r="E116" i="4"/>
  <c r="E114" i="4"/>
  <c r="E124" i="4"/>
  <c r="E123" i="4"/>
  <c r="E119" i="4"/>
  <c r="E120" i="4"/>
  <c r="E221" i="4"/>
  <c r="E218" i="4"/>
  <c r="E219" i="4"/>
  <c r="E217" i="4"/>
  <c r="E213" i="4"/>
  <c r="E214" i="4"/>
  <c r="E215" i="4"/>
  <c r="E212" i="4"/>
  <c r="E211" i="4"/>
  <c r="E210" i="4"/>
  <c r="E209" i="4"/>
  <c r="E249" i="4"/>
  <c r="E243" i="4"/>
  <c r="E244" i="4"/>
  <c r="E245" i="4"/>
  <c r="E246" i="4"/>
  <c r="E247" i="4"/>
  <c r="E248" i="4"/>
  <c r="E229" i="4"/>
  <c r="E230" i="4"/>
  <c r="E231" i="4"/>
  <c r="E232" i="4"/>
  <c r="E233" i="4"/>
  <c r="E234" i="4"/>
  <c r="E235" i="4"/>
  <c r="E236" i="4"/>
  <c r="E237" i="4"/>
  <c r="E238" i="4"/>
  <c r="E239" i="4"/>
  <c r="E240" i="4"/>
  <c r="E241" i="4"/>
  <c r="E242" i="4"/>
  <c r="E228" i="4"/>
  <c r="E224" i="4"/>
  <c r="E226" i="4"/>
  <c r="E223" i="4"/>
  <c r="F230" i="4"/>
  <c r="G230" i="4"/>
  <c r="E199" i="4"/>
  <c r="J9" i="78" l="1"/>
  <c r="L44" i="78" s="1"/>
  <c r="J121" i="4"/>
  <c r="J125" i="4"/>
  <c r="AK3" i="137"/>
  <c r="D50" i="19"/>
  <c r="AL3" i="137"/>
  <c r="D51" i="19"/>
  <c r="H169" i="4"/>
  <c r="E58" i="2" s="1"/>
  <c r="H230" i="4"/>
  <c r="F49" i="4"/>
  <c r="G49" i="4"/>
  <c r="F50" i="4"/>
  <c r="G50" i="4"/>
  <c r="J81" i="147"/>
  <c r="E94" i="4"/>
  <c r="E93" i="4"/>
  <c r="E45" i="4"/>
  <c r="E46" i="4"/>
  <c r="E29" i="4"/>
  <c r="E32" i="4"/>
  <c r="E19" i="4"/>
  <c r="E26" i="4"/>
  <c r="E13" i="4"/>
  <c r="E14" i="4"/>
  <c r="E9" i="4"/>
  <c r="E102" i="4"/>
  <c r="E100" i="4"/>
  <c r="E98" i="4"/>
  <c r="E92" i="4"/>
  <c r="E90" i="4"/>
  <c r="E88" i="4"/>
  <c r="E89" i="4"/>
  <c r="E77" i="4"/>
  <c r="E78" i="4"/>
  <c r="E84" i="4"/>
  <c r="E80" i="4"/>
  <c r="E79" i="4"/>
  <c r="E85" i="4"/>
  <c r="E81" i="4"/>
  <c r="F47" i="70" s="1"/>
  <c r="E82" i="4"/>
  <c r="E76" i="4"/>
  <c r="E42" i="4"/>
  <c r="E71" i="4"/>
  <c r="E41" i="4"/>
  <c r="E40" i="4"/>
  <c r="E39" i="4"/>
  <c r="E68" i="4"/>
  <c r="E69" i="4"/>
  <c r="E70" i="4"/>
  <c r="E67" i="4"/>
  <c r="E65" i="4"/>
  <c r="E64" i="4"/>
  <c r="E63" i="4"/>
  <c r="E62" i="4"/>
  <c r="E61" i="4"/>
  <c r="E60" i="4"/>
  <c r="E59" i="4"/>
  <c r="E58" i="4"/>
  <c r="E57" i="4"/>
  <c r="E56" i="4"/>
  <c r="E55" i="4"/>
  <c r="E54" i="4"/>
  <c r="E53" i="4"/>
  <c r="E52" i="4"/>
  <c r="E51" i="4"/>
  <c r="E50" i="4"/>
  <c r="E49" i="4"/>
  <c r="E48" i="4"/>
  <c r="E44" i="4"/>
  <c r="E25" i="4"/>
  <c r="E24" i="4"/>
  <c r="E23" i="4"/>
  <c r="E22" i="4"/>
  <c r="E21" i="4"/>
  <c r="E20" i="4"/>
  <c r="E18" i="4"/>
  <c r="E28" i="4"/>
  <c r="E30" i="4"/>
  <c r="E35" i="4"/>
  <c r="E36" i="4"/>
  <c r="E31" i="4"/>
  <c r="E34" i="4"/>
  <c r="E16" i="4"/>
  <c r="E15" i="4"/>
  <c r="E12" i="4"/>
  <c r="E11" i="4"/>
  <c r="E8" i="4" l="1"/>
  <c r="E104" i="4"/>
  <c r="H50" i="4"/>
  <c r="E46" i="7" s="1"/>
  <c r="F9" i="78" s="1"/>
  <c r="H49" i="4"/>
  <c r="E45" i="7" l="1"/>
  <c r="E9" i="78" s="1"/>
  <c r="G9" i="78" s="1"/>
  <c r="L27" i="78" s="1"/>
  <c r="E37" i="88"/>
  <c r="AL4" i="137"/>
  <c r="AL5" i="137" s="1"/>
  <c r="AL7" i="137" s="1"/>
  <c r="C51" i="19"/>
  <c r="E51" i="19" s="1"/>
  <c r="F51" i="19" s="1"/>
  <c r="C50" i="19" l="1"/>
  <c r="E50" i="19" s="1"/>
  <c r="F50" i="19" s="1"/>
  <c r="AK4" i="137"/>
  <c r="AK5" i="137" s="1"/>
  <c r="AK7" i="137" s="1"/>
  <c r="L25" i="85"/>
  <c r="K25" i="85"/>
  <c r="L24" i="85"/>
  <c r="K24" i="85"/>
  <c r="L20" i="85"/>
  <c r="K20" i="85"/>
  <c r="L19" i="85"/>
  <c r="K19" i="85"/>
  <c r="M13" i="85"/>
  <c r="L22" i="85"/>
  <c r="K22" i="85"/>
  <c r="M8" i="85"/>
  <c r="M20" i="85" l="1"/>
  <c r="M19" i="85"/>
  <c r="M9" i="85"/>
  <c r="M10" i="85"/>
  <c r="M11" i="85" l="1"/>
  <c r="M22" i="85"/>
  <c r="N13" i="84" l="1"/>
  <c r="N12" i="84"/>
  <c r="N7" i="84"/>
  <c r="N8" i="84"/>
  <c r="N10" i="84"/>
  <c r="H68" i="85" l="1"/>
  <c r="H70" i="85"/>
  <c r="H72" i="85"/>
  <c r="H73" i="85"/>
  <c r="H67" i="85"/>
  <c r="H66" i="85"/>
  <c r="I68" i="85" l="1"/>
  <c r="N68" i="85" s="1"/>
  <c r="I66" i="85"/>
  <c r="N66" i="85" s="1"/>
  <c r="I72" i="85"/>
  <c r="I70" i="85"/>
  <c r="N70" i="85" s="1"/>
  <c r="I67" i="85"/>
  <c r="N67" i="85" s="1"/>
  <c r="I73" i="85"/>
  <c r="J72" i="85" l="1"/>
  <c r="O72" i="85" s="1"/>
  <c r="N72" i="85"/>
  <c r="J68" i="85"/>
  <c r="O68" i="85" s="1"/>
  <c r="N73" i="85"/>
  <c r="J66" i="85"/>
  <c r="O66" i="85" s="1"/>
  <c r="F49" i="70"/>
  <c r="J67" i="85"/>
  <c r="K68" i="85"/>
  <c r="P68" i="85" s="1"/>
  <c r="J70" i="85"/>
  <c r="O70" i="85" s="1"/>
  <c r="J73" i="85"/>
  <c r="K72" i="85" l="1"/>
  <c r="P72" i="85" s="1"/>
  <c r="K70" i="85"/>
  <c r="P70" i="85" s="1"/>
  <c r="E41" i="85"/>
  <c r="L68" i="85"/>
  <c r="Q68" i="85" s="1"/>
  <c r="O73" i="85"/>
  <c r="O67" i="85"/>
  <c r="G49" i="70" s="1"/>
  <c r="K67" i="85"/>
  <c r="P67" i="85" s="1"/>
  <c r="K66" i="85"/>
  <c r="P66" i="85" s="1"/>
  <c r="L72" i="85"/>
  <c r="K73" i="85"/>
  <c r="I95" i="111"/>
  <c r="I94" i="111"/>
  <c r="F61" i="74"/>
  <c r="L66" i="85" l="1"/>
  <c r="Q66" i="85" s="1"/>
  <c r="L67" i="85"/>
  <c r="Q67" i="85" s="1"/>
  <c r="L70" i="85"/>
  <c r="M68" i="85"/>
  <c r="P73" i="85"/>
  <c r="H49" i="70" s="1"/>
  <c r="M67" i="85"/>
  <c r="Q72" i="85"/>
  <c r="M72" i="85"/>
  <c r="L73" i="85"/>
  <c r="Q73" i="85" s="1"/>
  <c r="M70" i="85" l="1"/>
  <c r="Q70" i="85"/>
  <c r="I49" i="70" s="1"/>
  <c r="M66" i="85"/>
  <c r="M73" i="85"/>
  <c r="F41" i="85" l="1"/>
  <c r="F89" i="70"/>
  <c r="G95" i="70" s="1"/>
  <c r="H95" i="70" s="1"/>
  <c r="E25" i="74" l="1"/>
  <c r="J23" i="74" l="1"/>
  <c r="J19" i="74"/>
  <c r="S56" i="88" l="1"/>
  <c r="I39" i="88"/>
  <c r="F39" i="88" s="1"/>
  <c r="F36" i="88"/>
  <c r="G60" i="100"/>
  <c r="F60" i="100"/>
  <c r="F59" i="100"/>
  <c r="H67" i="100"/>
  <c r="C75" i="137"/>
  <c r="C74" i="137"/>
  <c r="C70" i="137"/>
  <c r="C71" i="137"/>
  <c r="C69" i="137"/>
  <c r="C61" i="137"/>
  <c r="C63" i="137"/>
  <c r="C64" i="137"/>
  <c r="C65" i="137"/>
  <c r="C78" i="137"/>
  <c r="E71" i="100"/>
  <c r="H68" i="100"/>
  <c r="E59" i="100" s="1"/>
  <c r="F40" i="88" l="1"/>
  <c r="I40" i="88"/>
  <c r="F71" i="100"/>
  <c r="E58" i="100"/>
  <c r="H66" i="100"/>
  <c r="E57" i="100" s="1"/>
  <c r="I90" i="111" l="1"/>
  <c r="C92" i="137" l="1"/>
  <c r="Z2" i="137" l="1"/>
  <c r="B34" i="19"/>
  <c r="I87" i="111" l="1"/>
  <c r="Q103" i="19"/>
  <c r="D27" i="11" s="1"/>
  <c r="F119" i="4"/>
  <c r="F31" i="4" l="1"/>
  <c r="G31" i="4"/>
  <c r="K31" i="4"/>
  <c r="L31" i="4"/>
  <c r="M31" i="4" l="1"/>
  <c r="F28" i="7" s="1"/>
  <c r="F11" i="76" s="1"/>
  <c r="H31" i="4"/>
  <c r="E28" i="7" l="1"/>
  <c r="E11" i="76" s="1"/>
  <c r="Z3" i="137"/>
  <c r="D34" i="19"/>
  <c r="Z4" i="137" l="1"/>
  <c r="Z5" i="137" s="1"/>
  <c r="Z35" i="137" s="1"/>
  <c r="C34" i="19"/>
  <c r="E34" i="19" s="1"/>
  <c r="K34" i="19" l="1"/>
  <c r="F34" i="19" s="1"/>
  <c r="G20" i="70" l="1"/>
  <c r="F30" i="70" s="1"/>
  <c r="F31" i="70" s="1"/>
  <c r="G30" i="70"/>
  <c r="G31" i="70" s="1"/>
  <c r="G28" i="70"/>
  <c r="G29" i="70" s="1"/>
  <c r="G22" i="70" l="1"/>
  <c r="J15" i="70"/>
  <c r="G21" i="70"/>
  <c r="J21" i="70" s="1"/>
  <c r="F23" i="87"/>
  <c r="F22" i="87"/>
  <c r="E56" i="74"/>
  <c r="E44" i="74"/>
  <c r="F32" i="70" l="1"/>
  <c r="F33" i="70" s="1"/>
  <c r="F34" i="70"/>
  <c r="F35" i="70" s="1"/>
  <c r="J22" i="70"/>
  <c r="E43" i="74"/>
  <c r="I30" i="74"/>
  <c r="H30" i="74"/>
  <c r="G30" i="74"/>
  <c r="F30" i="74"/>
  <c r="J31" i="74"/>
  <c r="K36" i="72"/>
  <c r="G68" i="70"/>
  <c r="I68" i="70"/>
  <c r="H68" i="70"/>
  <c r="J65" i="70"/>
  <c r="J64" i="70"/>
  <c r="J63" i="70"/>
  <c r="J66" i="70" l="1"/>
  <c r="F41" i="100"/>
  <c r="D21" i="100"/>
  <c r="D22" i="100"/>
  <c r="D24" i="100"/>
  <c r="D25" i="100"/>
  <c r="D26" i="100"/>
  <c r="F26" i="100"/>
  <c r="D27" i="100"/>
  <c r="D28" i="100"/>
  <c r="D10" i="100"/>
  <c r="D13" i="100"/>
  <c r="D14" i="100"/>
  <c r="D15" i="100"/>
  <c r="D16" i="100"/>
  <c r="D17" i="100"/>
  <c r="D18" i="100"/>
  <c r="D19" i="100"/>
  <c r="D20" i="100"/>
  <c r="D9" i="100"/>
  <c r="P114" i="102"/>
  <c r="K238" i="102" l="1"/>
  <c r="K239" i="102" s="1"/>
  <c r="K240" i="102" s="1"/>
  <c r="J238" i="102"/>
  <c r="J239" i="102" s="1"/>
  <c r="J240" i="102" s="1"/>
  <c r="I238" i="102"/>
  <c r="I239" i="102" s="1"/>
  <c r="I240" i="102" s="1"/>
  <c r="G238" i="102"/>
  <c r="G239" i="102" s="1"/>
  <c r="G240" i="102" s="1"/>
  <c r="F238" i="102"/>
  <c r="F239" i="102" s="1"/>
  <c r="F240" i="102" s="1"/>
  <c r="H238" i="102"/>
  <c r="H239" i="102" s="1"/>
  <c r="H240" i="102" s="1"/>
  <c r="I107" i="130"/>
  <c r="E238" i="102" l="1"/>
  <c r="E239" i="102" s="1"/>
  <c r="E244" i="102"/>
  <c r="G249" i="102" s="1"/>
  <c r="Q249" i="102" s="1"/>
  <c r="R249" i="102" s="1"/>
  <c r="H55" i="87"/>
  <c r="E14" i="85"/>
  <c r="E23" i="85" s="1"/>
  <c r="I249" i="102" l="1"/>
  <c r="E240" i="102"/>
  <c r="L239" i="102" s="1"/>
  <c r="G250" i="102"/>
  <c r="I36" i="78"/>
  <c r="I250" i="102" l="1"/>
  <c r="J250" i="102" s="1"/>
  <c r="O250" i="102"/>
  <c r="G251" i="102"/>
  <c r="J249" i="102"/>
  <c r="F3" i="19"/>
  <c r="I25" i="74"/>
  <c r="G25" i="74"/>
  <c r="F25" i="74"/>
  <c r="I251" i="102" l="1"/>
  <c r="J251" i="102"/>
  <c r="E253" i="102" s="1"/>
  <c r="H84" i="102" s="1"/>
  <c r="Q250" i="102"/>
  <c r="O251" i="102"/>
  <c r="J25" i="74"/>
  <c r="K1" i="19"/>
  <c r="L73" i="102" l="1"/>
  <c r="L74" i="102" s="1"/>
  <c r="Q251" i="102"/>
  <c r="R250" i="102"/>
  <c r="R251" i="102" s="1"/>
  <c r="M253" i="102" s="1"/>
  <c r="G84" i="102" s="1"/>
  <c r="C95" i="137"/>
  <c r="C90" i="137"/>
  <c r="C91" i="137"/>
  <c r="C86" i="137"/>
  <c r="C96" i="137"/>
  <c r="C85" i="137"/>
  <c r="C94" i="137" l="1"/>
  <c r="C87" i="137"/>
  <c r="C58" i="137"/>
  <c r="C59" i="137"/>
  <c r="C60" i="137"/>
  <c r="C57" i="137"/>
  <c r="C49" i="137"/>
  <c r="C51" i="137"/>
  <c r="C52" i="137"/>
  <c r="C48" i="137"/>
  <c r="BY1048571" i="137"/>
  <c r="J6" i="137"/>
  <c r="AP6" i="137"/>
  <c r="AM6" i="137"/>
  <c r="AN6" i="137"/>
  <c r="AO6" i="137"/>
  <c r="AS6" i="137"/>
  <c r="AT6" i="137"/>
  <c r="AX6" i="137"/>
  <c r="AW6" i="137"/>
  <c r="AD6" i="137"/>
  <c r="AF6" i="137"/>
  <c r="BS6" i="137"/>
  <c r="BW6" i="137"/>
  <c r="BV6" i="137"/>
  <c r="BU6" i="137"/>
  <c r="BT6" i="137"/>
  <c r="BQ6" i="137"/>
  <c r="BL6" i="137"/>
  <c r="BK6" i="137"/>
  <c r="BE6" i="137"/>
  <c r="BD6" i="137"/>
  <c r="BC6" i="137"/>
  <c r="BB6" i="137"/>
  <c r="AR6" i="137"/>
  <c r="AQ6" i="137"/>
  <c r="AJ6" i="137"/>
  <c r="AI6" i="137"/>
  <c r="AB6" i="137"/>
  <c r="AA6" i="137"/>
  <c r="Y6" i="137"/>
  <c r="W6" i="137"/>
  <c r="U6" i="137"/>
  <c r="H6" i="137"/>
  <c r="BX2" i="137"/>
  <c r="BW2" i="137"/>
  <c r="BV2" i="137"/>
  <c r="BU2" i="137"/>
  <c r="BI2" i="137"/>
  <c r="AB2" i="137"/>
  <c r="AA2" i="137"/>
  <c r="U2" i="137"/>
  <c r="F6" i="137"/>
  <c r="AV6" i="137" l="1"/>
  <c r="C53" i="137" l="1"/>
  <c r="E6" i="137" l="1"/>
  <c r="C68" i="137"/>
  <c r="C73" i="137"/>
  <c r="C67" i="137" l="1"/>
  <c r="D13" i="10" l="1"/>
  <c r="E16" i="100" l="1"/>
  <c r="A20" i="137"/>
  <c r="D42" i="10"/>
  <c r="A51" i="137" s="1"/>
  <c r="D53" i="10"/>
  <c r="A64" i="137" s="1"/>
  <c r="F58" i="100" l="1"/>
  <c r="Q37" i="19"/>
  <c r="C67" i="7" l="1"/>
  <c r="BF2" i="137" s="1"/>
  <c r="K71" i="4"/>
  <c r="L71" i="4"/>
  <c r="G71" i="4"/>
  <c r="M71" i="4" l="1"/>
  <c r="F67" i="7" l="1"/>
  <c r="D19" i="104"/>
  <c r="G18" i="104" s="1"/>
  <c r="BF3" i="137" l="1"/>
  <c r="F21" i="100"/>
  <c r="F15" i="100"/>
  <c r="F42" i="100"/>
  <c r="F14" i="100" l="1"/>
  <c r="F20" i="100"/>
  <c r="D1" i="10"/>
  <c r="C8" i="137" s="1"/>
  <c r="D4" i="137" s="1"/>
  <c r="F25" i="100"/>
  <c r="I16" i="130" l="1"/>
  <c r="K80" i="2" l="1"/>
  <c r="F95" i="70" l="1"/>
  <c r="K42" i="130" l="1"/>
  <c r="I43" i="130"/>
  <c r="I50" i="130" l="1"/>
  <c r="E27" i="91" l="1"/>
  <c r="I82" i="130" l="1"/>
  <c r="BP6" i="137" l="1"/>
  <c r="C89" i="137" l="1"/>
  <c r="F229" i="4" l="1"/>
  <c r="G229" i="4"/>
  <c r="F231" i="4"/>
  <c r="G231" i="4"/>
  <c r="F232" i="4"/>
  <c r="G232" i="4"/>
  <c r="F233" i="4"/>
  <c r="G233" i="4"/>
  <c r="F234" i="4"/>
  <c r="G234" i="4"/>
  <c r="G235" i="4"/>
  <c r="F236" i="4"/>
  <c r="G236" i="4"/>
  <c r="F237" i="4"/>
  <c r="G237" i="4"/>
  <c r="F238" i="4"/>
  <c r="G238" i="4"/>
  <c r="F239" i="4"/>
  <c r="G239" i="4"/>
  <c r="F240" i="4"/>
  <c r="G240" i="4"/>
  <c r="F241" i="4"/>
  <c r="G241" i="4"/>
  <c r="F242" i="4"/>
  <c r="G242" i="4"/>
  <c r="F243" i="4"/>
  <c r="G243" i="4"/>
  <c r="F244" i="4"/>
  <c r="G244" i="4"/>
  <c r="F245" i="4"/>
  <c r="G245" i="4"/>
  <c r="F246" i="4"/>
  <c r="G246" i="4"/>
  <c r="F247" i="4"/>
  <c r="G247" i="4"/>
  <c r="F248" i="4"/>
  <c r="G248" i="4"/>
  <c r="G228" i="4"/>
  <c r="F228" i="4"/>
  <c r="G226" i="4"/>
  <c r="F226" i="4"/>
  <c r="G224" i="4"/>
  <c r="F224" i="4"/>
  <c r="G223" i="4"/>
  <c r="K20" i="4" l="1"/>
  <c r="K21" i="4"/>
  <c r="L21" i="4"/>
  <c r="K22" i="4"/>
  <c r="L22" i="4"/>
  <c r="K23" i="4"/>
  <c r="L23" i="4"/>
  <c r="F20" i="4"/>
  <c r="G20" i="4"/>
  <c r="F21" i="4"/>
  <c r="G21" i="4"/>
  <c r="F22" i="4"/>
  <c r="G22" i="4"/>
  <c r="F23" i="4"/>
  <c r="G23" i="4"/>
  <c r="K249" i="4"/>
  <c r="G227" i="4"/>
  <c r="H249" i="4" l="1"/>
  <c r="K229" i="4" l="1"/>
  <c r="L229" i="4"/>
  <c r="K231" i="4"/>
  <c r="L231" i="4"/>
  <c r="K232" i="4"/>
  <c r="L232" i="4"/>
  <c r="K233" i="4"/>
  <c r="L233" i="4"/>
  <c r="K234" i="4"/>
  <c r="L234" i="4"/>
  <c r="L235" i="4"/>
  <c r="K236" i="4"/>
  <c r="L236" i="4"/>
  <c r="K237" i="4"/>
  <c r="L237" i="4"/>
  <c r="K238" i="4"/>
  <c r="L238" i="4"/>
  <c r="K239" i="4"/>
  <c r="L239" i="4"/>
  <c r="K240" i="4"/>
  <c r="L240" i="4"/>
  <c r="K241" i="4"/>
  <c r="L241" i="4"/>
  <c r="K242" i="4"/>
  <c r="L242" i="4"/>
  <c r="K243" i="4"/>
  <c r="L243" i="4"/>
  <c r="K244" i="4"/>
  <c r="L244" i="4"/>
  <c r="K245" i="4"/>
  <c r="L245" i="4"/>
  <c r="K246" i="4"/>
  <c r="L246" i="4"/>
  <c r="K247" i="4"/>
  <c r="L247" i="4"/>
  <c r="K248" i="4"/>
  <c r="L248" i="4"/>
  <c r="L228" i="4"/>
  <c r="K228" i="4"/>
  <c r="L226" i="4"/>
  <c r="K226" i="4"/>
  <c r="L224" i="4"/>
  <c r="K224" i="4"/>
  <c r="L223" i="4"/>
  <c r="K218" i="4"/>
  <c r="L218" i="4"/>
  <c r="K219" i="4"/>
  <c r="L219" i="4"/>
  <c r="K220" i="4"/>
  <c r="L220" i="4"/>
  <c r="K221" i="4"/>
  <c r="L221" i="4"/>
  <c r="L217" i="4"/>
  <c r="K217" i="4"/>
  <c r="K210" i="4"/>
  <c r="L210" i="4"/>
  <c r="K211" i="4"/>
  <c r="L211" i="4"/>
  <c r="K212" i="4"/>
  <c r="L212" i="4"/>
  <c r="K213" i="4"/>
  <c r="L213" i="4"/>
  <c r="K214" i="4"/>
  <c r="L214" i="4"/>
  <c r="K215" i="4"/>
  <c r="L215" i="4"/>
  <c r="L209" i="4"/>
  <c r="K209" i="4"/>
  <c r="L200" i="4"/>
  <c r="K200" i="4"/>
  <c r="L199" i="4"/>
  <c r="K199" i="4"/>
  <c r="L196" i="4"/>
  <c r="K196" i="4"/>
  <c r="L194" i="4"/>
  <c r="K194" i="4"/>
  <c r="L193" i="4"/>
  <c r="L191" i="4"/>
  <c r="K188" i="4"/>
  <c r="K189" i="4"/>
  <c r="L189" i="4"/>
  <c r="K187" i="4"/>
  <c r="K180" i="4"/>
  <c r="L180" i="4"/>
  <c r="K181" i="4"/>
  <c r="L181" i="4"/>
  <c r="K182" i="4"/>
  <c r="L182" i="4"/>
  <c r="K183" i="4"/>
  <c r="L183" i="4"/>
  <c r="K184" i="4"/>
  <c r="L184" i="4"/>
  <c r="K185" i="4"/>
  <c r="L185" i="4"/>
  <c r="L179" i="4"/>
  <c r="K179" i="4"/>
  <c r="K174" i="4"/>
  <c r="L174" i="4"/>
  <c r="K175" i="4"/>
  <c r="L175" i="4"/>
  <c r="K176" i="4"/>
  <c r="L176" i="4"/>
  <c r="K177" i="4"/>
  <c r="L177" i="4"/>
  <c r="L173" i="4"/>
  <c r="K173" i="4"/>
  <c r="K139" i="4"/>
  <c r="L139" i="4"/>
  <c r="L141" i="4"/>
  <c r="L142" i="4"/>
  <c r="K143" i="4"/>
  <c r="L143" i="4"/>
  <c r="K144" i="4"/>
  <c r="L144" i="4"/>
  <c r="K145" i="4"/>
  <c r="L145" i="4"/>
  <c r="K146" i="4"/>
  <c r="L146" i="4"/>
  <c r="K147" i="4"/>
  <c r="L147" i="4"/>
  <c r="K148" i="4"/>
  <c r="L148" i="4"/>
  <c r="L149" i="4"/>
  <c r="K150" i="4"/>
  <c r="L150" i="4"/>
  <c r="K151" i="4"/>
  <c r="L151" i="4"/>
  <c r="K152" i="4"/>
  <c r="L152" i="4"/>
  <c r="K153" i="4"/>
  <c r="L153" i="4"/>
  <c r="L154" i="4"/>
  <c r="K155" i="4"/>
  <c r="L155" i="4"/>
  <c r="K156" i="4"/>
  <c r="L156" i="4"/>
  <c r="K157" i="4"/>
  <c r="L157" i="4"/>
  <c r="K158" i="4"/>
  <c r="L158" i="4"/>
  <c r="K159" i="4"/>
  <c r="L159" i="4"/>
  <c r="K160" i="4"/>
  <c r="L160" i="4"/>
  <c r="K161" i="4"/>
  <c r="L161" i="4"/>
  <c r="K162" i="4"/>
  <c r="L162" i="4"/>
  <c r="K163" i="4"/>
  <c r="L163" i="4"/>
  <c r="L164" i="4"/>
  <c r="K165" i="4"/>
  <c r="L165" i="4"/>
  <c r="K166" i="4"/>
  <c r="L166" i="4"/>
  <c r="K167" i="4"/>
  <c r="K168" i="4"/>
  <c r="L168" i="4"/>
  <c r="K170" i="4"/>
  <c r="L170" i="4"/>
  <c r="L138" i="4"/>
  <c r="L134" i="4"/>
  <c r="K134" i="4"/>
  <c r="L131" i="4"/>
  <c r="K131" i="4"/>
  <c r="L130" i="4"/>
  <c r="K130" i="4"/>
  <c r="L129" i="4"/>
  <c r="K129" i="4"/>
  <c r="L127" i="4"/>
  <c r="K127" i="4"/>
  <c r="L126" i="4"/>
  <c r="K126" i="4"/>
  <c r="L124" i="4"/>
  <c r="L123" i="4"/>
  <c r="K123" i="4"/>
  <c r="L122" i="4"/>
  <c r="K122" i="4"/>
  <c r="L119" i="4"/>
  <c r="K119" i="4"/>
  <c r="L116" i="4"/>
  <c r="K116" i="4"/>
  <c r="L114" i="4"/>
  <c r="K114" i="4"/>
  <c r="K102" i="4"/>
  <c r="L100" i="4"/>
  <c r="K100" i="4"/>
  <c r="L98" i="4"/>
  <c r="K98" i="4"/>
  <c r="L94" i="4"/>
  <c r="K94" i="4"/>
  <c r="L93" i="4"/>
  <c r="K93" i="4"/>
  <c r="L92" i="4"/>
  <c r="K92" i="4"/>
  <c r="K90" i="4"/>
  <c r="L89" i="4"/>
  <c r="K89" i="4"/>
  <c r="K88" i="4"/>
  <c r="L85" i="4"/>
  <c r="K85" i="4"/>
  <c r="K82" i="4"/>
  <c r="L81" i="4"/>
  <c r="K81" i="4"/>
  <c r="L80" i="4"/>
  <c r="K80" i="4"/>
  <c r="K77" i="4"/>
  <c r="L77" i="4"/>
  <c r="K78" i="4"/>
  <c r="L78" i="4"/>
  <c r="K79" i="4"/>
  <c r="L76" i="4"/>
  <c r="K76" i="4"/>
  <c r="K68" i="4"/>
  <c r="L68" i="4"/>
  <c r="K69" i="4"/>
  <c r="L69" i="4"/>
  <c r="K70" i="4"/>
  <c r="L70" i="4"/>
  <c r="L67" i="4"/>
  <c r="K67" i="4"/>
  <c r="K51" i="4"/>
  <c r="L51" i="4"/>
  <c r="K52" i="4"/>
  <c r="M52" i="4" s="1"/>
  <c r="L52" i="4"/>
  <c r="K53" i="4"/>
  <c r="L53" i="4"/>
  <c r="K54" i="4"/>
  <c r="L54" i="4"/>
  <c r="K55" i="4"/>
  <c r="L55" i="4"/>
  <c r="K56" i="4"/>
  <c r="L56" i="4"/>
  <c r="K57" i="4"/>
  <c r="L57" i="4"/>
  <c r="K58" i="4"/>
  <c r="L58" i="4"/>
  <c r="K59" i="4"/>
  <c r="L59" i="4"/>
  <c r="K60" i="4"/>
  <c r="L60" i="4"/>
  <c r="K61" i="4"/>
  <c r="L61" i="4"/>
  <c r="K62" i="4"/>
  <c r="L62" i="4"/>
  <c r="K63" i="4"/>
  <c r="L63" i="4"/>
  <c r="L64" i="4"/>
  <c r="L65" i="4"/>
  <c r="L48" i="4"/>
  <c r="K48" i="4"/>
  <c r="K45" i="4"/>
  <c r="L45" i="4"/>
  <c r="K46" i="4"/>
  <c r="L46" i="4"/>
  <c r="L44" i="4"/>
  <c r="K44" i="4"/>
  <c r="L42" i="4"/>
  <c r="K42" i="4"/>
  <c r="L40" i="4"/>
  <c r="K41" i="4"/>
  <c r="L41" i="4"/>
  <c r="L39" i="4"/>
  <c r="K39" i="4"/>
  <c r="L36" i="4"/>
  <c r="K36" i="4"/>
  <c r="L35" i="4"/>
  <c r="K35" i="4"/>
  <c r="L34" i="4"/>
  <c r="K34" i="4"/>
  <c r="K29" i="4"/>
  <c r="L29" i="4"/>
  <c r="K30" i="4"/>
  <c r="L30" i="4"/>
  <c r="K32" i="4"/>
  <c r="L32" i="4"/>
  <c r="L28" i="4"/>
  <c r="K28" i="4"/>
  <c r="K19" i="4"/>
  <c r="L19" i="4"/>
  <c r="K24" i="4"/>
  <c r="L24" i="4"/>
  <c r="K25" i="4"/>
  <c r="L25" i="4"/>
  <c r="K26" i="4"/>
  <c r="L26" i="4"/>
  <c r="L18" i="4"/>
  <c r="K18" i="4"/>
  <c r="K12" i="4"/>
  <c r="K13" i="4"/>
  <c r="L13" i="4"/>
  <c r="K14" i="4"/>
  <c r="L14" i="4"/>
  <c r="K15" i="4"/>
  <c r="L15" i="4"/>
  <c r="K16" i="4"/>
  <c r="L16" i="4"/>
  <c r="L11" i="4"/>
  <c r="L9" i="4"/>
  <c r="K9" i="4"/>
  <c r="L8" i="4"/>
  <c r="K8" i="4"/>
  <c r="M51" i="4" l="1"/>
  <c r="M54" i="4"/>
  <c r="M53" i="4"/>
  <c r="E16" i="105"/>
  <c r="M232" i="4"/>
  <c r="M231" i="4"/>
  <c r="M131" i="4"/>
  <c r="M116" i="4"/>
  <c r="E20" i="105" l="1"/>
  <c r="L222" i="4"/>
  <c r="G222" i="4"/>
  <c r="M251" i="4"/>
  <c r="H251" i="4"/>
  <c r="H229" i="4"/>
  <c r="M11" i="95" s="1"/>
  <c r="M229" i="4"/>
  <c r="H231" i="4"/>
  <c r="H232" i="4"/>
  <c r="H233" i="4"/>
  <c r="M233" i="4"/>
  <c r="H234" i="4"/>
  <c r="M234" i="4"/>
  <c r="H236" i="4"/>
  <c r="M236" i="4"/>
  <c r="H237" i="4"/>
  <c r="M237" i="4"/>
  <c r="H238" i="4"/>
  <c r="M238" i="4"/>
  <c r="H239" i="4"/>
  <c r="M239" i="4"/>
  <c r="H240" i="4"/>
  <c r="M16" i="95" s="1"/>
  <c r="M240" i="4"/>
  <c r="H241" i="4"/>
  <c r="M241" i="4"/>
  <c r="H242" i="4"/>
  <c r="M242" i="4"/>
  <c r="H243" i="4"/>
  <c r="M243" i="4"/>
  <c r="H244" i="4"/>
  <c r="M244" i="4"/>
  <c r="H245" i="4"/>
  <c r="M14" i="95" s="1"/>
  <c r="M245" i="4"/>
  <c r="H246" i="4"/>
  <c r="M13" i="95" s="1"/>
  <c r="M246" i="4"/>
  <c r="H247" i="4"/>
  <c r="M247" i="4"/>
  <c r="H248" i="4"/>
  <c r="M248" i="4"/>
  <c r="M224" i="4"/>
  <c r="M226" i="4"/>
  <c r="H224" i="4"/>
  <c r="H226" i="4"/>
  <c r="I20" i="87" s="1"/>
  <c r="F218" i="4"/>
  <c r="G218" i="4"/>
  <c r="F219" i="4"/>
  <c r="G219" i="4"/>
  <c r="F220" i="4"/>
  <c r="G220" i="4"/>
  <c r="F221" i="4"/>
  <c r="G221" i="4"/>
  <c r="F210" i="4"/>
  <c r="G210" i="4"/>
  <c r="F211" i="4"/>
  <c r="G211" i="4"/>
  <c r="F212" i="4"/>
  <c r="G212" i="4"/>
  <c r="F213" i="4"/>
  <c r="G213" i="4"/>
  <c r="F214" i="4"/>
  <c r="G214" i="4"/>
  <c r="F215" i="4"/>
  <c r="G215" i="4"/>
  <c r="G217" i="4"/>
  <c r="F217" i="4"/>
  <c r="G209" i="4"/>
  <c r="F209" i="4"/>
  <c r="H228" i="4" l="1"/>
  <c r="M10" i="95" s="1"/>
  <c r="E227" i="4"/>
  <c r="M228" i="4"/>
  <c r="J227" i="4"/>
  <c r="H210" i="4"/>
  <c r="H212" i="4"/>
  <c r="H209" i="4"/>
  <c r="H211" i="4"/>
  <c r="H214" i="4"/>
  <c r="H213" i="4"/>
  <c r="H215" i="4"/>
  <c r="F208" i="4"/>
  <c r="K208" i="4"/>
  <c r="L208" i="4"/>
  <c r="G208" i="4"/>
  <c r="F216" i="4"/>
  <c r="K216" i="4"/>
  <c r="G216" i="4"/>
  <c r="L216" i="4"/>
  <c r="J222" i="4"/>
  <c r="E222" i="4"/>
  <c r="H218" i="4"/>
  <c r="H219" i="4"/>
  <c r="E216" i="4"/>
  <c r="H220" i="4"/>
  <c r="H221" i="4"/>
  <c r="M210" i="4"/>
  <c r="J216" i="4"/>
  <c r="J208" i="4"/>
  <c r="M221" i="4"/>
  <c r="E208" i="4"/>
  <c r="M220" i="4"/>
  <c r="M219" i="4"/>
  <c r="M218" i="4"/>
  <c r="M211" i="4"/>
  <c r="M214" i="4"/>
  <c r="M213" i="4"/>
  <c r="M212" i="4"/>
  <c r="M217" i="4"/>
  <c r="M215" i="4"/>
  <c r="M209" i="4"/>
  <c r="H217" i="4"/>
  <c r="H208" i="4" l="1"/>
  <c r="G250" i="4"/>
  <c r="G253" i="4" s="1"/>
  <c r="G256" i="4" s="1"/>
  <c r="G120" i="4" s="1"/>
  <c r="E250" i="4"/>
  <c r="E253" i="4" s="1"/>
  <c r="E256" i="4" s="1"/>
  <c r="E257" i="4" s="1"/>
  <c r="H216" i="4"/>
  <c r="M216" i="4"/>
  <c r="M208" i="4"/>
  <c r="C29" i="7"/>
  <c r="Y2" i="137" s="1"/>
  <c r="C37" i="7"/>
  <c r="AE2" i="137" s="1"/>
  <c r="G40" i="4"/>
  <c r="E258" i="4" l="1"/>
  <c r="F8" i="95"/>
  <c r="E8" i="95" s="1"/>
  <c r="B42" i="19"/>
  <c r="J118" i="4"/>
  <c r="F32" i="4" l="1"/>
  <c r="G32" i="4"/>
  <c r="J27" i="4"/>
  <c r="M32" i="4" l="1"/>
  <c r="F29" i="7" s="1"/>
  <c r="H32" i="4"/>
  <c r="E29" i="7" s="1"/>
  <c r="Y4" i="137" s="1"/>
  <c r="Y3" i="137" l="1"/>
  <c r="Y5" i="137" s="1"/>
  <c r="Y7" i="137" s="1"/>
  <c r="F184" i="4"/>
  <c r="G184" i="4"/>
  <c r="M184" i="4" l="1"/>
  <c r="H184" i="4"/>
  <c r="C62" i="2" l="1"/>
  <c r="M123" i="4"/>
  <c r="F5" i="2"/>
  <c r="C63" i="2"/>
  <c r="C64" i="2"/>
  <c r="C65" i="2"/>
  <c r="C66" i="2"/>
  <c r="G200" i="4"/>
  <c r="F200" i="4"/>
  <c r="G199" i="4"/>
  <c r="F199" i="4"/>
  <c r="F196" i="4"/>
  <c r="G194" i="4"/>
  <c r="F194" i="4"/>
  <c r="G193" i="4"/>
  <c r="F193" i="4"/>
  <c r="G191" i="4"/>
  <c r="F188" i="4"/>
  <c r="G188" i="4"/>
  <c r="F189" i="4"/>
  <c r="G189" i="4"/>
  <c r="F187" i="4"/>
  <c r="F180" i="4"/>
  <c r="G180" i="4"/>
  <c r="G181" i="4"/>
  <c r="G182" i="4"/>
  <c r="F183" i="4"/>
  <c r="G183" i="4"/>
  <c r="F185" i="4"/>
  <c r="G185" i="4"/>
  <c r="G179" i="4"/>
  <c r="F179" i="4"/>
  <c r="F174" i="4"/>
  <c r="G174" i="4"/>
  <c r="F175" i="4"/>
  <c r="G175" i="4"/>
  <c r="F176" i="4"/>
  <c r="G176" i="4"/>
  <c r="F177" i="4"/>
  <c r="G177" i="4"/>
  <c r="G173" i="4"/>
  <c r="F173" i="4"/>
  <c r="F139" i="4"/>
  <c r="G139" i="4"/>
  <c r="F145" i="4"/>
  <c r="G145" i="4"/>
  <c r="F146" i="4"/>
  <c r="G146" i="4"/>
  <c r="F147" i="4"/>
  <c r="G147" i="4"/>
  <c r="F148" i="4"/>
  <c r="G148" i="4"/>
  <c r="G149" i="4"/>
  <c r="F150" i="4"/>
  <c r="G150" i="4"/>
  <c r="F151" i="4"/>
  <c r="G151" i="4"/>
  <c r="F152" i="4"/>
  <c r="G152" i="4"/>
  <c r="F153" i="4"/>
  <c r="G153" i="4"/>
  <c r="G154" i="4"/>
  <c r="F155" i="4"/>
  <c r="G155" i="4"/>
  <c r="F156" i="4"/>
  <c r="G156" i="4"/>
  <c r="F157" i="4"/>
  <c r="G157" i="4"/>
  <c r="F158" i="4"/>
  <c r="G158" i="4"/>
  <c r="F159" i="4"/>
  <c r="G159" i="4"/>
  <c r="F160" i="4"/>
  <c r="G160" i="4"/>
  <c r="F161" i="4"/>
  <c r="G161" i="4"/>
  <c r="F162" i="4"/>
  <c r="G162" i="4"/>
  <c r="F163" i="4"/>
  <c r="G163" i="4"/>
  <c r="G164" i="4"/>
  <c r="F165" i="4"/>
  <c r="G165" i="4"/>
  <c r="F166" i="4"/>
  <c r="G166" i="4"/>
  <c r="F167" i="4"/>
  <c r="G167" i="4"/>
  <c r="F168" i="4"/>
  <c r="G168" i="4"/>
  <c r="F170" i="4"/>
  <c r="G170" i="4"/>
  <c r="G138" i="4"/>
  <c r="G135" i="4"/>
  <c r="F135" i="4"/>
  <c r="G134" i="4"/>
  <c r="F134" i="4"/>
  <c r="G133" i="4"/>
  <c r="F133" i="4"/>
  <c r="G131" i="4"/>
  <c r="F131" i="4"/>
  <c r="G130" i="4"/>
  <c r="F130" i="4"/>
  <c r="G129" i="4"/>
  <c r="F129" i="4"/>
  <c r="G127" i="4"/>
  <c r="F127" i="4"/>
  <c r="G126" i="4"/>
  <c r="F126" i="4"/>
  <c r="G124" i="4"/>
  <c r="F124" i="4"/>
  <c r="G123" i="4"/>
  <c r="F123" i="4"/>
  <c r="G122" i="4"/>
  <c r="F122" i="4"/>
  <c r="F115" i="4"/>
  <c r="G115" i="4"/>
  <c r="F116" i="4"/>
  <c r="G116" i="4"/>
  <c r="G114" i="4"/>
  <c r="F114" i="4"/>
  <c r="F12" i="2" l="1"/>
  <c r="F102" i="4"/>
  <c r="G100" i="4"/>
  <c r="F100" i="4"/>
  <c r="G98" i="4"/>
  <c r="F98" i="4"/>
  <c r="G94" i="4"/>
  <c r="F94" i="4"/>
  <c r="G93" i="4"/>
  <c r="F93" i="4"/>
  <c r="G92" i="4"/>
  <c r="F92" i="4"/>
  <c r="F90" i="4"/>
  <c r="G89" i="4"/>
  <c r="F89" i="4"/>
  <c r="F88" i="4"/>
  <c r="G85" i="4"/>
  <c r="F85" i="4"/>
  <c r="F82" i="4"/>
  <c r="G81" i="4"/>
  <c r="F81" i="4"/>
  <c r="G80" i="4"/>
  <c r="F80" i="4"/>
  <c r="F79" i="4"/>
  <c r="G78" i="4"/>
  <c r="F78" i="4"/>
  <c r="G77" i="4"/>
  <c r="F77" i="4"/>
  <c r="G76" i="4"/>
  <c r="F76" i="4"/>
  <c r="F68" i="4"/>
  <c r="G68" i="4"/>
  <c r="F69" i="4"/>
  <c r="G69" i="4"/>
  <c r="F70" i="4"/>
  <c r="G70" i="4"/>
  <c r="G67" i="4"/>
  <c r="F67" i="4"/>
  <c r="F51" i="4"/>
  <c r="G51" i="4"/>
  <c r="F52" i="4"/>
  <c r="G52" i="4"/>
  <c r="F53" i="4"/>
  <c r="G53" i="4"/>
  <c r="F54" i="4"/>
  <c r="G54" i="4"/>
  <c r="F55" i="4"/>
  <c r="G55" i="4"/>
  <c r="F56" i="4"/>
  <c r="G56" i="4"/>
  <c r="F57" i="4"/>
  <c r="G57" i="4"/>
  <c r="F58" i="4"/>
  <c r="G58" i="4"/>
  <c r="F59" i="4"/>
  <c r="G59" i="4"/>
  <c r="F60" i="4"/>
  <c r="G60" i="4"/>
  <c r="F61" i="4"/>
  <c r="G61" i="4"/>
  <c r="F62" i="4"/>
  <c r="G62" i="4"/>
  <c r="F63" i="4"/>
  <c r="G63" i="4"/>
  <c r="G64" i="4"/>
  <c r="G65" i="4"/>
  <c r="G48" i="4"/>
  <c r="F48" i="4"/>
  <c r="G46" i="4"/>
  <c r="F46" i="4"/>
  <c r="F45" i="4"/>
  <c r="G44" i="4"/>
  <c r="F44" i="4"/>
  <c r="G42" i="4"/>
  <c r="F42" i="4"/>
  <c r="F41" i="4"/>
  <c r="G41" i="4"/>
  <c r="G39" i="4"/>
  <c r="F39" i="4"/>
  <c r="G36" i="4"/>
  <c r="F36" i="4"/>
  <c r="G35" i="4"/>
  <c r="F35" i="4"/>
  <c r="G34" i="4"/>
  <c r="F34" i="4"/>
  <c r="G30" i="4"/>
  <c r="F30" i="4"/>
  <c r="G29" i="4"/>
  <c r="F29" i="4"/>
  <c r="G28" i="4"/>
  <c r="F28" i="4"/>
  <c r="F19" i="4"/>
  <c r="G19" i="4"/>
  <c r="F24" i="4"/>
  <c r="G24" i="4"/>
  <c r="F25" i="4"/>
  <c r="G25" i="4"/>
  <c r="F26" i="4"/>
  <c r="G26" i="4"/>
  <c r="G18" i="4"/>
  <c r="F18" i="4"/>
  <c r="F12" i="4"/>
  <c r="F13" i="4"/>
  <c r="G13" i="4"/>
  <c r="F14" i="4"/>
  <c r="G14" i="4"/>
  <c r="F15" i="4"/>
  <c r="G15" i="4"/>
  <c r="F16" i="4"/>
  <c r="G16" i="4"/>
  <c r="G11" i="4"/>
  <c r="G9" i="4"/>
  <c r="F9" i="4"/>
  <c r="G8" i="4"/>
  <c r="F8" i="4"/>
  <c r="I158" i="130"/>
  <c r="K155" i="130"/>
  <c r="J155" i="130"/>
  <c r="L133" i="4" l="1"/>
  <c r="K133" i="4"/>
  <c r="L132" i="4"/>
  <c r="K132" i="4"/>
  <c r="M130" i="4" l="1"/>
  <c r="J47" i="4"/>
  <c r="M147" i="4"/>
  <c r="M135" i="4"/>
  <c r="F24" i="2" s="1"/>
  <c r="M134" i="4"/>
  <c r="F23" i="2" s="1"/>
  <c r="M133" i="4"/>
  <c r="F22" i="2" s="1"/>
  <c r="J132" i="4"/>
  <c r="J117" i="4" s="1"/>
  <c r="J113" i="4"/>
  <c r="F36" i="2" l="1"/>
  <c r="F19" i="2"/>
  <c r="M63" i="4"/>
  <c r="F59" i="7" s="1"/>
  <c r="I15" i="78" s="1"/>
  <c r="M48" i="4"/>
  <c r="F44" i="7" s="1"/>
  <c r="AJ3" i="137" s="1"/>
  <c r="M62" i="4"/>
  <c r="F58" i="7" s="1"/>
  <c r="H15" i="78" s="1"/>
  <c r="M59" i="4"/>
  <c r="F55" i="7" s="1"/>
  <c r="AU3" i="137" s="1"/>
  <c r="M58" i="4"/>
  <c r="F54" i="7" s="1"/>
  <c r="M60" i="4"/>
  <c r="F56" i="7" s="1"/>
  <c r="H14" i="78" s="1"/>
  <c r="L38" i="4"/>
  <c r="M46" i="4"/>
  <c r="J43" i="4"/>
  <c r="J33" i="4"/>
  <c r="M34" i="4"/>
  <c r="F31" i="7" s="1"/>
  <c r="J15" i="78" l="1"/>
  <c r="L50" i="78" s="1"/>
  <c r="AV3" i="137"/>
  <c r="AT3" i="137"/>
  <c r="AA3" i="137"/>
  <c r="AY3" i="137"/>
  <c r="AX3" i="137"/>
  <c r="M24" i="4"/>
  <c r="F21" i="7" s="1"/>
  <c r="S3" i="137" s="1"/>
  <c r="M25" i="4"/>
  <c r="F22" i="7" s="1"/>
  <c r="T3" i="137" s="1"/>
  <c r="J7" i="4" l="1"/>
  <c r="J10" i="4"/>
  <c r="J17" i="4"/>
  <c r="J38" i="4"/>
  <c r="M42" i="4"/>
  <c r="J66" i="4"/>
  <c r="J75" i="4"/>
  <c r="J83" i="4"/>
  <c r="J87" i="4"/>
  <c r="J91" i="4"/>
  <c r="J97" i="4"/>
  <c r="J99" i="4"/>
  <c r="J101" i="4"/>
  <c r="J103" i="4"/>
  <c r="J137" i="4"/>
  <c r="J172" i="4"/>
  <c r="J178" i="4"/>
  <c r="J186" i="4"/>
  <c r="J190" i="4"/>
  <c r="J198" i="4"/>
  <c r="J37" i="4" l="1"/>
  <c r="F16" i="100"/>
  <c r="K142" i="4"/>
  <c r="M142" i="4" s="1"/>
  <c r="F39" i="7"/>
  <c r="D15" i="104"/>
  <c r="G14" i="104" s="1"/>
  <c r="I29" i="111"/>
  <c r="M153" i="4"/>
  <c r="M156" i="4"/>
  <c r="M45" i="4"/>
  <c r="F42" i="7" s="1"/>
  <c r="M127" i="4"/>
  <c r="M30" i="4"/>
  <c r="F27" i="7" s="1"/>
  <c r="F20" i="2"/>
  <c r="J6" i="4"/>
  <c r="M21" i="4"/>
  <c r="F18" i="7" s="1"/>
  <c r="M36" i="4"/>
  <c r="M181" i="4"/>
  <c r="M170" i="4"/>
  <c r="M26" i="4"/>
  <c r="F23" i="7" s="1"/>
  <c r="U3" i="137" s="1"/>
  <c r="M92" i="4"/>
  <c r="M180" i="4"/>
  <c r="M161" i="4"/>
  <c r="M81" i="4"/>
  <c r="M68" i="4"/>
  <c r="F64" i="7" s="1"/>
  <c r="M55" i="4"/>
  <c r="F51" i="7" s="1"/>
  <c r="M150" i="4"/>
  <c r="M139" i="4"/>
  <c r="M196" i="4"/>
  <c r="M148" i="4"/>
  <c r="M14" i="4"/>
  <c r="F11" i="7" s="1"/>
  <c r="M9" i="4"/>
  <c r="M8" i="4"/>
  <c r="M16" i="4"/>
  <c r="F13" i="7" s="1"/>
  <c r="F48" i="7"/>
  <c r="F47" i="7"/>
  <c r="M35" i="4"/>
  <c r="M176" i="4"/>
  <c r="M183" i="4"/>
  <c r="M166" i="4"/>
  <c r="M93" i="4"/>
  <c r="F89" i="7" s="1"/>
  <c r="M189" i="4"/>
  <c r="F78" i="2" s="1"/>
  <c r="M56" i="4"/>
  <c r="F52" i="7" s="1"/>
  <c r="M29" i="4"/>
  <c r="F26" i="7" s="1"/>
  <c r="J55" i="74" s="1"/>
  <c r="M100" i="4"/>
  <c r="M179" i="4"/>
  <c r="M28" i="4"/>
  <c r="M18" i="4"/>
  <c r="F15" i="7" s="1"/>
  <c r="E15" i="2" s="1"/>
  <c r="M175" i="4"/>
  <c r="M157" i="4"/>
  <c r="M13" i="4"/>
  <c r="F10" i="7" s="1"/>
  <c r="M89" i="4"/>
  <c r="M162" i="4"/>
  <c r="M144" i="4"/>
  <c r="M15" i="4"/>
  <c r="F12" i="7" s="1"/>
  <c r="M126" i="4"/>
  <c r="M145" i="4"/>
  <c r="M158" i="4"/>
  <c r="M129" i="4"/>
  <c r="M119" i="4"/>
  <c r="M98" i="4"/>
  <c r="M78" i="4"/>
  <c r="F74" i="7" s="1"/>
  <c r="F10" i="81" s="1"/>
  <c r="M174" i="4"/>
  <c r="M165" i="4"/>
  <c r="M151" i="4"/>
  <c r="J136" i="4"/>
  <c r="J105" i="4"/>
  <c r="J86" i="4"/>
  <c r="M94" i="4"/>
  <c r="F50" i="7"/>
  <c r="K172" i="4"/>
  <c r="M76" i="4"/>
  <c r="F72" i="7" s="1"/>
  <c r="M41" i="4"/>
  <c r="F38" i="7" s="1"/>
  <c r="M19" i="4"/>
  <c r="F16" i="7" s="1"/>
  <c r="M114" i="4"/>
  <c r="F3" i="2" s="1"/>
  <c r="F12" i="99" s="1"/>
  <c r="J74" i="4"/>
  <c r="F49" i="7"/>
  <c r="M199" i="4"/>
  <c r="L172" i="4"/>
  <c r="K186" i="4"/>
  <c r="M70" i="4"/>
  <c r="F66" i="7" s="1"/>
  <c r="M57" i="4"/>
  <c r="F53" i="7" s="1"/>
  <c r="M23" i="4"/>
  <c r="F20" i="7" s="1"/>
  <c r="M155" i="4"/>
  <c r="M194" i="4"/>
  <c r="F83" i="2" s="1"/>
  <c r="M185" i="4"/>
  <c r="M69" i="4"/>
  <c r="F65" i="7" s="1"/>
  <c r="L190" i="4"/>
  <c r="M159" i="4"/>
  <c r="M152" i="4"/>
  <c r="L178" i="4"/>
  <c r="K178" i="4"/>
  <c r="M163" i="4"/>
  <c r="K17" i="4"/>
  <c r="M168" i="4"/>
  <c r="M67" i="4"/>
  <c r="F63" i="7" s="1"/>
  <c r="M160" i="4"/>
  <c r="M44" i="4"/>
  <c r="F41" i="7" s="1"/>
  <c r="M22" i="4"/>
  <c r="F19" i="7" s="1"/>
  <c r="M177" i="4"/>
  <c r="H9" i="97" s="1"/>
  <c r="M122" i="4"/>
  <c r="M200" i="4"/>
  <c r="M143" i="4"/>
  <c r="M77" i="4"/>
  <c r="F73" i="7" s="1"/>
  <c r="M182" i="4"/>
  <c r="K75" i="4"/>
  <c r="M146" i="4"/>
  <c r="M80" i="4"/>
  <c r="M85" i="4"/>
  <c r="F81" i="7" s="1"/>
  <c r="M173" i="4"/>
  <c r="F62" i="2" s="1"/>
  <c r="F73" i="2" l="1"/>
  <c r="H22" i="97"/>
  <c r="E26" i="93"/>
  <c r="H32" i="93" s="1"/>
  <c r="G32" i="93" s="1"/>
  <c r="F64" i="2"/>
  <c r="H9" i="10" s="1"/>
  <c r="H10" i="97"/>
  <c r="H18" i="97"/>
  <c r="F68" i="2"/>
  <c r="J171" i="4"/>
  <c r="AG3" i="137"/>
  <c r="F72" i="2"/>
  <c r="F27" i="100" s="1"/>
  <c r="H21" i="97"/>
  <c r="F66" i="2"/>
  <c r="H8" i="97"/>
  <c r="F74" i="2"/>
  <c r="H24" i="97"/>
  <c r="F69" i="2"/>
  <c r="H23" i="97"/>
  <c r="F71" i="2"/>
  <c r="H18" i="10" s="1"/>
  <c r="H20" i="97"/>
  <c r="F70" i="2"/>
  <c r="H19" i="97"/>
  <c r="BB3" i="137"/>
  <c r="F28" i="100"/>
  <c r="BO3" i="137"/>
  <c r="P3" i="137"/>
  <c r="F11" i="100"/>
  <c r="L3" i="137"/>
  <c r="BI3" i="137"/>
  <c r="J3" i="137"/>
  <c r="AO3" i="137"/>
  <c r="BE3" i="137"/>
  <c r="W3" i="137"/>
  <c r="X3" i="137"/>
  <c r="M3" i="137"/>
  <c r="AR3" i="137"/>
  <c r="AI3" i="137"/>
  <c r="BT3" i="137"/>
  <c r="AQ3" i="137"/>
  <c r="BG3" i="137"/>
  <c r="BC3" i="137"/>
  <c r="BD3" i="137"/>
  <c r="AP3" i="137"/>
  <c r="BH3" i="137"/>
  <c r="K3" i="137"/>
  <c r="Q3" i="137"/>
  <c r="AS3" i="137"/>
  <c r="AF3" i="137"/>
  <c r="AH3" i="137"/>
  <c r="AM3" i="137"/>
  <c r="N3" i="137"/>
  <c r="R3" i="137"/>
  <c r="I3" i="137"/>
  <c r="AN3" i="137"/>
  <c r="F88" i="7"/>
  <c r="F44" i="2"/>
  <c r="F40" i="2"/>
  <c r="F54" i="2"/>
  <c r="F28" i="2"/>
  <c r="F16" i="2"/>
  <c r="F8" i="2"/>
  <c r="F18" i="2"/>
  <c r="F34" i="2"/>
  <c r="F39" i="2"/>
  <c r="F46" i="2"/>
  <c r="F59" i="2"/>
  <c r="F57" i="2"/>
  <c r="F15" i="2"/>
  <c r="F55" i="2"/>
  <c r="F45" i="2"/>
  <c r="F37" i="2"/>
  <c r="F41" i="2"/>
  <c r="F42" i="2"/>
  <c r="F33" i="2"/>
  <c r="F31" i="2"/>
  <c r="F49" i="2"/>
  <c r="F52" i="2"/>
  <c r="F35" i="2"/>
  <c r="F48" i="2"/>
  <c r="F47" i="2"/>
  <c r="F32" i="2"/>
  <c r="F51" i="2"/>
  <c r="F50" i="2"/>
  <c r="F11" i="2"/>
  <c r="F25" i="7"/>
  <c r="V3" i="137" s="1"/>
  <c r="M27" i="4"/>
  <c r="D10" i="104" s="1"/>
  <c r="G9" i="104" s="1"/>
  <c r="F33" i="7"/>
  <c r="D12" i="104"/>
  <c r="G11" i="104" s="1"/>
  <c r="F76" i="7"/>
  <c r="D24" i="104"/>
  <c r="F91" i="2"/>
  <c r="F19" i="105"/>
  <c r="V19" i="105" s="1"/>
  <c r="F6" i="7"/>
  <c r="D7" i="104"/>
  <c r="F85" i="7"/>
  <c r="D29" i="104"/>
  <c r="F85" i="2"/>
  <c r="F15" i="105"/>
  <c r="V15" i="105" s="1"/>
  <c r="F77" i="7"/>
  <c r="D25" i="104"/>
  <c r="M7" i="4"/>
  <c r="D6" i="104" s="1"/>
  <c r="F5" i="7"/>
  <c r="M99" i="4"/>
  <c r="D36" i="104" s="1"/>
  <c r="G35" i="104" s="1"/>
  <c r="F96" i="7"/>
  <c r="M97" i="4"/>
  <c r="D35" i="104" s="1"/>
  <c r="G34" i="104" s="1"/>
  <c r="F94" i="7"/>
  <c r="M33" i="4"/>
  <c r="D11" i="104" s="1"/>
  <c r="G10" i="104" s="1"/>
  <c r="F32" i="7"/>
  <c r="AB3" i="137" s="1"/>
  <c r="M128" i="4"/>
  <c r="M43" i="4"/>
  <c r="D16" i="104" s="1"/>
  <c r="G15" i="104" s="1"/>
  <c r="M91" i="4"/>
  <c r="D31" i="104" s="1"/>
  <c r="G30" i="104" s="1"/>
  <c r="J72" i="4"/>
  <c r="M178" i="4"/>
  <c r="F11" i="105" s="1"/>
  <c r="V11" i="105" s="1"/>
  <c r="J95" i="4"/>
  <c r="J106" i="4" s="1"/>
  <c r="M66" i="4"/>
  <c r="D18" i="104" s="1"/>
  <c r="G17" i="104" s="1"/>
  <c r="M172" i="4"/>
  <c r="F10" i="105" s="1"/>
  <c r="V10" i="105" s="1"/>
  <c r="M198" i="4"/>
  <c r="L66" i="70" l="1"/>
  <c r="G28" i="104"/>
  <c r="J107" i="4"/>
  <c r="L64" i="70"/>
  <c r="G23" i="104"/>
  <c r="L65" i="70"/>
  <c r="G24" i="104"/>
  <c r="F18" i="105"/>
  <c r="V18" i="105" s="1"/>
  <c r="G25" i="97"/>
  <c r="F17" i="105"/>
  <c r="V17" i="105" s="1"/>
  <c r="E64" i="70"/>
  <c r="N64" i="70" s="1"/>
  <c r="E66" i="70"/>
  <c r="N66" i="70" s="1"/>
  <c r="D67" i="10"/>
  <c r="G6" i="104"/>
  <c r="D31" i="11"/>
  <c r="E65" i="70"/>
  <c r="N65" i="70" s="1"/>
  <c r="H8" i="10"/>
  <c r="H25" i="97"/>
  <c r="I67" i="100"/>
  <c r="J67" i="100" s="1"/>
  <c r="I68" i="100"/>
  <c r="J68" i="100" s="1"/>
  <c r="I66" i="100"/>
  <c r="J66" i="100" s="1"/>
  <c r="J195" i="4"/>
  <c r="H19" i="10"/>
  <c r="F22" i="100"/>
  <c r="BQ3" i="137"/>
  <c r="BL3" i="137"/>
  <c r="F3" i="137"/>
  <c r="BK3" i="137"/>
  <c r="C79" i="137"/>
  <c r="E3" i="137"/>
  <c r="BU3" i="137"/>
  <c r="AC3" i="137"/>
  <c r="BV3" i="137"/>
  <c r="BS3" i="137"/>
  <c r="F37" i="100"/>
  <c r="F24" i="7"/>
  <c r="M125" i="4"/>
  <c r="J1" i="4"/>
  <c r="J197" i="4" l="1"/>
  <c r="H21" i="10"/>
  <c r="F24" i="100"/>
  <c r="H10" i="10"/>
  <c r="F13" i="100"/>
  <c r="I103" i="111"/>
  <c r="K100" i="111"/>
  <c r="J100" i="111"/>
  <c r="K124" i="4"/>
  <c r="M124" i="4" s="1"/>
  <c r="F13" i="2" s="1"/>
  <c r="K193" i="4"/>
  <c r="K141" i="4"/>
  <c r="G33" i="80"/>
  <c r="G37" i="80" s="1"/>
  <c r="G38" i="80" s="1"/>
  <c r="F33" i="80"/>
  <c r="E33" i="80"/>
  <c r="F36" i="80"/>
  <c r="E36" i="80"/>
  <c r="J201" i="4" l="1"/>
  <c r="J203" i="4" s="1"/>
  <c r="E37" i="80"/>
  <c r="K11" i="4"/>
  <c r="K10" i="4" s="1"/>
  <c r="I61" i="111"/>
  <c r="I64" i="111"/>
  <c r="I65" i="111"/>
  <c r="M141" i="4"/>
  <c r="M193" i="4"/>
  <c r="F82" i="2" s="1"/>
  <c r="L20" i="4"/>
  <c r="L88" i="4"/>
  <c r="M39" i="4"/>
  <c r="I37" i="111"/>
  <c r="I68" i="111"/>
  <c r="I63" i="111"/>
  <c r="I66" i="111"/>
  <c r="L115" i="4"/>
  <c r="L188" i="4"/>
  <c r="I12" i="111"/>
  <c r="L84" i="4"/>
  <c r="F37" i="80"/>
  <c r="G29" i="90" l="1"/>
  <c r="E30" i="74"/>
  <c r="J29" i="74"/>
  <c r="L249" i="4"/>
  <c r="L167" i="4"/>
  <c r="F11" i="4"/>
  <c r="F36" i="100"/>
  <c r="E19" i="11"/>
  <c r="E20" i="11" s="1"/>
  <c r="I72" i="111"/>
  <c r="F30" i="2"/>
  <c r="L83" i="4"/>
  <c r="G84" i="4"/>
  <c r="I74" i="111"/>
  <c r="M11" i="4"/>
  <c r="F8" i="7" s="1"/>
  <c r="G119" i="4"/>
  <c r="G121" i="4" s="1"/>
  <c r="L113" i="4"/>
  <c r="M88" i="4"/>
  <c r="F84" i="7" s="1"/>
  <c r="G88" i="4"/>
  <c r="M188" i="4"/>
  <c r="F77" i="2" s="1"/>
  <c r="I75" i="111"/>
  <c r="I76" i="111"/>
  <c r="F23" i="90"/>
  <c r="I73" i="111"/>
  <c r="F36" i="7"/>
  <c r="I77" i="111"/>
  <c r="I39" i="111"/>
  <c r="K115" i="4"/>
  <c r="L102" i="4" l="1"/>
  <c r="M102" i="4" s="1"/>
  <c r="M101" i="4" s="1"/>
  <c r="D37" i="104" s="1"/>
  <c r="G36" i="104" s="1"/>
  <c r="E20" i="90"/>
  <c r="M167" i="4"/>
  <c r="F56" i="2" s="1"/>
  <c r="K29" i="74"/>
  <c r="K105" i="111"/>
  <c r="BP3" i="137"/>
  <c r="H10" i="82"/>
  <c r="H11" i="82" s="1"/>
  <c r="L137" i="4"/>
  <c r="M249" i="4"/>
  <c r="L227" i="4"/>
  <c r="L250" i="4" s="1"/>
  <c r="L253" i="4" s="1"/>
  <c r="L256" i="4" s="1"/>
  <c r="L120" i="4" s="1"/>
  <c r="L121" i="4" s="1"/>
  <c r="L118" i="4" s="1"/>
  <c r="AD3" i="137"/>
  <c r="G3" i="137"/>
  <c r="D41" i="19"/>
  <c r="F83" i="7"/>
  <c r="I104" i="130"/>
  <c r="L17" i="4"/>
  <c r="M20" i="4"/>
  <c r="K113" i="4"/>
  <c r="M87" i="4"/>
  <c r="D32" i="104" s="1"/>
  <c r="G31" i="104" s="1"/>
  <c r="I38" i="111"/>
  <c r="F25" i="90" l="1"/>
  <c r="F84" i="4"/>
  <c r="K84" i="4"/>
  <c r="H12" i="82"/>
  <c r="G102" i="4"/>
  <c r="H14" i="10"/>
  <c r="F17" i="100"/>
  <c r="M115" i="4"/>
  <c r="M113" i="4" s="1"/>
  <c r="F5" i="105" s="1"/>
  <c r="V5" i="105" s="1"/>
  <c r="F98" i="7"/>
  <c r="M17" i="4"/>
  <c r="D9" i="104" s="1"/>
  <c r="G8" i="104" s="1"/>
  <c r="F17" i="7"/>
  <c r="E8" i="2" s="1"/>
  <c r="K223" i="4" l="1"/>
  <c r="K222" i="4" s="1"/>
  <c r="K83" i="4"/>
  <c r="M84" i="4"/>
  <c r="BW3" i="137"/>
  <c r="F38" i="100"/>
  <c r="O3" i="137"/>
  <c r="F4" i="2"/>
  <c r="I20" i="111"/>
  <c r="F38" i="80"/>
  <c r="M223" i="4" l="1"/>
  <c r="M222" i="4" s="1"/>
  <c r="M83" i="4"/>
  <c r="D27" i="104" s="1"/>
  <c r="G26" i="104" s="1"/>
  <c r="F80" i="7"/>
  <c r="F46" i="93" s="1"/>
  <c r="I31" i="130" l="1"/>
  <c r="BN3" i="137"/>
  <c r="I30" i="130"/>
  <c r="F223" i="4"/>
  <c r="I29" i="130"/>
  <c r="F138" i="4"/>
  <c r="K138" i="4"/>
  <c r="M138" i="4" s="1"/>
  <c r="I19" i="111"/>
  <c r="E50" i="85"/>
  <c r="F40" i="100" l="1"/>
  <c r="F222" i="4"/>
  <c r="H223" i="4"/>
  <c r="M9" i="95" s="1"/>
  <c r="F27" i="2"/>
  <c r="H222" i="4" l="1"/>
  <c r="J109" i="111"/>
  <c r="L79" i="4" l="1"/>
  <c r="L75" i="4" s="1"/>
  <c r="E105" i="102"/>
  <c r="F21" i="102"/>
  <c r="H26" i="102"/>
  <c r="G26" i="102"/>
  <c r="E21" i="102"/>
  <c r="H9" i="98"/>
  <c r="H19" i="98"/>
  <c r="H20" i="98"/>
  <c r="H10" i="98"/>
  <c r="G11" i="97"/>
  <c r="G5" i="95"/>
  <c r="E16" i="97"/>
  <c r="G6" i="98"/>
  <c r="E5" i="95" l="1"/>
  <c r="G8" i="102"/>
  <c r="G15" i="98"/>
  <c r="D6" i="10"/>
  <c r="G79" i="4"/>
  <c r="M79" i="4"/>
  <c r="M75" i="4" s="1"/>
  <c r="L12" i="4"/>
  <c r="I22" i="102"/>
  <c r="G16" i="97"/>
  <c r="G85" i="102"/>
  <c r="J86" i="102" s="1"/>
  <c r="G21" i="102"/>
  <c r="I21" i="102" s="1"/>
  <c r="H11" i="97"/>
  <c r="G70" i="102" l="1"/>
  <c r="L69" i="102" s="1"/>
  <c r="F7" i="100"/>
  <c r="F35" i="100" s="1"/>
  <c r="E6" i="98"/>
  <c r="G7" i="155"/>
  <c r="I26" i="102"/>
  <c r="I27" i="102" s="1"/>
  <c r="F75" i="7"/>
  <c r="L10" i="4"/>
  <c r="D23" i="104"/>
  <c r="E63" i="70" l="1"/>
  <c r="G22" i="104"/>
  <c r="E11" i="102"/>
  <c r="E83" i="102" s="1"/>
  <c r="L63" i="70"/>
  <c r="F164" i="4"/>
  <c r="I116" i="130"/>
  <c r="F39" i="100"/>
  <c r="BJ3" i="137"/>
  <c r="K164" i="4"/>
  <c r="M164" i="4" s="1"/>
  <c r="G12" i="4"/>
  <c r="M12" i="4"/>
  <c r="I82" i="111"/>
  <c r="E32" i="85"/>
  <c r="G16" i="85"/>
  <c r="G13" i="85"/>
  <c r="E9" i="85"/>
  <c r="G15" i="85"/>
  <c r="G10" i="85"/>
  <c r="N63" i="70" l="1"/>
  <c r="M10" i="4"/>
  <c r="F9" i="100"/>
  <c r="G14" i="85"/>
  <c r="E48" i="85"/>
  <c r="G48" i="85" s="1"/>
  <c r="F9" i="7"/>
  <c r="K31" i="74" s="1"/>
  <c r="D8" i="104"/>
  <c r="G7" i="104" s="1"/>
  <c r="M6" i="4"/>
  <c r="F53" i="2"/>
  <c r="F9" i="85"/>
  <c r="F23" i="85" l="1"/>
  <c r="E41" i="74"/>
  <c r="H6" i="10"/>
  <c r="H3" i="137"/>
  <c r="D16" i="94"/>
  <c r="Y16" i="94" s="1"/>
  <c r="T16" i="94" l="1"/>
  <c r="G16" i="94"/>
  <c r="I50" i="70"/>
  <c r="H15" i="85" l="1"/>
  <c r="G36" i="78" l="1"/>
  <c r="F63" i="78"/>
  <c r="H43" i="74"/>
  <c r="F16" i="75"/>
  <c r="F15" i="75"/>
  <c r="F14" i="75"/>
  <c r="E21" i="75"/>
  <c r="D13" i="75"/>
  <c r="D11" i="10"/>
  <c r="E14" i="100" s="1"/>
  <c r="D40" i="10"/>
  <c r="A49" i="137" s="1"/>
  <c r="A52" i="137"/>
  <c r="D44" i="10"/>
  <c r="A53" i="137" s="1"/>
  <c r="E38" i="10"/>
  <c r="E56" i="10"/>
  <c r="D46" i="10"/>
  <c r="A57" i="137" s="1"/>
  <c r="D47" i="10"/>
  <c r="A58" i="137" s="1"/>
  <c r="D48" i="10"/>
  <c r="A59" i="137" s="1"/>
  <c r="D49" i="10"/>
  <c r="A60" i="137" s="1"/>
  <c r="E61" i="10"/>
  <c r="E45" i="10"/>
  <c r="E26" i="10"/>
  <c r="F45" i="19"/>
  <c r="F48" i="19"/>
  <c r="F30" i="19"/>
  <c r="F20" i="19"/>
  <c r="G59" i="100"/>
  <c r="H59" i="100" s="1"/>
  <c r="F57" i="100" l="1"/>
  <c r="E55" i="10"/>
  <c r="E37" i="10"/>
  <c r="F62" i="100" l="1"/>
  <c r="H57" i="100"/>
  <c r="I11" i="79"/>
  <c r="F46" i="85"/>
  <c r="E46" i="85"/>
  <c r="E22" i="87"/>
  <c r="E14" i="87"/>
  <c r="J26" i="78" l="1"/>
  <c r="H17" i="78"/>
  <c r="J17" i="78" s="1"/>
  <c r="H8" i="78"/>
  <c r="J8" i="78" s="1"/>
  <c r="L43" i="78" s="1"/>
  <c r="D36" i="19"/>
  <c r="D35" i="19"/>
  <c r="F97" i="7" l="1"/>
  <c r="F95" i="7"/>
  <c r="F93" i="7"/>
  <c r="D29" i="19"/>
  <c r="D63" i="19"/>
  <c r="D64" i="19"/>
  <c r="D60" i="19"/>
  <c r="D49" i="19"/>
  <c r="B35" i="19"/>
  <c r="D27" i="19"/>
  <c r="D28" i="19"/>
  <c r="D6" i="19"/>
  <c r="C6" i="19"/>
  <c r="I24" i="74" l="1"/>
  <c r="H22" i="74"/>
  <c r="G21" i="74"/>
  <c r="G22" i="74" s="1"/>
  <c r="F21" i="74"/>
  <c r="F22" i="74" s="1"/>
  <c r="E21" i="74"/>
  <c r="E22" i="74" s="1"/>
  <c r="F67" i="2"/>
  <c r="G26" i="97" s="1"/>
  <c r="F61" i="2"/>
  <c r="G12" i="97" s="1"/>
  <c r="F17" i="2"/>
  <c r="F14" i="2" s="1"/>
  <c r="I22" i="74" l="1"/>
  <c r="F15" i="11"/>
  <c r="H12" i="97"/>
  <c r="H26" i="97"/>
  <c r="F90" i="2"/>
  <c r="F89" i="2" s="1"/>
  <c r="D5" i="104"/>
  <c r="G5" i="104" s="1"/>
  <c r="E42" i="74" l="1"/>
  <c r="F21" i="2" l="1"/>
  <c r="C5" i="2"/>
  <c r="F2" i="2"/>
  <c r="F13" i="99" s="1"/>
  <c r="F11" i="99" s="1"/>
  <c r="F14" i="99" l="1"/>
  <c r="E27" i="11"/>
  <c r="E22" i="90" s="1"/>
  <c r="G19" i="11" l="1"/>
  <c r="G18" i="11"/>
  <c r="G17" i="11"/>
  <c r="G15" i="11"/>
  <c r="G12" i="11"/>
  <c r="K22" i="7" l="1"/>
  <c r="K21" i="7"/>
  <c r="C22" i="7"/>
  <c r="T2" i="137" s="1"/>
  <c r="C21" i="7"/>
  <c r="S2" i="137" s="1"/>
  <c r="F14" i="7"/>
  <c r="B27" i="19" l="1"/>
  <c r="B28" i="19"/>
  <c r="C58" i="7"/>
  <c r="AX2" i="137" s="1"/>
  <c r="C59" i="7"/>
  <c r="AY2" i="137" s="1"/>
  <c r="C55" i="7"/>
  <c r="AU2" i="137" s="1"/>
  <c r="C44" i="7"/>
  <c r="AJ2" i="137" s="1"/>
  <c r="B49" i="19" l="1"/>
  <c r="B63" i="19"/>
  <c r="B60" i="19"/>
  <c r="B64" i="19"/>
  <c r="G10" i="102"/>
  <c r="F71" i="7"/>
  <c r="F87" i="7"/>
  <c r="F79" i="7"/>
  <c r="G12" i="102" l="1"/>
  <c r="G80" i="102"/>
  <c r="G82" i="102" s="1"/>
  <c r="G86" i="102" s="1"/>
  <c r="G74" i="102" s="1"/>
  <c r="F7" i="7"/>
  <c r="F4" i="7"/>
  <c r="F30" i="7"/>
  <c r="F62" i="7"/>
  <c r="F40" i="7"/>
  <c r="H131" i="4"/>
  <c r="H124" i="4"/>
  <c r="H123" i="4"/>
  <c r="E22" i="105" l="1"/>
  <c r="E12" i="2"/>
  <c r="H130" i="4"/>
  <c r="E19" i="2" s="1"/>
  <c r="H147" i="4"/>
  <c r="E36" i="2" s="1"/>
  <c r="F16" i="94" s="1"/>
  <c r="E16" i="94" s="1"/>
  <c r="H134" i="4" l="1"/>
  <c r="E23" i="2"/>
  <c r="H135" i="4"/>
  <c r="E132" i="4"/>
  <c r="H132" i="4" s="1"/>
  <c r="H133" i="4"/>
  <c r="H116" i="4"/>
  <c r="E5" i="2" s="1"/>
  <c r="H63" i="4"/>
  <c r="E59" i="7" s="1"/>
  <c r="F15" i="78" s="1"/>
  <c r="H62" i="4"/>
  <c r="E58" i="7" s="1"/>
  <c r="E15" i="78" s="1"/>
  <c r="H59" i="4"/>
  <c r="E38" i="88" s="1"/>
  <c r="H48" i="4"/>
  <c r="H46" i="4"/>
  <c r="H25" i="4"/>
  <c r="E22" i="7" s="1"/>
  <c r="T4" i="137" s="1"/>
  <c r="T5" i="137" s="1"/>
  <c r="T6" i="137" s="1"/>
  <c r="T7" i="137" s="1"/>
  <c r="H24" i="4"/>
  <c r="E21" i="7" s="1"/>
  <c r="S4" i="137" s="1"/>
  <c r="S5" i="137" s="1"/>
  <c r="E44" i="7" l="1"/>
  <c r="AJ4" i="137" s="1"/>
  <c r="AJ5" i="137" s="1"/>
  <c r="AJ7" i="137" s="1"/>
  <c r="E36" i="88"/>
  <c r="E40" i="88" s="1"/>
  <c r="G15" i="78"/>
  <c r="L33" i="78" s="1"/>
  <c r="S36" i="137"/>
  <c r="S6" i="137" s="1"/>
  <c r="S7" i="137" s="1"/>
  <c r="E55" i="7"/>
  <c r="AU4" i="137" s="1"/>
  <c r="C62" i="137" s="1"/>
  <c r="AX4" i="137"/>
  <c r="AX5" i="137" s="1"/>
  <c r="AX7" i="137" s="1"/>
  <c r="AY4" i="137"/>
  <c r="AY5" i="137" s="1"/>
  <c r="J21" i="7"/>
  <c r="E14" i="75"/>
  <c r="C27" i="19"/>
  <c r="E27" i="19" s="1"/>
  <c r="J58" i="7"/>
  <c r="C63" i="19"/>
  <c r="E63" i="19" s="1"/>
  <c r="F63" i="19" s="1"/>
  <c r="J22" i="7"/>
  <c r="E15" i="75"/>
  <c r="G15" i="75" s="1"/>
  <c r="C28" i="19"/>
  <c r="E28" i="19" s="1"/>
  <c r="F28" i="19" s="1"/>
  <c r="J59" i="7"/>
  <c r="C64" i="19"/>
  <c r="E64" i="19" s="1"/>
  <c r="F64" i="19" s="1"/>
  <c r="E21" i="2"/>
  <c r="C49" i="19" l="1"/>
  <c r="E49" i="19" s="1"/>
  <c r="E8" i="78"/>
  <c r="G8" i="78" s="1"/>
  <c r="C60" i="19"/>
  <c r="E60" i="19" s="1"/>
  <c r="F35" i="78" s="1"/>
  <c r="E17" i="78"/>
  <c r="G17" i="78" s="1"/>
  <c r="AU5" i="137"/>
  <c r="AU6" i="137"/>
  <c r="C56" i="137"/>
  <c r="K27" i="19"/>
  <c r="F27" i="19" s="1"/>
  <c r="AU7" i="137" l="1"/>
  <c r="K35" i="78"/>
  <c r="L35" i="78" s="1"/>
  <c r="K26" i="78"/>
  <c r="L26" i="78" s="1"/>
  <c r="F49" i="19"/>
  <c r="F60" i="19"/>
  <c r="H113" i="102"/>
  <c r="H114" i="102" l="1"/>
  <c r="G98" i="102" l="1"/>
  <c r="F98" i="102"/>
  <c r="F106" i="102" s="1"/>
  <c r="E98" i="102"/>
  <c r="E106" i="102" s="1"/>
  <c r="K97" i="102"/>
  <c r="K99" i="102" s="1"/>
  <c r="J97" i="102"/>
  <c r="J99" i="102" s="1"/>
  <c r="I97" i="102"/>
  <c r="I99" i="102" s="1"/>
  <c r="H97" i="102"/>
  <c r="H99" i="102" s="1"/>
  <c r="G97" i="102"/>
  <c r="G99" i="102" s="1"/>
  <c r="F97" i="102"/>
  <c r="F99" i="102" s="1"/>
  <c r="L94" i="102"/>
  <c r="M94" i="102" s="1"/>
  <c r="H83" i="102"/>
  <c r="F100" i="102" l="1"/>
  <c r="F101" i="102" s="1"/>
  <c r="G100" i="102"/>
  <c r="G101" i="102" s="1"/>
  <c r="G102" i="102" s="1"/>
  <c r="H98" i="102"/>
  <c r="H100" i="102" s="1"/>
  <c r="I98" i="102"/>
  <c r="I100" i="102" s="1"/>
  <c r="J98" i="102"/>
  <c r="J100" i="102" s="1"/>
  <c r="K98" i="102"/>
  <c r="K100" i="102" s="1"/>
  <c r="F102" i="102" l="1"/>
  <c r="K101" i="102"/>
  <c r="K102" i="102" s="1"/>
  <c r="I101" i="102"/>
  <c r="I102" i="102" s="1"/>
  <c r="J101" i="102"/>
  <c r="J102" i="102" s="1"/>
  <c r="H101" i="102"/>
  <c r="H102" i="102" s="1"/>
  <c r="E97" i="102"/>
  <c r="E99" i="102" s="1"/>
  <c r="E100" i="102" s="1"/>
  <c r="E101" i="102" s="1"/>
  <c r="E102" i="102" s="1"/>
  <c r="G78" i="102"/>
  <c r="H85" i="102"/>
  <c r="F35" i="102"/>
  <c r="G40" i="102"/>
  <c r="H40" i="102"/>
  <c r="E35" i="102"/>
  <c r="K86" i="102" l="1"/>
  <c r="L85" i="102"/>
  <c r="G72" i="102"/>
  <c r="G88" i="102"/>
  <c r="G73" i="102" s="1"/>
  <c r="E23" i="105" s="1"/>
  <c r="G113" i="102"/>
  <c r="O113" i="102" s="1"/>
  <c r="G35" i="102"/>
  <c r="I35" i="102" s="1"/>
  <c r="I36" i="102"/>
  <c r="Q113" i="102" l="1"/>
  <c r="O114" i="102"/>
  <c r="I113" i="102"/>
  <c r="J113" i="102" s="1"/>
  <c r="G114" i="102"/>
  <c r="I40" i="102"/>
  <c r="L101" i="102" l="1"/>
  <c r="N101" i="102" s="1"/>
  <c r="N239" i="102"/>
  <c r="I41" i="102"/>
  <c r="F11" i="102" s="1"/>
  <c r="K72" i="102" s="1"/>
  <c r="I114" i="102"/>
  <c r="R113" i="102"/>
  <c r="R114" i="102" s="1"/>
  <c r="M116" i="102" s="1"/>
  <c r="E84" i="102" s="1"/>
  <c r="E85" i="102" s="1"/>
  <c r="Q114" i="102"/>
  <c r="J114" i="102"/>
  <c r="E116" i="102" s="1"/>
  <c r="F84" i="102" s="1"/>
  <c r="K73" i="102" s="1"/>
  <c r="K74" i="102" l="1"/>
  <c r="F83" i="102"/>
  <c r="F85" i="102" s="1"/>
  <c r="K83" i="102" l="1"/>
  <c r="F6" i="73" l="1"/>
  <c r="F60" i="78"/>
  <c r="I40" i="72"/>
  <c r="I39" i="72"/>
  <c r="I35" i="72"/>
  <c r="I34" i="72"/>
  <c r="F48" i="100" l="1"/>
  <c r="F43" i="100"/>
  <c r="F44" i="100" s="1"/>
  <c r="F10" i="99"/>
  <c r="F19" i="99" s="1"/>
  <c r="D42" i="100"/>
  <c r="D41" i="100"/>
  <c r="D40" i="100"/>
  <c r="D39" i="100"/>
  <c r="D38" i="100"/>
  <c r="D37" i="100"/>
  <c r="D36" i="100"/>
  <c r="F23" i="99"/>
  <c r="E15" i="98" l="1"/>
  <c r="E8" i="102"/>
  <c r="E7" i="100" s="1"/>
  <c r="F13" i="95"/>
  <c r="E13" i="95" s="1"/>
  <c r="E35" i="100" l="1"/>
  <c r="E48" i="100" s="1"/>
  <c r="E10" i="99"/>
  <c r="E19" i="99" s="1"/>
  <c r="E70" i="102"/>
  <c r="K69" i="102" s="1"/>
  <c r="E78" i="102"/>
  <c r="D91" i="102" s="1"/>
  <c r="F26" i="93"/>
  <c r="H33" i="93" s="1"/>
  <c r="G33" i="93" s="1"/>
  <c r="H9" i="93"/>
  <c r="G9" i="93" s="1"/>
  <c r="G34" i="93" l="1"/>
  <c r="H34" i="93"/>
  <c r="H10" i="93"/>
  <c r="H11" i="93" s="1"/>
  <c r="G10" i="93"/>
  <c r="G11" i="93" s="1"/>
  <c r="H21" i="94"/>
  <c r="H16" i="94"/>
  <c r="K16" i="94"/>
  <c r="L16" i="94" s="1"/>
  <c r="G26" i="93"/>
  <c r="H22" i="94"/>
  <c r="H33" i="94"/>
  <c r="H14" i="94"/>
  <c r="H13" i="94"/>
  <c r="H29" i="94"/>
  <c r="H12" i="94"/>
  <c r="H7" i="94"/>
  <c r="H20" i="94"/>
  <c r="H19" i="94"/>
  <c r="H17" i="94"/>
  <c r="H15" i="94"/>
  <c r="H28" i="94"/>
  <c r="H11" i="94"/>
  <c r="H10" i="94"/>
  <c r="H37" i="94"/>
  <c r="H8" i="94"/>
  <c r="H27" i="94"/>
  <c r="H26" i="94"/>
  <c r="H25" i="94"/>
  <c r="H24" i="94"/>
  <c r="H35" i="94"/>
  <c r="H34" i="94"/>
  <c r="H32" i="94"/>
  <c r="H31" i="94"/>
  <c r="H30" i="94"/>
  <c r="H36" i="94"/>
  <c r="H25" i="88"/>
  <c r="G25" i="88"/>
  <c r="F28" i="87"/>
  <c r="F10" i="87"/>
  <c r="E23" i="87"/>
  <c r="E10" i="87"/>
  <c r="E29" i="87" s="1"/>
  <c r="E30" i="87" s="1"/>
  <c r="E28" i="87"/>
  <c r="F19" i="85"/>
  <c r="L26" i="85" s="1"/>
  <c r="E19" i="85"/>
  <c r="K26" i="85" s="1"/>
  <c r="G8" i="85"/>
  <c r="M24" i="85" s="1"/>
  <c r="I11" i="84"/>
  <c r="K11" i="84" s="1"/>
  <c r="H9" i="84"/>
  <c r="I9" i="84"/>
  <c r="K9" i="84" s="1"/>
  <c r="H11" i="84"/>
  <c r="K15" i="84"/>
  <c r="F6" i="83"/>
  <c r="I6" i="84" s="1"/>
  <c r="G8" i="82"/>
  <c r="G9" i="82"/>
  <c r="F7" i="83" s="1"/>
  <c r="F8" i="83" s="1"/>
  <c r="G6" i="82"/>
  <c r="F6" i="81"/>
  <c r="F9" i="81"/>
  <c r="F8" i="81"/>
  <c r="F7" i="81"/>
  <c r="J7" i="80"/>
  <c r="E38" i="80"/>
  <c r="F30" i="80"/>
  <c r="F43" i="80" s="1"/>
  <c r="F25" i="80"/>
  <c r="E21" i="80" s="1"/>
  <c r="K16" i="80"/>
  <c r="K41" i="79"/>
  <c r="L41" i="79" s="1"/>
  <c r="F8" i="79"/>
  <c r="H19" i="79" s="1"/>
  <c r="J8" i="79"/>
  <c r="F9" i="79"/>
  <c r="H20" i="79" s="1"/>
  <c r="J9" i="79"/>
  <c r="H9" i="79" s="1"/>
  <c r="F10" i="79"/>
  <c r="H21" i="79" s="1"/>
  <c r="J10" i="79"/>
  <c r="H10" i="79" s="1"/>
  <c r="F32" i="79"/>
  <c r="E32" i="79"/>
  <c r="I31" i="79"/>
  <c r="E21" i="79" s="1"/>
  <c r="I30" i="79"/>
  <c r="E20" i="79" s="1"/>
  <c r="I29" i="79"/>
  <c r="E19" i="79" s="1"/>
  <c r="H26" i="93" l="1"/>
  <c r="H35" i="93"/>
  <c r="G35" i="93"/>
  <c r="H7" i="88"/>
  <c r="F28" i="85"/>
  <c r="F6" i="91" s="1"/>
  <c r="F15" i="87"/>
  <c r="E7" i="87" s="1"/>
  <c r="G11" i="82"/>
  <c r="J11" i="79"/>
  <c r="J13" i="79" s="1"/>
  <c r="H8" i="79"/>
  <c r="H11" i="79" s="1"/>
  <c r="G13" i="88"/>
  <c r="G19" i="85"/>
  <c r="M26" i="85" s="1"/>
  <c r="I14" i="88"/>
  <c r="F24" i="87"/>
  <c r="E24" i="87"/>
  <c r="G12" i="10" s="1"/>
  <c r="F20" i="84"/>
  <c r="E23" i="84"/>
  <c r="E24" i="84" s="1"/>
  <c r="F11" i="81"/>
  <c r="E25" i="80"/>
  <c r="F26" i="80"/>
  <c r="F34" i="79"/>
  <c r="J30" i="79"/>
  <c r="J31" i="79"/>
  <c r="H34" i="79"/>
  <c r="J29" i="79"/>
  <c r="E22" i="79"/>
  <c r="F11" i="79"/>
  <c r="H22" i="79"/>
  <c r="I32" i="79"/>
  <c r="H10" i="78"/>
  <c r="I10" i="78"/>
  <c r="H11" i="78"/>
  <c r="I11" i="78"/>
  <c r="H12" i="78"/>
  <c r="I12" i="78"/>
  <c r="H13" i="78"/>
  <c r="I13" i="78"/>
  <c r="F9" i="77"/>
  <c r="F8" i="77"/>
  <c r="F31" i="87" l="1"/>
  <c r="J12" i="79"/>
  <c r="F12" i="81"/>
  <c r="F13" i="81"/>
  <c r="G12" i="82"/>
  <c r="G13" i="82"/>
  <c r="G14" i="88"/>
  <c r="E15" i="87"/>
  <c r="H46" i="87" s="1"/>
  <c r="J46" i="87" s="1"/>
  <c r="K46" i="87" s="1"/>
  <c r="F16" i="87"/>
  <c r="H34" i="4"/>
  <c r="E31" i="7" s="1"/>
  <c r="AA4" i="137" s="1"/>
  <c r="AA5" i="137" s="1"/>
  <c r="AA7" i="137" s="1"/>
  <c r="G41" i="85"/>
  <c r="G17" i="85"/>
  <c r="J32" i="79"/>
  <c r="J11" i="78"/>
  <c r="L46" i="78" s="1"/>
  <c r="J13" i="78"/>
  <c r="L48" i="78" s="1"/>
  <c r="J10" i="78"/>
  <c r="L45" i="78" s="1"/>
  <c r="J12" i="78"/>
  <c r="L47" i="78" s="1"/>
  <c r="E8" i="77" l="1"/>
  <c r="C35" i="19"/>
  <c r="E35" i="19" s="1"/>
  <c r="F35" i="19" s="1"/>
  <c r="G23" i="85"/>
  <c r="H47" i="87"/>
  <c r="J47" i="87" s="1"/>
  <c r="K47" i="87" s="1"/>
  <c r="H50" i="87"/>
  <c r="J50" i="87" s="1"/>
  <c r="K50" i="87" s="1"/>
  <c r="H49" i="87"/>
  <c r="J49" i="87" s="1"/>
  <c r="K49" i="87" s="1"/>
  <c r="F3" i="7" l="1"/>
  <c r="F18" i="77"/>
  <c r="F16" i="77"/>
  <c r="H29" i="77" s="1"/>
  <c r="F10" i="77"/>
  <c r="F11" i="77" s="1"/>
  <c r="F8" i="76"/>
  <c r="F9" i="76"/>
  <c r="F10" i="76"/>
  <c r="E33" i="4"/>
  <c r="G11" i="10"/>
  <c r="F8" i="75"/>
  <c r="F9" i="75"/>
  <c r="F10" i="75"/>
  <c r="F11" i="75"/>
  <c r="F12" i="75"/>
  <c r="F13" i="75"/>
  <c r="H45" i="74"/>
  <c r="I11" i="74"/>
  <c r="H11" i="74"/>
  <c r="I10" i="74"/>
  <c r="H10" i="74"/>
  <c r="I9" i="74"/>
  <c r="L31" i="74" s="1"/>
  <c r="H9" i="74"/>
  <c r="L29" i="74" s="1"/>
  <c r="J21" i="74"/>
  <c r="H26" i="74"/>
  <c r="I26" i="74"/>
  <c r="G26" i="74"/>
  <c r="E26" i="74"/>
  <c r="F41" i="74"/>
  <c r="F44" i="74"/>
  <c r="G44" i="74"/>
  <c r="F7" i="73"/>
  <c r="F9" i="73" s="1"/>
  <c r="M40" i="72"/>
  <c r="M39" i="72"/>
  <c r="M35" i="72"/>
  <c r="M34" i="72"/>
  <c r="I41" i="72"/>
  <c r="J36" i="72"/>
  <c r="H36" i="72"/>
  <c r="G36" i="72"/>
  <c r="F18" i="72"/>
  <c r="E79" i="70"/>
  <c r="H50" i="70"/>
  <c r="F27" i="70"/>
  <c r="H180" i="4"/>
  <c r="F23" i="97" s="1"/>
  <c r="E23" i="97" s="1"/>
  <c r="H175" i="4"/>
  <c r="E7" i="4"/>
  <c r="J47" i="70"/>
  <c r="E101" i="4"/>
  <c r="E99" i="4"/>
  <c r="E97" i="4"/>
  <c r="P83" i="19"/>
  <c r="D11" i="19"/>
  <c r="C112" i="19" s="1"/>
  <c r="D12" i="19"/>
  <c r="D14" i="19"/>
  <c r="D27" i="10"/>
  <c r="E36" i="100" s="1"/>
  <c r="D15" i="19"/>
  <c r="D16" i="19"/>
  <c r="D17" i="19"/>
  <c r="D18" i="19"/>
  <c r="D19" i="19"/>
  <c r="D21" i="19"/>
  <c r="D22" i="19"/>
  <c r="D23" i="19"/>
  <c r="D24" i="19"/>
  <c r="D25" i="19"/>
  <c r="D26" i="19"/>
  <c r="D31" i="19"/>
  <c r="D32" i="19"/>
  <c r="D33" i="19"/>
  <c r="D37" i="19"/>
  <c r="B39" i="19"/>
  <c r="D43" i="19"/>
  <c r="D44" i="19"/>
  <c r="D46" i="19"/>
  <c r="D47" i="19"/>
  <c r="S48" i="19"/>
  <c r="D52" i="19"/>
  <c r="D53" i="19"/>
  <c r="D54" i="19"/>
  <c r="D55" i="19"/>
  <c r="D56" i="19"/>
  <c r="D57" i="19"/>
  <c r="D58" i="19"/>
  <c r="D59" i="19"/>
  <c r="D61" i="19"/>
  <c r="G66" i="19"/>
  <c r="D68" i="19"/>
  <c r="D69" i="19"/>
  <c r="D70" i="19"/>
  <c r="D71" i="19"/>
  <c r="B72" i="19"/>
  <c r="D72" i="19"/>
  <c r="B73" i="19"/>
  <c r="B75" i="19"/>
  <c r="E76" i="19"/>
  <c r="E77" i="19"/>
  <c r="F77" i="19" s="1"/>
  <c r="D78" i="19"/>
  <c r="D79" i="19"/>
  <c r="D80" i="19"/>
  <c r="D81" i="19"/>
  <c r="D82" i="19"/>
  <c r="D57" i="10"/>
  <c r="A69" i="137" s="1"/>
  <c r="D62" i="10"/>
  <c r="A74" i="137" s="1"/>
  <c r="D83" i="19"/>
  <c r="D64" i="10"/>
  <c r="A76" i="137" s="1"/>
  <c r="F85" i="19"/>
  <c r="D86" i="19"/>
  <c r="D87" i="19"/>
  <c r="B88" i="19"/>
  <c r="F88" i="19"/>
  <c r="F89" i="19"/>
  <c r="D90" i="19"/>
  <c r="D91" i="19"/>
  <c r="Z92" i="19"/>
  <c r="F93" i="19"/>
  <c r="D94" i="19"/>
  <c r="D95" i="19"/>
  <c r="D96" i="19"/>
  <c r="B97" i="19"/>
  <c r="F97" i="19"/>
  <c r="B99" i="19"/>
  <c r="C99" i="19"/>
  <c r="D99" i="19"/>
  <c r="B100" i="19"/>
  <c r="F100" i="19"/>
  <c r="B101" i="19"/>
  <c r="D101" i="19"/>
  <c r="B102" i="19"/>
  <c r="F102" i="19"/>
  <c r="B103" i="19"/>
  <c r="D103" i="19"/>
  <c r="B104" i="19"/>
  <c r="F104" i="19"/>
  <c r="B105" i="19"/>
  <c r="D105" i="19"/>
  <c r="B106" i="19"/>
  <c r="F106" i="19"/>
  <c r="B107" i="19"/>
  <c r="B108" i="19"/>
  <c r="E12" i="100"/>
  <c r="D17" i="10"/>
  <c r="D33" i="10"/>
  <c r="D34" i="10"/>
  <c r="D35" i="10"/>
  <c r="D36" i="10"/>
  <c r="D39" i="10"/>
  <c r="A48" i="137" s="1"/>
  <c r="D50" i="10"/>
  <c r="A61" i="137" s="1"/>
  <c r="D52" i="10"/>
  <c r="D58" i="10"/>
  <c r="A70" i="137" s="1"/>
  <c r="D63" i="10"/>
  <c r="A75" i="137" s="1"/>
  <c r="C11" i="11"/>
  <c r="D11" i="11"/>
  <c r="E11" i="11"/>
  <c r="F11" i="11"/>
  <c r="G11" i="11"/>
  <c r="D33" i="11"/>
  <c r="G22" i="11"/>
  <c r="G25" i="11"/>
  <c r="C1" i="2"/>
  <c r="E1" i="2"/>
  <c r="F1" i="2" s="1"/>
  <c r="E1" i="10" s="1"/>
  <c r="C3" i="2"/>
  <c r="C4" i="2"/>
  <c r="C27" i="2"/>
  <c r="C28" i="2"/>
  <c r="C30" i="2"/>
  <c r="C31" i="2"/>
  <c r="C32" i="2"/>
  <c r="C33" i="2"/>
  <c r="C34" i="2"/>
  <c r="C35" i="2"/>
  <c r="C37" i="2"/>
  <c r="C38" i="2"/>
  <c r="C39" i="2"/>
  <c r="C40" i="2"/>
  <c r="C41" i="2"/>
  <c r="C42" i="2"/>
  <c r="C43" i="2"/>
  <c r="C44" i="2"/>
  <c r="C45" i="2"/>
  <c r="C46" i="2"/>
  <c r="C47" i="2"/>
  <c r="C48" i="2"/>
  <c r="C49" i="2"/>
  <c r="C50" i="2"/>
  <c r="C51" i="2"/>
  <c r="C52" i="2"/>
  <c r="C53" i="2"/>
  <c r="C54" i="2"/>
  <c r="C55" i="2"/>
  <c r="C56" i="2"/>
  <c r="C57" i="2"/>
  <c r="C59" i="2"/>
  <c r="C68" i="2"/>
  <c r="C70" i="2"/>
  <c r="C72" i="2"/>
  <c r="C74" i="2"/>
  <c r="C76" i="2"/>
  <c r="D8" i="98" s="1"/>
  <c r="C77" i="2"/>
  <c r="D9" i="98" s="1"/>
  <c r="C78" i="2"/>
  <c r="D10" i="98" s="1"/>
  <c r="C80" i="2"/>
  <c r="D17" i="98" s="1"/>
  <c r="C82" i="2"/>
  <c r="D19" i="98" s="1"/>
  <c r="C83" i="2"/>
  <c r="D20" i="98" s="1"/>
  <c r="C4" i="7"/>
  <c r="C5" i="7"/>
  <c r="E2" i="137" s="1"/>
  <c r="C6" i="7"/>
  <c r="F2" i="137" s="1"/>
  <c r="C7" i="7"/>
  <c r="C8" i="7"/>
  <c r="G2" i="137" s="1"/>
  <c r="C9" i="7"/>
  <c r="H2" i="137" s="1"/>
  <c r="C10" i="7"/>
  <c r="C11" i="7"/>
  <c r="J2" i="137" s="1"/>
  <c r="C12" i="7"/>
  <c r="K2" i="137" s="1"/>
  <c r="C13" i="7"/>
  <c r="L2" i="137" s="1"/>
  <c r="C14" i="7"/>
  <c r="C15" i="7"/>
  <c r="M2" i="137" s="1"/>
  <c r="K15" i="7"/>
  <c r="C16" i="7"/>
  <c r="N2" i="137" s="1"/>
  <c r="K16" i="7"/>
  <c r="C17" i="7"/>
  <c r="O2" i="137" s="1"/>
  <c r="K17" i="7"/>
  <c r="C18" i="7"/>
  <c r="P2" i="137" s="1"/>
  <c r="K18" i="7"/>
  <c r="C19" i="7"/>
  <c r="Q2" i="137" s="1"/>
  <c r="K19" i="7"/>
  <c r="C20" i="7"/>
  <c r="R2" i="137" s="1"/>
  <c r="K20" i="7"/>
  <c r="C24" i="7"/>
  <c r="C25" i="7"/>
  <c r="V2" i="137" s="1"/>
  <c r="C26" i="7"/>
  <c r="W2" i="137" s="1"/>
  <c r="C27" i="7"/>
  <c r="X2" i="137" s="1"/>
  <c r="C33" i="7"/>
  <c r="AC2" i="137" s="1"/>
  <c r="C35" i="7"/>
  <c r="C36" i="7"/>
  <c r="AD2" i="137" s="1"/>
  <c r="C38" i="7"/>
  <c r="AF2" i="137" s="1"/>
  <c r="C39" i="7"/>
  <c r="AG2" i="137" s="1"/>
  <c r="C40" i="7"/>
  <c r="C41" i="7"/>
  <c r="AH2" i="137" s="1"/>
  <c r="C42" i="7"/>
  <c r="AI2" i="137" s="1"/>
  <c r="C43" i="7"/>
  <c r="C47" i="7"/>
  <c r="AM2" i="137" s="1"/>
  <c r="C48" i="7"/>
  <c r="AN2" i="137" s="1"/>
  <c r="C49" i="7"/>
  <c r="AO2" i="137" s="1"/>
  <c r="C50" i="7"/>
  <c r="AP2" i="137" s="1"/>
  <c r="C51" i="7"/>
  <c r="AQ2" i="137" s="1"/>
  <c r="C52" i="7"/>
  <c r="AR2" i="137" s="1"/>
  <c r="C53" i="7"/>
  <c r="AS2" i="137" s="1"/>
  <c r="C54" i="7"/>
  <c r="AT2" i="137" s="1"/>
  <c r="C56" i="7"/>
  <c r="AV2" i="137" s="1"/>
  <c r="C60" i="7"/>
  <c r="AZ2" i="137" s="1"/>
  <c r="C61" i="7"/>
  <c r="BA2" i="137" s="1"/>
  <c r="C62" i="7"/>
  <c r="C63" i="7"/>
  <c r="BB2" i="137" s="1"/>
  <c r="C64" i="7"/>
  <c r="BC2" i="137" s="1"/>
  <c r="C65" i="7"/>
  <c r="BD2" i="137" s="1"/>
  <c r="C66" i="7"/>
  <c r="BE2" i="137" s="1"/>
  <c r="J69" i="7"/>
  <c r="C71" i="7"/>
  <c r="C72" i="7"/>
  <c r="BG2" i="137" s="1"/>
  <c r="C73" i="7"/>
  <c r="BH2" i="137" s="1"/>
  <c r="C75" i="7"/>
  <c r="BJ2" i="137" s="1"/>
  <c r="C76" i="7"/>
  <c r="BK2" i="137" s="1"/>
  <c r="C77" i="7"/>
  <c r="BL2" i="137" s="1"/>
  <c r="C78" i="7"/>
  <c r="BM2" i="137" s="1"/>
  <c r="C79" i="7"/>
  <c r="C80" i="7"/>
  <c r="C81" i="7"/>
  <c r="C83" i="7"/>
  <c r="C84" i="7"/>
  <c r="BP2" i="137" s="1"/>
  <c r="C85" i="7"/>
  <c r="BQ2" i="137" s="1"/>
  <c r="C86" i="7"/>
  <c r="BR2" i="137" s="1"/>
  <c r="C87" i="7"/>
  <c r="C88" i="7"/>
  <c r="BS2" i="137" s="1"/>
  <c r="C89" i="7"/>
  <c r="BT2" i="137" s="1"/>
  <c r="C90" i="7"/>
  <c r="J92" i="7"/>
  <c r="F107" i="7"/>
  <c r="E87" i="4"/>
  <c r="J19" i="70" l="1"/>
  <c r="F28" i="70"/>
  <c r="F29" i="70" s="1"/>
  <c r="A40" i="137"/>
  <c r="G33" i="10"/>
  <c r="E8" i="71"/>
  <c r="E88" i="70"/>
  <c r="G8" i="87"/>
  <c r="E64" i="2"/>
  <c r="G9" i="10" s="1"/>
  <c r="F10" i="97"/>
  <c r="E10" i="97" s="1"/>
  <c r="G58" i="100"/>
  <c r="H58" i="100" s="1"/>
  <c r="C33" i="11"/>
  <c r="C31" i="11"/>
  <c r="E33" i="11"/>
  <c r="E31" i="11"/>
  <c r="F12" i="76"/>
  <c r="G17" i="10"/>
  <c r="E20" i="100"/>
  <c r="A24" i="137"/>
  <c r="E15" i="100"/>
  <c r="A19" i="137"/>
  <c r="A16" i="137"/>
  <c r="F23" i="79"/>
  <c r="A63" i="137"/>
  <c r="G16" i="71"/>
  <c r="H31" i="77" s="1"/>
  <c r="H32" i="77" s="1"/>
  <c r="I2" i="137"/>
  <c r="BO2" i="137"/>
  <c r="BN2" i="137"/>
  <c r="I43" i="74"/>
  <c r="J54" i="74"/>
  <c r="J52" i="74"/>
  <c r="J53" i="74"/>
  <c r="I41" i="74"/>
  <c r="B66" i="19"/>
  <c r="B43" i="19"/>
  <c r="B85" i="19"/>
  <c r="B65" i="19"/>
  <c r="B41" i="19"/>
  <c r="B22" i="19"/>
  <c r="B59" i="19"/>
  <c r="B20" i="19"/>
  <c r="B80" i="19"/>
  <c r="B57" i="19"/>
  <c r="B32" i="19"/>
  <c r="B19" i="19"/>
  <c r="B79" i="19"/>
  <c r="B56" i="19"/>
  <c r="B31" i="19"/>
  <c r="B18" i="19"/>
  <c r="B44" i="19"/>
  <c r="B21" i="19"/>
  <c r="B82" i="19"/>
  <c r="B17" i="19"/>
  <c r="B53" i="19"/>
  <c r="B93" i="19"/>
  <c r="B14" i="19"/>
  <c r="B48" i="19"/>
  <c r="B61" i="19"/>
  <c r="B83" i="19"/>
  <c r="B33" i="19"/>
  <c r="B55" i="19"/>
  <c r="B77" i="19"/>
  <c r="B94" i="19"/>
  <c r="B15" i="19"/>
  <c r="B71" i="19"/>
  <c r="B13" i="19"/>
  <c r="B91" i="19"/>
  <c r="B70" i="19"/>
  <c r="B47" i="19"/>
  <c r="B12" i="19"/>
  <c r="B67" i="19"/>
  <c r="B84" i="19"/>
  <c r="B78" i="19"/>
  <c r="B95" i="19"/>
  <c r="B26" i="19"/>
  <c r="B23" i="19"/>
  <c r="B40" i="19"/>
  <c r="B37" i="19"/>
  <c r="B58" i="19"/>
  <c r="B96" i="19"/>
  <c r="B30" i="19"/>
  <c r="B54" i="19"/>
  <c r="B52" i="19"/>
  <c r="B92" i="19"/>
  <c r="B25" i="19"/>
  <c r="B90" i="19"/>
  <c r="B69" i="19"/>
  <c r="B46" i="19"/>
  <c r="B24" i="19"/>
  <c r="B11" i="19"/>
  <c r="B89" i="19"/>
  <c r="B68" i="19"/>
  <c r="B45" i="19"/>
  <c r="B10" i="19"/>
  <c r="G45" i="4"/>
  <c r="H45" i="4" s="1"/>
  <c r="E42" i="7" s="1"/>
  <c r="AI4" i="137" s="1"/>
  <c r="AI5" i="137" s="1"/>
  <c r="AI7" i="137" s="1"/>
  <c r="E27" i="4"/>
  <c r="L47" i="4"/>
  <c r="E103" i="4"/>
  <c r="E105" i="4" s="1"/>
  <c r="E69" i="2"/>
  <c r="F22" i="75"/>
  <c r="E43" i="4"/>
  <c r="F17" i="75"/>
  <c r="F19" i="75" s="1"/>
  <c r="K23" i="7"/>
  <c r="I44" i="74"/>
  <c r="D38" i="10"/>
  <c r="D61" i="10"/>
  <c r="E128" i="4"/>
  <c r="E125" i="4" s="1"/>
  <c r="C57" i="7"/>
  <c r="AW2" i="137" s="1"/>
  <c r="E99" i="19"/>
  <c r="F99" i="19" s="1"/>
  <c r="J10" i="74"/>
  <c r="H12" i="74"/>
  <c r="E42" i="100"/>
  <c r="G13" i="87"/>
  <c r="H23" i="79"/>
  <c r="H24" i="79" s="1"/>
  <c r="L110" i="19"/>
  <c r="H29" i="78"/>
  <c r="H36" i="78" s="1"/>
  <c r="J9" i="74"/>
  <c r="E113" i="4"/>
  <c r="E121" i="4"/>
  <c r="E118" i="4" s="1"/>
  <c r="E83" i="4"/>
  <c r="H67" i="4"/>
  <c r="E63" i="7" s="1"/>
  <c r="BB4" i="137" s="1"/>
  <c r="BB5" i="137" s="1"/>
  <c r="BB7" i="137" s="1"/>
  <c r="H193" i="4"/>
  <c r="H139" i="4"/>
  <c r="H68" i="4"/>
  <c r="H156" i="4"/>
  <c r="E45" i="2" s="1"/>
  <c r="H94" i="4"/>
  <c r="E47" i="4"/>
  <c r="E38" i="4"/>
  <c r="H200" i="4"/>
  <c r="H162" i="4"/>
  <c r="E51" i="2" s="1"/>
  <c r="E17" i="4"/>
  <c r="H15" i="4"/>
  <c r="E12" i="7" s="1"/>
  <c r="H161" i="4"/>
  <c r="E50" i="2" s="1"/>
  <c r="H13" i="4"/>
  <c r="H153" i="4"/>
  <c r="E42" i="2" s="1"/>
  <c r="H85" i="4"/>
  <c r="E81" i="7" s="1"/>
  <c r="BO4" i="137" s="1"/>
  <c r="BO5" i="137" s="1"/>
  <c r="BO31" i="137" s="1"/>
  <c r="C31" i="137" s="1"/>
  <c r="H185" i="4"/>
  <c r="D30" i="94"/>
  <c r="Y30" i="94" s="1"/>
  <c r="K30" i="94"/>
  <c r="D29" i="94"/>
  <c r="Y29" i="94" s="1"/>
  <c r="K29" i="94"/>
  <c r="D27" i="94"/>
  <c r="K27" i="94"/>
  <c r="D15" i="94"/>
  <c r="Y15" i="94" s="1"/>
  <c r="K15" i="94"/>
  <c r="D26" i="94"/>
  <c r="Y26" i="94" s="1"/>
  <c r="K26" i="94"/>
  <c r="D14" i="94"/>
  <c r="Y14" i="94" s="1"/>
  <c r="K14" i="94"/>
  <c r="H14" i="4"/>
  <c r="D25" i="94"/>
  <c r="Y25" i="94" s="1"/>
  <c r="K25" i="94"/>
  <c r="D13" i="94"/>
  <c r="Y13" i="94" s="1"/>
  <c r="K13" i="94"/>
  <c r="H69" i="4"/>
  <c r="E65" i="7" s="1"/>
  <c r="BD4" i="137" s="1"/>
  <c r="BD5" i="137" s="1"/>
  <c r="BD7" i="137" s="1"/>
  <c r="D12" i="94"/>
  <c r="Y12" i="94" s="1"/>
  <c r="K12" i="94"/>
  <c r="H92" i="4"/>
  <c r="H12" i="4"/>
  <c r="D37" i="94"/>
  <c r="Y37" i="94" s="1"/>
  <c r="K37" i="94"/>
  <c r="D11" i="94"/>
  <c r="Y11" i="94" s="1"/>
  <c r="K11" i="94"/>
  <c r="D10" i="94"/>
  <c r="K10" i="94"/>
  <c r="D35" i="94"/>
  <c r="Y35" i="94" s="1"/>
  <c r="K35" i="94"/>
  <c r="D23" i="94"/>
  <c r="Y23" i="94" s="1"/>
  <c r="K23" i="94"/>
  <c r="D8" i="94"/>
  <c r="Y8" i="94" s="1"/>
  <c r="K8" i="94"/>
  <c r="H26" i="4"/>
  <c r="E23" i="7" s="1"/>
  <c r="D34" i="94"/>
  <c r="Y34" i="94" s="1"/>
  <c r="K34" i="94"/>
  <c r="D22" i="94"/>
  <c r="Y22" i="94" s="1"/>
  <c r="K22" i="94"/>
  <c r="D7" i="94"/>
  <c r="Y7" i="94" s="1"/>
  <c r="K7" i="94"/>
  <c r="H19" i="4"/>
  <c r="H129" i="4"/>
  <c r="E18" i="2" s="1"/>
  <c r="D33" i="94"/>
  <c r="Y33" i="94" s="1"/>
  <c r="K33" i="94"/>
  <c r="D21" i="94"/>
  <c r="Y21" i="94" s="1"/>
  <c r="K21" i="94"/>
  <c r="H166" i="4"/>
  <c r="E55" i="2" s="1"/>
  <c r="D28" i="94"/>
  <c r="Y28" i="94" s="1"/>
  <c r="K28" i="94"/>
  <c r="D17" i="94"/>
  <c r="Y17" i="94" s="1"/>
  <c r="K17" i="94"/>
  <c r="D24" i="94"/>
  <c r="Y24" i="94" s="1"/>
  <c r="K24" i="94"/>
  <c r="H114" i="4"/>
  <c r="E3" i="2" s="1"/>
  <c r="E12" i="99" s="1"/>
  <c r="H36" i="4"/>
  <c r="H89" i="4"/>
  <c r="H55" i="4"/>
  <c r="H179" i="4"/>
  <c r="H78" i="4"/>
  <c r="E74" i="7" s="1"/>
  <c r="E10" i="81" s="1"/>
  <c r="H168" i="4"/>
  <c r="E57" i="2" s="1"/>
  <c r="D32" i="94"/>
  <c r="Y32" i="94" s="1"/>
  <c r="K32" i="94"/>
  <c r="D20" i="94"/>
  <c r="Y20" i="94" s="1"/>
  <c r="K20" i="94"/>
  <c r="D31" i="94"/>
  <c r="Y31" i="94" s="1"/>
  <c r="K31" i="94"/>
  <c r="D19" i="94"/>
  <c r="Y19" i="94" s="1"/>
  <c r="K19" i="94"/>
  <c r="H22" i="4"/>
  <c r="E19" i="7" s="1"/>
  <c r="Q4" i="137" s="1"/>
  <c r="Q5" i="137" s="1"/>
  <c r="Q36" i="137" s="1"/>
  <c r="H57" i="4"/>
  <c r="H174" i="4"/>
  <c r="H21" i="4"/>
  <c r="E18" i="7" s="1"/>
  <c r="P4" i="137" s="1"/>
  <c r="P5" i="137" s="1"/>
  <c r="P6" i="137" s="1"/>
  <c r="P7" i="137" s="1"/>
  <c r="D18" i="94"/>
  <c r="Y18" i="94" s="1"/>
  <c r="K18" i="94"/>
  <c r="E178" i="4"/>
  <c r="H126" i="4"/>
  <c r="E186" i="4"/>
  <c r="H155" i="4"/>
  <c r="E44" i="2" s="1"/>
  <c r="H183" i="4"/>
  <c r="H194" i="4"/>
  <c r="E83" i="2" s="1"/>
  <c r="H14" i="19" s="1"/>
  <c r="H170" i="4"/>
  <c r="E59" i="2" s="1"/>
  <c r="E190" i="4"/>
  <c r="H81" i="4"/>
  <c r="E77" i="7" s="1"/>
  <c r="K47" i="70" s="1"/>
  <c r="E91" i="4"/>
  <c r="E86" i="4" s="1"/>
  <c r="H76" i="4"/>
  <c r="E72" i="7" s="1"/>
  <c r="BG4" i="137" s="1"/>
  <c r="BG5" i="137" s="1"/>
  <c r="BG37" i="137" s="1"/>
  <c r="H35" i="4"/>
  <c r="H41" i="4"/>
  <c r="H84" i="4"/>
  <c r="H60" i="4"/>
  <c r="E75" i="4"/>
  <c r="H9" i="4"/>
  <c r="E6" i="7" s="1"/>
  <c r="F4" i="137" s="1"/>
  <c r="F5" i="137" s="1"/>
  <c r="F7" i="137" s="1"/>
  <c r="H39" i="4"/>
  <c r="E66" i="4"/>
  <c r="H93" i="4"/>
  <c r="E89" i="7" s="1"/>
  <c r="H158" i="4"/>
  <c r="E47" i="2" s="1"/>
  <c r="H79" i="4"/>
  <c r="E75" i="7" s="1"/>
  <c r="BJ4" i="137" s="1"/>
  <c r="BJ5" i="137" s="1"/>
  <c r="BJ37" i="137" s="1"/>
  <c r="H44" i="4"/>
  <c r="E41" i="7" s="1"/>
  <c r="AH4" i="137" s="1"/>
  <c r="AH5" i="137" s="1"/>
  <c r="H30" i="4"/>
  <c r="E27" i="7" s="1"/>
  <c r="X4" i="137" s="1"/>
  <c r="X5" i="137" s="1"/>
  <c r="H122" i="4"/>
  <c r="H146" i="4"/>
  <c r="E35" i="2" s="1"/>
  <c r="H53" i="4"/>
  <c r="E49" i="7" s="1"/>
  <c r="AO4" i="137" s="1"/>
  <c r="AO5" i="137" s="1"/>
  <c r="AO7" i="137" s="1"/>
  <c r="H16" i="4"/>
  <c r="H188" i="4"/>
  <c r="E77" i="2" s="1"/>
  <c r="H8" i="4"/>
  <c r="E5" i="7" s="1"/>
  <c r="E4" i="137" s="1"/>
  <c r="E137" i="4"/>
  <c r="H100" i="4"/>
  <c r="E96" i="7" s="1"/>
  <c r="BV4" i="137" s="1"/>
  <c r="BV5" i="137" s="1"/>
  <c r="BV7" i="137" s="1"/>
  <c r="H138" i="4"/>
  <c r="E27" i="2" s="1"/>
  <c r="E33" i="2"/>
  <c r="H152" i="4"/>
  <c r="E41" i="2" s="1"/>
  <c r="H58" i="4"/>
  <c r="H159" i="4"/>
  <c r="E48" i="2" s="1"/>
  <c r="H151" i="4"/>
  <c r="E40" i="2" s="1"/>
  <c r="H18" i="4"/>
  <c r="E15" i="7" s="1"/>
  <c r="H98" i="4"/>
  <c r="H176" i="4"/>
  <c r="H157" i="4"/>
  <c r="E46" i="2" s="1"/>
  <c r="H173" i="4"/>
  <c r="E62" i="2" s="1"/>
  <c r="H189" i="4"/>
  <c r="E78" i="2" s="1"/>
  <c r="H102" i="4"/>
  <c r="E172" i="4"/>
  <c r="H29" i="4"/>
  <c r="G12" i="71"/>
  <c r="G13" i="71"/>
  <c r="B87" i="19"/>
  <c r="I12" i="74"/>
  <c r="J56" i="74" s="1"/>
  <c r="G11" i="71"/>
  <c r="G14" i="71"/>
  <c r="H88" i="4"/>
  <c r="H119" i="4"/>
  <c r="H115" i="4"/>
  <c r="E4" i="2" s="1"/>
  <c r="B86" i="19"/>
  <c r="E10" i="4"/>
  <c r="H11" i="4"/>
  <c r="E8" i="7" s="1"/>
  <c r="K21" i="74" s="1"/>
  <c r="B16" i="19"/>
  <c r="H199" i="4"/>
  <c r="F24" i="11" s="1"/>
  <c r="E198" i="4"/>
  <c r="H54" i="4"/>
  <c r="E50" i="7" s="1"/>
  <c r="AP4" i="137" s="1"/>
  <c r="AP5" i="137" s="1"/>
  <c r="AP7" i="137" s="1"/>
  <c r="H42" i="4"/>
  <c r="H28" i="4"/>
  <c r="H80" i="4"/>
  <c r="E45" i="74"/>
  <c r="H127" i="4"/>
  <c r="E16" i="2" s="1"/>
  <c r="H52" i="4"/>
  <c r="E48" i="7" s="1"/>
  <c r="AN4" i="137" s="1"/>
  <c r="AN5" i="137" s="1"/>
  <c r="AN7" i="137" s="1"/>
  <c r="H56" i="4"/>
  <c r="E52" i="7" s="1"/>
  <c r="AR4" i="137" s="1"/>
  <c r="AR5" i="137" s="1"/>
  <c r="AR7" i="137" s="1"/>
  <c r="H165" i="4"/>
  <c r="E54" i="2" s="1"/>
  <c r="H177" i="4"/>
  <c r="F9" i="97" s="1"/>
  <c r="E9" i="97" s="1"/>
  <c r="H148" i="4"/>
  <c r="E37" i="2" s="1"/>
  <c r="H160" i="4"/>
  <c r="E49" i="2" s="1"/>
  <c r="H20" i="4"/>
  <c r="E17" i="7" s="1"/>
  <c r="F26" i="74"/>
  <c r="J48" i="70"/>
  <c r="H23" i="4"/>
  <c r="E20" i="7" s="1"/>
  <c r="R4" i="137" s="1"/>
  <c r="R5" i="137" s="1"/>
  <c r="R6" i="137" s="1"/>
  <c r="R7" i="137" s="1"/>
  <c r="H163" i="4"/>
  <c r="E52" i="2" s="1"/>
  <c r="H164" i="4"/>
  <c r="E53" i="2" s="1"/>
  <c r="E31" i="2"/>
  <c r="J11" i="74"/>
  <c r="H150" i="4"/>
  <c r="E39" i="2" s="1"/>
  <c r="O110" i="19"/>
  <c r="H77" i="4"/>
  <c r="E73" i="7" s="1"/>
  <c r="BH4" i="137" s="1"/>
  <c r="BH5" i="137" s="1"/>
  <c r="BH37" i="137" s="1"/>
  <c r="G45" i="74"/>
  <c r="H145" i="4"/>
  <c r="E34" i="2" s="1"/>
  <c r="H167" i="4"/>
  <c r="E56" i="2" s="1"/>
  <c r="H70" i="4"/>
  <c r="E66" i="7" s="1"/>
  <c r="BE4" i="137" s="1"/>
  <c r="BE5" i="137" s="1"/>
  <c r="BE7" i="137" s="1"/>
  <c r="H51" i="4"/>
  <c r="E47" i="7" s="1"/>
  <c r="AM4" i="137" s="1"/>
  <c r="AM5" i="137" s="1"/>
  <c r="AM7" i="137" s="1"/>
  <c r="E32" i="2"/>
  <c r="G7" i="94" l="1"/>
  <c r="T29" i="94"/>
  <c r="G29" i="94"/>
  <c r="T30" i="94"/>
  <c r="G30" i="94"/>
  <c r="T19" i="94"/>
  <c r="G19" i="94"/>
  <c r="T27" i="94"/>
  <c r="G27" i="94"/>
  <c r="G23" i="94"/>
  <c r="T23" i="94"/>
  <c r="T32" i="94"/>
  <c r="G32" i="94"/>
  <c r="G25" i="94"/>
  <c r="T25" i="94"/>
  <c r="T35" i="94"/>
  <c r="G35" i="94"/>
  <c r="G24" i="94"/>
  <c r="T24" i="94"/>
  <c r="T28" i="94"/>
  <c r="G28" i="94"/>
  <c r="G13" i="94"/>
  <c r="T13" i="94"/>
  <c r="T21" i="94"/>
  <c r="G21" i="94"/>
  <c r="T33" i="94"/>
  <c r="G33" i="94"/>
  <c r="G37" i="94"/>
  <c r="T37" i="94"/>
  <c r="T14" i="94"/>
  <c r="G14" i="94"/>
  <c r="T34" i="94"/>
  <c r="G34" i="94"/>
  <c r="T17" i="94"/>
  <c r="G17" i="94"/>
  <c r="T20" i="94"/>
  <c r="G20" i="94"/>
  <c r="T15" i="94"/>
  <c r="G15" i="94"/>
  <c r="G22" i="94"/>
  <c r="T22" i="94"/>
  <c r="G12" i="94"/>
  <c r="T12" i="94"/>
  <c r="T31" i="94"/>
  <c r="G31" i="94"/>
  <c r="G8" i="94"/>
  <c r="T8" i="94"/>
  <c r="G10" i="94"/>
  <c r="T10" i="94"/>
  <c r="T18" i="94"/>
  <c r="G18" i="94"/>
  <c r="G11" i="94"/>
  <c r="T11" i="94"/>
  <c r="G26" i="94"/>
  <c r="T26" i="94"/>
  <c r="P107" i="19"/>
  <c r="E73" i="2"/>
  <c r="F22" i="97"/>
  <c r="E22" i="97" s="1"/>
  <c r="E28" i="2"/>
  <c r="F8" i="94" s="1"/>
  <c r="E8" i="94" s="1"/>
  <c r="I21" i="87"/>
  <c r="I23" i="87" s="1"/>
  <c r="I24" i="87" s="1"/>
  <c r="E6" i="72"/>
  <c r="E6" i="73" s="1"/>
  <c r="E7" i="76" s="1"/>
  <c r="D33" i="71"/>
  <c r="Q6" i="137"/>
  <c r="Q7" i="137" s="1"/>
  <c r="X35" i="137"/>
  <c r="X6" i="137" s="1"/>
  <c r="X7" i="137" s="1"/>
  <c r="E5" i="137"/>
  <c r="E98" i="7"/>
  <c r="C105" i="19" s="1"/>
  <c r="E105" i="19" s="1"/>
  <c r="P102" i="4"/>
  <c r="BL4" i="137"/>
  <c r="BL5" i="137" s="1"/>
  <c r="BL7" i="137" s="1"/>
  <c r="E47" i="70"/>
  <c r="N47" i="70" s="1"/>
  <c r="F18" i="97"/>
  <c r="E18" i="97" s="1"/>
  <c r="E68" i="2"/>
  <c r="E9" i="7"/>
  <c r="H4" i="137" s="1"/>
  <c r="H5" i="137" s="1"/>
  <c r="H7" i="137" s="1"/>
  <c r="F21" i="97"/>
  <c r="E21" i="97" s="1"/>
  <c r="E37" i="4"/>
  <c r="H16" i="71"/>
  <c r="I31" i="77" s="1"/>
  <c r="I32" i="77" s="1"/>
  <c r="I33" i="77" s="1"/>
  <c r="J16" i="71"/>
  <c r="F14" i="72"/>
  <c r="E80" i="7"/>
  <c r="G4" i="137"/>
  <c r="G5" i="137" s="1"/>
  <c r="G34" i="137" s="1"/>
  <c r="N8" i="7"/>
  <c r="E66" i="2"/>
  <c r="D22" i="10" s="1"/>
  <c r="F8" i="97"/>
  <c r="E8" i="97" s="1"/>
  <c r="E74" i="2"/>
  <c r="F24" i="97"/>
  <c r="E24" i="97" s="1"/>
  <c r="BT4" i="137"/>
  <c r="BT5" i="137" s="1"/>
  <c r="BT7" i="137" s="1"/>
  <c r="BI4" i="137"/>
  <c r="BI5" i="137" s="1"/>
  <c r="BI38" i="137" s="1"/>
  <c r="C88" i="137"/>
  <c r="E13" i="2"/>
  <c r="O4" i="137"/>
  <c r="O5" i="137" s="1"/>
  <c r="J12" i="7"/>
  <c r="K4" i="137"/>
  <c r="K5" i="137" s="1"/>
  <c r="BH6" i="137"/>
  <c r="BH7" i="137" s="1"/>
  <c r="E20" i="2"/>
  <c r="M4" i="137"/>
  <c r="M5" i="137" s="1"/>
  <c r="M36" i="137" s="1"/>
  <c r="C29" i="19"/>
  <c r="E29" i="19" s="1"/>
  <c r="F29" i="19" s="1"/>
  <c r="U4" i="137"/>
  <c r="U5" i="137" s="1"/>
  <c r="U7" i="137" s="1"/>
  <c r="B62" i="19"/>
  <c r="H47" i="19"/>
  <c r="D23" i="10" s="1"/>
  <c r="E26" i="100" s="1"/>
  <c r="E39" i="7"/>
  <c r="C15" i="104"/>
  <c r="E84" i="7"/>
  <c r="E88" i="7"/>
  <c r="E11" i="2"/>
  <c r="E25" i="7"/>
  <c r="V4" i="137" s="1"/>
  <c r="V5" i="137" s="1"/>
  <c r="V35" i="137" s="1"/>
  <c r="H27" i="4"/>
  <c r="C10" i="104" s="1"/>
  <c r="M61" i="4"/>
  <c r="E30" i="2"/>
  <c r="E28" i="11"/>
  <c r="E21" i="90" s="1"/>
  <c r="E72" i="2"/>
  <c r="F20" i="98"/>
  <c r="E20" i="98" s="1"/>
  <c r="E40" i="72"/>
  <c r="L40" i="72" s="1"/>
  <c r="E82" i="2"/>
  <c r="F19" i="98" s="1"/>
  <c r="E19" i="98" s="1"/>
  <c r="E85" i="7"/>
  <c r="C29" i="104"/>
  <c r="I59" i="100" s="1"/>
  <c r="J59" i="100" s="1"/>
  <c r="D19" i="105"/>
  <c r="D18" i="105" s="1"/>
  <c r="E91" i="2"/>
  <c r="C81" i="19"/>
  <c r="E81" i="19" s="1"/>
  <c r="K81" i="19" s="1"/>
  <c r="J74" i="7"/>
  <c r="E16" i="75"/>
  <c r="E51" i="7"/>
  <c r="C24" i="104"/>
  <c r="I57" i="100" s="1"/>
  <c r="J57" i="100" s="1"/>
  <c r="E76" i="7"/>
  <c r="E36" i="7"/>
  <c r="E13" i="7"/>
  <c r="E56" i="7"/>
  <c r="E14" i="78" s="1"/>
  <c r="E10" i="7"/>
  <c r="E64" i="7"/>
  <c r="E53" i="7"/>
  <c r="E54" i="7"/>
  <c r="E38" i="7"/>
  <c r="E11" i="7"/>
  <c r="E94" i="7"/>
  <c r="H33" i="4"/>
  <c r="C11" i="104" s="1"/>
  <c r="E32" i="7"/>
  <c r="E16" i="7"/>
  <c r="C12" i="104"/>
  <c r="E33" i="7"/>
  <c r="C46" i="19"/>
  <c r="E46" i="19" s="1"/>
  <c r="E26" i="7"/>
  <c r="F18" i="75"/>
  <c r="G20" i="71"/>
  <c r="J20" i="71" s="1"/>
  <c r="G28" i="71"/>
  <c r="G29" i="71"/>
  <c r="G19" i="71"/>
  <c r="H19" i="71" s="1"/>
  <c r="E117" i="4"/>
  <c r="E136" i="4" s="1"/>
  <c r="E171" i="4" s="1"/>
  <c r="E195" i="4" s="1"/>
  <c r="E197" i="4" s="1"/>
  <c r="E202" i="4" s="1"/>
  <c r="L19" i="94"/>
  <c r="J6" i="7"/>
  <c r="C7" i="104"/>
  <c r="F13" i="76"/>
  <c r="F14" i="76"/>
  <c r="J11" i="84"/>
  <c r="C25" i="104"/>
  <c r="I58" i="100" s="1"/>
  <c r="J58" i="100" s="1"/>
  <c r="T7" i="94"/>
  <c r="H14" i="71"/>
  <c r="J14" i="71"/>
  <c r="F11" i="72"/>
  <c r="F8" i="72"/>
  <c r="J11" i="71"/>
  <c r="F9" i="72"/>
  <c r="H9" i="72" s="1"/>
  <c r="J12" i="71"/>
  <c r="H13" i="71"/>
  <c r="J13" i="71"/>
  <c r="F30" i="94"/>
  <c r="E30" i="94" s="1"/>
  <c r="F25" i="94"/>
  <c r="E25" i="94" s="1"/>
  <c r="F36" i="94"/>
  <c r="E36" i="94" s="1"/>
  <c r="F37" i="94"/>
  <c r="E37" i="94" s="1"/>
  <c r="F15" i="94"/>
  <c r="E15" i="94" s="1"/>
  <c r="F27" i="94"/>
  <c r="E27" i="94" s="1"/>
  <c r="F34" i="94"/>
  <c r="E34" i="94" s="1"/>
  <c r="J42" i="7"/>
  <c r="C47" i="19"/>
  <c r="E47" i="19" s="1"/>
  <c r="E74" i="4"/>
  <c r="E95" i="4" s="1"/>
  <c r="E106" i="4" s="1"/>
  <c r="E108" i="4" s="1"/>
  <c r="J12" i="74"/>
  <c r="L24" i="94"/>
  <c r="L37" i="94"/>
  <c r="L15" i="94"/>
  <c r="E20" i="93"/>
  <c r="F32" i="93" s="1"/>
  <c r="E32" i="93" s="1"/>
  <c r="H113" i="4"/>
  <c r="D5" i="105" s="1"/>
  <c r="C5" i="105" s="1"/>
  <c r="L7" i="94"/>
  <c r="E90" i="7"/>
  <c r="L11" i="94"/>
  <c r="L26" i="94"/>
  <c r="L23" i="94"/>
  <c r="L30" i="94"/>
  <c r="L25" i="94"/>
  <c r="H61" i="4"/>
  <c r="E57" i="7" s="1"/>
  <c r="L14" i="95"/>
  <c r="E9" i="82"/>
  <c r="E7" i="83" s="1"/>
  <c r="E8" i="83" s="1"/>
  <c r="L31" i="94"/>
  <c r="L17" i="94"/>
  <c r="L27" i="94"/>
  <c r="E6" i="4"/>
  <c r="L22" i="94"/>
  <c r="G10" i="79"/>
  <c r="E10" i="79" s="1"/>
  <c r="J19" i="7"/>
  <c r="L10" i="94"/>
  <c r="L14" i="94"/>
  <c r="L35" i="94"/>
  <c r="L33" i="94"/>
  <c r="E7" i="81"/>
  <c r="C24" i="19"/>
  <c r="E24" i="19" s="1"/>
  <c r="F24" i="19" s="1"/>
  <c r="L34" i="94"/>
  <c r="L20" i="94"/>
  <c r="L28" i="94"/>
  <c r="L8" i="94"/>
  <c r="L12" i="94"/>
  <c r="L29" i="94"/>
  <c r="L36" i="94"/>
  <c r="L18" i="94"/>
  <c r="L32" i="94"/>
  <c r="L21" i="94"/>
  <c r="L13" i="94"/>
  <c r="H172" i="4"/>
  <c r="D10" i="105" s="1"/>
  <c r="C10" i="105" s="1"/>
  <c r="L15" i="95"/>
  <c r="F35" i="94"/>
  <c r="E35" i="94" s="1"/>
  <c r="H83" i="4"/>
  <c r="C27" i="104" s="1"/>
  <c r="H43" i="4"/>
  <c r="C16" i="104" s="1"/>
  <c r="I16" i="80" s="1"/>
  <c r="H75" i="4"/>
  <c r="C23" i="104" s="1"/>
  <c r="E45" i="70" s="1"/>
  <c r="H101" i="4"/>
  <c r="C37" i="104" s="1"/>
  <c r="H12" i="71"/>
  <c r="H7" i="4"/>
  <c r="C6" i="104" s="1"/>
  <c r="H91" i="4"/>
  <c r="C31" i="104" s="1"/>
  <c r="H97" i="4"/>
  <c r="C35" i="104" s="1"/>
  <c r="F10" i="72"/>
  <c r="H10" i="72" s="1"/>
  <c r="J89" i="7"/>
  <c r="H99" i="4"/>
  <c r="C36" i="104" s="1"/>
  <c r="C18" i="19"/>
  <c r="E18" i="19" s="1"/>
  <c r="F18" i="19" s="1"/>
  <c r="E10" i="74"/>
  <c r="E11" i="78"/>
  <c r="E9" i="81"/>
  <c r="F8" i="73"/>
  <c r="H11" i="71"/>
  <c r="F10" i="78"/>
  <c r="F11" i="78"/>
  <c r="H10" i="4"/>
  <c r="C8" i="104" s="1"/>
  <c r="F12" i="78"/>
  <c r="E8" i="75"/>
  <c r="C21" i="19"/>
  <c r="E21" i="19" s="1"/>
  <c r="J15" i="7"/>
  <c r="J63" i="7"/>
  <c r="C68" i="19"/>
  <c r="E68" i="19" s="1"/>
  <c r="F68" i="19" s="1"/>
  <c r="H17" i="4"/>
  <c r="C9" i="104" s="1"/>
  <c r="H128" i="4"/>
  <c r="H125" i="4" s="1"/>
  <c r="F20" i="93"/>
  <c r="F33" i="93" s="1"/>
  <c r="E33" i="93" s="1"/>
  <c r="E8" i="81"/>
  <c r="H87" i="4"/>
  <c r="H198" i="4"/>
  <c r="H66" i="4"/>
  <c r="C18" i="104" s="1"/>
  <c r="L9" i="2" l="1"/>
  <c r="K46" i="70"/>
  <c r="F46" i="70"/>
  <c r="J46" i="70" s="1"/>
  <c r="F34" i="93"/>
  <c r="E34" i="93"/>
  <c r="E48" i="70"/>
  <c r="N48" i="70" s="1"/>
  <c r="K48" i="70"/>
  <c r="E7" i="74"/>
  <c r="F14" i="95"/>
  <c r="E14" i="95" s="1"/>
  <c r="F15" i="95"/>
  <c r="E15" i="95" s="1"/>
  <c r="E18" i="72"/>
  <c r="E7" i="77"/>
  <c r="E16" i="77" s="1"/>
  <c r="F29" i="77" s="1"/>
  <c r="E7" i="75"/>
  <c r="C35" i="137"/>
  <c r="C17" i="105"/>
  <c r="D17" i="105"/>
  <c r="AW4" i="137"/>
  <c r="F14" i="78"/>
  <c r="K34" i="137"/>
  <c r="K6" i="137" s="1"/>
  <c r="K7" i="137" s="1"/>
  <c r="O36" i="137"/>
  <c r="O6" i="137" s="1"/>
  <c r="O7" i="137" s="1"/>
  <c r="F21" i="79"/>
  <c r="I21" i="79" s="1"/>
  <c r="F29" i="90"/>
  <c r="E23" i="90"/>
  <c r="E25" i="90" s="1"/>
  <c r="K25" i="74"/>
  <c r="BW4" i="137"/>
  <c r="BW5" i="137" s="1"/>
  <c r="BW7" i="137" s="1"/>
  <c r="F9" i="74"/>
  <c r="L25" i="74" s="1"/>
  <c r="J9" i="7"/>
  <c r="BN4" i="137"/>
  <c r="BN5" i="137" s="1"/>
  <c r="BN38" i="137" s="1"/>
  <c r="C38" i="137" s="1"/>
  <c r="E46" i="93"/>
  <c r="BK4" i="137"/>
  <c r="BK5" i="137" s="1"/>
  <c r="BK7" i="137" s="1"/>
  <c r="E46" i="70"/>
  <c r="C15" i="19"/>
  <c r="E15" i="19" s="1"/>
  <c r="F15" i="19" s="1"/>
  <c r="G6" i="137"/>
  <c r="G7" i="137" s="1"/>
  <c r="L6" i="137"/>
  <c r="AH6" i="137"/>
  <c r="AH7" i="137" s="1"/>
  <c r="E25" i="100"/>
  <c r="A28" i="137"/>
  <c r="D19" i="10"/>
  <c r="N3" i="19"/>
  <c r="E8" i="82"/>
  <c r="E11" i="82" s="1"/>
  <c r="E13" i="82" s="1"/>
  <c r="E72" i="4"/>
  <c r="BP4" i="137"/>
  <c r="BP5" i="137" s="1"/>
  <c r="BP7" i="137" s="1"/>
  <c r="F10" i="82"/>
  <c r="F11" i="82" s="1"/>
  <c r="F47" i="19"/>
  <c r="AG4" i="137"/>
  <c r="AG5" i="137" s="1"/>
  <c r="AG6" i="137" s="1"/>
  <c r="AG7" i="137" s="1"/>
  <c r="E16" i="71"/>
  <c r="H8" i="72"/>
  <c r="V6" i="137"/>
  <c r="V7" i="137" s="1"/>
  <c r="AV4" i="137"/>
  <c r="AV5" i="137" s="1"/>
  <c r="AV7" i="137" s="1"/>
  <c r="J13" i="7"/>
  <c r="L4" i="137"/>
  <c r="L5" i="137" s="1"/>
  <c r="J26" i="7"/>
  <c r="W4" i="137"/>
  <c r="W5" i="137" s="1"/>
  <c r="W7" i="137" s="1"/>
  <c r="E12" i="78"/>
  <c r="G12" i="78" s="1"/>
  <c r="AQ4" i="137"/>
  <c r="AQ5" i="137" s="1"/>
  <c r="AQ7" i="137" s="1"/>
  <c r="G8" i="79"/>
  <c r="E8" i="79" s="1"/>
  <c r="F19" i="79" s="1"/>
  <c r="BC4" i="137"/>
  <c r="BC5" i="137" s="1"/>
  <c r="BC7" i="137" s="1"/>
  <c r="C22" i="19"/>
  <c r="E22" i="19" s="1"/>
  <c r="F22" i="19" s="1"/>
  <c r="N4" i="137"/>
  <c r="N5" i="137" s="1"/>
  <c r="C37" i="19"/>
  <c r="E37" i="19" s="1"/>
  <c r="AC4" i="137"/>
  <c r="AC5" i="137" s="1"/>
  <c r="E9" i="77"/>
  <c r="E10" i="77" s="1"/>
  <c r="AB4" i="137"/>
  <c r="AB5" i="137" s="1"/>
  <c r="AB7" i="137" s="1"/>
  <c r="C44" i="19"/>
  <c r="E44" i="19" s="1"/>
  <c r="F44" i="19" s="1"/>
  <c r="M6" i="137"/>
  <c r="M7" i="137" s="1"/>
  <c r="BI6" i="137"/>
  <c r="BI7" i="137" s="1"/>
  <c r="AD4" i="137"/>
  <c r="AD5" i="137" s="1"/>
  <c r="AD7" i="137" s="1"/>
  <c r="C101" i="19"/>
  <c r="E101" i="19" s="1"/>
  <c r="C29" i="11" s="1"/>
  <c r="C32" i="11" s="1"/>
  <c r="BU4" i="137"/>
  <c r="BU5" i="137" s="1"/>
  <c r="BU7" i="137" s="1"/>
  <c r="J10" i="7"/>
  <c r="I4" i="137"/>
  <c r="I5" i="137" s="1"/>
  <c r="C17" i="19"/>
  <c r="E17" i="19" s="1"/>
  <c r="F17" i="19" s="1"/>
  <c r="J4" i="137"/>
  <c r="J5" i="137" s="1"/>
  <c r="J7" i="137" s="1"/>
  <c r="BG6" i="137"/>
  <c r="BG7" i="137" s="1"/>
  <c r="BO6" i="137"/>
  <c r="BO7" i="137" s="1"/>
  <c r="E18" i="77"/>
  <c r="AF4" i="137"/>
  <c r="AF5" i="137" s="1"/>
  <c r="AF7" i="137" s="1"/>
  <c r="C94" i="19"/>
  <c r="E94" i="19" s="1"/>
  <c r="BS4" i="137"/>
  <c r="BS5" i="137" s="1"/>
  <c r="BS7" i="137" s="1"/>
  <c r="F13" i="78"/>
  <c r="AT4" i="137"/>
  <c r="AT5" i="137" s="1"/>
  <c r="AT7" i="137" s="1"/>
  <c r="J15" i="84"/>
  <c r="BQ4" i="137"/>
  <c r="BQ5" i="137" s="1"/>
  <c r="BQ7" i="137" s="1"/>
  <c r="E13" i="78"/>
  <c r="AS4" i="137"/>
  <c r="AS5" i="137" s="1"/>
  <c r="AS7" i="137" s="1"/>
  <c r="C96" i="19"/>
  <c r="E96" i="19" s="1"/>
  <c r="F96" i="19" s="1"/>
  <c r="I123" i="130"/>
  <c r="F181" i="4"/>
  <c r="H181" i="4" s="1"/>
  <c r="C32" i="104"/>
  <c r="E24" i="7"/>
  <c r="J24" i="7" s="1"/>
  <c r="F57" i="7"/>
  <c r="E39" i="72"/>
  <c r="L39" i="72" s="1"/>
  <c r="H46" i="19"/>
  <c r="F46" i="19" s="1"/>
  <c r="F81" i="19"/>
  <c r="C41" i="19"/>
  <c r="E41" i="19" s="1"/>
  <c r="F41" i="19" s="1"/>
  <c r="J36" i="7"/>
  <c r="J51" i="7"/>
  <c r="C56" i="19"/>
  <c r="E56" i="19" s="1"/>
  <c r="F30" i="78" s="1"/>
  <c r="C16" i="19"/>
  <c r="E16" i="19" s="1"/>
  <c r="F10" i="74"/>
  <c r="G10" i="74" s="1"/>
  <c r="E11" i="74"/>
  <c r="E107" i="7"/>
  <c r="J44" i="74"/>
  <c r="F11" i="74"/>
  <c r="J43" i="74" s="1"/>
  <c r="J38" i="7"/>
  <c r="J53" i="7"/>
  <c r="J16" i="7"/>
  <c r="C19" i="19"/>
  <c r="E19" i="19" s="1"/>
  <c r="E40" i="7"/>
  <c r="E26" i="80" s="1"/>
  <c r="J41" i="7"/>
  <c r="J64" i="7"/>
  <c r="J54" i="7"/>
  <c r="C43" i="19"/>
  <c r="E43" i="19" s="1"/>
  <c r="F43" i="19" s="1"/>
  <c r="C59" i="19"/>
  <c r="E59" i="19" s="1"/>
  <c r="J31" i="78" s="1"/>
  <c r="C58" i="19"/>
  <c r="E58" i="19" s="1"/>
  <c r="F58" i="19" s="1"/>
  <c r="E93" i="7"/>
  <c r="F7" i="89" s="1"/>
  <c r="J56" i="7"/>
  <c r="C69" i="19"/>
  <c r="E69" i="19" s="1"/>
  <c r="F69" i="19" s="1"/>
  <c r="C61" i="19"/>
  <c r="E61" i="19" s="1"/>
  <c r="F61" i="19" s="1"/>
  <c r="E6" i="67"/>
  <c r="J94" i="7"/>
  <c r="E9" i="75"/>
  <c r="C32" i="19"/>
  <c r="E32" i="19" s="1"/>
  <c r="F32" i="19" s="1"/>
  <c r="E9" i="76"/>
  <c r="F21" i="72"/>
  <c r="H21" i="72" s="1"/>
  <c r="H20" i="71"/>
  <c r="G22" i="71"/>
  <c r="J22" i="71" s="1"/>
  <c r="J19" i="71"/>
  <c r="F20" i="72"/>
  <c r="H20" i="72" s="1"/>
  <c r="E11" i="81"/>
  <c r="E13" i="81" s="1"/>
  <c r="C12" i="19"/>
  <c r="E12" i="19" s="1"/>
  <c r="F12" i="19" s="1"/>
  <c r="E13" i="71"/>
  <c r="F13" i="71" s="1"/>
  <c r="E15" i="91"/>
  <c r="E28" i="91" s="1"/>
  <c r="C91" i="19"/>
  <c r="E91" i="19" s="1"/>
  <c r="F91" i="19" s="1"/>
  <c r="J85" i="7"/>
  <c r="E61" i="2"/>
  <c r="E11" i="97"/>
  <c r="F11" i="97"/>
  <c r="E34" i="72"/>
  <c r="L34" i="72" s="1"/>
  <c r="F9" i="98"/>
  <c r="E9" i="98" s="1"/>
  <c r="E35" i="72"/>
  <c r="L35" i="72" s="1"/>
  <c r="F10" i="98"/>
  <c r="E10" i="98" s="1"/>
  <c r="E31" i="87"/>
  <c r="E28" i="71"/>
  <c r="J77" i="7"/>
  <c r="E29" i="71"/>
  <c r="C83" i="19"/>
  <c r="E83" i="19" s="1"/>
  <c r="F83" i="19" s="1"/>
  <c r="H11" i="72"/>
  <c r="F12" i="77"/>
  <c r="C5" i="104"/>
  <c r="F14" i="94"/>
  <c r="E14" i="94" s="1"/>
  <c r="F33" i="94"/>
  <c r="E33" i="94" s="1"/>
  <c r="F28" i="94"/>
  <c r="E28" i="94" s="1"/>
  <c r="F17" i="94"/>
  <c r="E17" i="94" s="1"/>
  <c r="L16" i="95"/>
  <c r="F13" i="94"/>
  <c r="E13" i="94" s="1"/>
  <c r="F10" i="94"/>
  <c r="E10" i="94" s="1"/>
  <c r="F21" i="94"/>
  <c r="E21" i="94" s="1"/>
  <c r="F26" i="94"/>
  <c r="E26" i="94" s="1"/>
  <c r="F19" i="94"/>
  <c r="E19" i="94" s="1"/>
  <c r="F22" i="94"/>
  <c r="E22" i="94" s="1"/>
  <c r="F32" i="94"/>
  <c r="E32" i="94" s="1"/>
  <c r="F20" i="94"/>
  <c r="E20" i="94" s="1"/>
  <c r="F29" i="94"/>
  <c r="E29" i="94" s="1"/>
  <c r="E2" i="2"/>
  <c r="E14" i="7"/>
  <c r="J13" i="74"/>
  <c r="E10" i="78"/>
  <c r="J90" i="7"/>
  <c r="G20" i="93"/>
  <c r="C87" i="19"/>
  <c r="E87" i="19" s="1"/>
  <c r="H87" i="19" s="1"/>
  <c r="D25" i="10" s="1"/>
  <c r="E28" i="100" s="1"/>
  <c r="C25" i="19"/>
  <c r="E25" i="19" s="1"/>
  <c r="K25" i="19" s="1"/>
  <c r="J81" i="7"/>
  <c r="E12" i="75"/>
  <c r="E17" i="2"/>
  <c r="E14" i="2" s="1"/>
  <c r="C86" i="19"/>
  <c r="E86" i="19" s="1"/>
  <c r="J33" i="7"/>
  <c r="J65" i="7"/>
  <c r="E79" i="7"/>
  <c r="J79" i="7" s="1"/>
  <c r="C70" i="19"/>
  <c r="E70" i="19" s="1"/>
  <c r="F70" i="19" s="1"/>
  <c r="J88" i="7"/>
  <c r="J18" i="7"/>
  <c r="J72" i="7"/>
  <c r="C78" i="19"/>
  <c r="J80" i="7"/>
  <c r="E11" i="75"/>
  <c r="G11" i="75" s="1"/>
  <c r="F24" i="94"/>
  <c r="E24" i="94" s="1"/>
  <c r="E201" i="4"/>
  <c r="C36" i="19"/>
  <c r="E36" i="19" s="1"/>
  <c r="F36" i="19" s="1"/>
  <c r="L10" i="95"/>
  <c r="F11" i="94"/>
  <c r="E11" i="94" s="1"/>
  <c r="L11" i="95"/>
  <c r="F12" i="94"/>
  <c r="E12" i="94" s="1"/>
  <c r="L17" i="95"/>
  <c r="F31" i="94"/>
  <c r="E31" i="94" s="1"/>
  <c r="L9" i="95"/>
  <c r="F7" i="94"/>
  <c r="E7" i="94" s="1"/>
  <c r="E30" i="7"/>
  <c r="E14" i="71" s="1"/>
  <c r="E11" i="72" s="1"/>
  <c r="G11" i="72" s="1"/>
  <c r="C54" i="19"/>
  <c r="E54" i="19" s="1"/>
  <c r="F54" i="19" s="1"/>
  <c r="G11" i="78"/>
  <c r="E71" i="7"/>
  <c r="F45" i="70" s="1"/>
  <c r="E97" i="7"/>
  <c r="J97" i="7" s="1"/>
  <c r="J49" i="7"/>
  <c r="E62" i="7"/>
  <c r="J62" i="7" s="1"/>
  <c r="G9" i="79"/>
  <c r="J9" i="84"/>
  <c r="J98" i="7"/>
  <c r="E87" i="7"/>
  <c r="E16" i="87" s="1"/>
  <c r="C95" i="19"/>
  <c r="E95" i="19" s="1"/>
  <c r="F95" i="19" s="1"/>
  <c r="C11" i="19"/>
  <c r="E4" i="7"/>
  <c r="E7" i="73"/>
  <c r="E9" i="73" s="1"/>
  <c r="J5" i="7"/>
  <c r="E10" i="76"/>
  <c r="C33" i="19"/>
  <c r="E33" i="19" s="1"/>
  <c r="J27" i="7"/>
  <c r="H105" i="19"/>
  <c r="D14" i="10" s="1"/>
  <c r="E29" i="11"/>
  <c r="C103" i="19"/>
  <c r="E103" i="19" s="1"/>
  <c r="E95" i="7"/>
  <c r="G7" i="89" s="1"/>
  <c r="J96" i="7"/>
  <c r="J75" i="7"/>
  <c r="C80" i="19"/>
  <c r="E8" i="76"/>
  <c r="C31" i="19"/>
  <c r="E31" i="19" s="1"/>
  <c r="F31" i="19" s="1"/>
  <c r="J25" i="7"/>
  <c r="H6" i="4"/>
  <c r="J8" i="7"/>
  <c r="C14" i="19"/>
  <c r="E7" i="7"/>
  <c r="E9" i="74"/>
  <c r="E90" i="2"/>
  <c r="E89" i="2" s="1"/>
  <c r="J73" i="7"/>
  <c r="C79" i="19"/>
  <c r="E79" i="19" s="1"/>
  <c r="K79" i="19" s="1"/>
  <c r="J76" i="7"/>
  <c r="C82" i="19"/>
  <c r="E82" i="19" s="1"/>
  <c r="F82" i="19" s="1"/>
  <c r="E20" i="71"/>
  <c r="I20" i="71" s="1"/>
  <c r="D54" i="10"/>
  <c r="A65" i="137" s="1"/>
  <c r="F32" i="78"/>
  <c r="J50" i="7"/>
  <c r="C55" i="19"/>
  <c r="E55" i="19" s="1"/>
  <c r="J52" i="7"/>
  <c r="C57" i="19"/>
  <c r="E57" i="19" s="1"/>
  <c r="C26" i="19"/>
  <c r="E26" i="19" s="1"/>
  <c r="F26" i="19" s="1"/>
  <c r="J20" i="7"/>
  <c r="E13" i="75"/>
  <c r="G13" i="75" s="1"/>
  <c r="K21" i="19"/>
  <c r="F21" i="19" s="1"/>
  <c r="J66" i="7"/>
  <c r="C71" i="19"/>
  <c r="E71" i="19" s="1"/>
  <c r="F71" i="19" s="1"/>
  <c r="C23" i="19"/>
  <c r="E23" i="19" s="1"/>
  <c r="K23" i="19" s="1"/>
  <c r="J17" i="7"/>
  <c r="E10" i="75"/>
  <c r="C53" i="19"/>
  <c r="E53" i="19" s="1"/>
  <c r="J48" i="7"/>
  <c r="C62" i="19"/>
  <c r="J34" i="78"/>
  <c r="I16" i="85" s="1"/>
  <c r="J84" i="7"/>
  <c r="E83" i="7"/>
  <c r="C90" i="19"/>
  <c r="E90" i="19" s="1"/>
  <c r="C52" i="19"/>
  <c r="E52" i="19" s="1"/>
  <c r="J47" i="7"/>
  <c r="G9" i="75" l="1"/>
  <c r="G22" i="75" s="1"/>
  <c r="E22" i="75"/>
  <c r="L46" i="70"/>
  <c r="E6" i="78"/>
  <c r="E6" i="79"/>
  <c r="D16" i="79" s="1"/>
  <c r="F11" i="95"/>
  <c r="E11" i="95" s="1"/>
  <c r="F10" i="95"/>
  <c r="E10" i="95" s="1"/>
  <c r="F16" i="95"/>
  <c r="E16" i="95" s="1"/>
  <c r="F9" i="95"/>
  <c r="E9" i="95" s="1"/>
  <c r="F17" i="95"/>
  <c r="E17" i="95" s="1"/>
  <c r="E60" i="78"/>
  <c r="E29" i="80"/>
  <c r="C34" i="137"/>
  <c r="A34" i="137" s="1"/>
  <c r="C36" i="137"/>
  <c r="J41" i="74"/>
  <c r="AW3" i="137"/>
  <c r="AW5" i="137" s="1"/>
  <c r="AW7" i="137" s="1"/>
  <c r="I14" i="78"/>
  <c r="J21" i="79"/>
  <c r="F41" i="79"/>
  <c r="M34" i="78"/>
  <c r="H16" i="85"/>
  <c r="N46" i="70"/>
  <c r="L21" i="74"/>
  <c r="E22" i="100"/>
  <c r="G19" i="10"/>
  <c r="L7" i="137"/>
  <c r="A26" i="137"/>
  <c r="E9" i="100"/>
  <c r="D8" i="10"/>
  <c r="E12" i="76"/>
  <c r="E32" i="11"/>
  <c r="E34" i="11"/>
  <c r="F12" i="82"/>
  <c r="A29" i="137"/>
  <c r="G14" i="78"/>
  <c r="G31" i="77"/>
  <c r="G32" i="77" s="1"/>
  <c r="G33" i="77" s="1"/>
  <c r="F31" i="77"/>
  <c r="F32" i="77" s="1"/>
  <c r="F16" i="71"/>
  <c r="G34" i="71" s="1"/>
  <c r="I16" i="71"/>
  <c r="E70" i="2"/>
  <c r="G23" i="10" s="1"/>
  <c r="F19" i="97"/>
  <c r="E19" i="97" s="1"/>
  <c r="A21" i="137"/>
  <c r="E17" i="100"/>
  <c r="G13" i="78"/>
  <c r="F101" i="19"/>
  <c r="A13" i="137"/>
  <c r="A31" i="137"/>
  <c r="I6" i="137"/>
  <c r="I7" i="137" s="1"/>
  <c r="J57" i="7"/>
  <c r="E1" i="4"/>
  <c r="E107" i="4"/>
  <c r="E41" i="72"/>
  <c r="D62" i="19"/>
  <c r="D24" i="10"/>
  <c r="E27" i="100" s="1"/>
  <c r="J93" i="7"/>
  <c r="F12" i="74"/>
  <c r="G11" i="74"/>
  <c r="F9" i="89"/>
  <c r="H22" i="71"/>
  <c r="F22" i="72"/>
  <c r="H22" i="72" s="1"/>
  <c r="J40" i="7"/>
  <c r="F31" i="78"/>
  <c r="K31" i="78" s="1"/>
  <c r="I13" i="71"/>
  <c r="E10" i="72"/>
  <c r="G10" i="72" s="1"/>
  <c r="G6" i="10"/>
  <c r="F59" i="19"/>
  <c r="F42" i="74"/>
  <c r="I42" i="74" s="1"/>
  <c r="E17" i="75"/>
  <c r="E19" i="75" s="1"/>
  <c r="J29" i="78"/>
  <c r="K29" i="78" s="1"/>
  <c r="L29" i="78" s="1"/>
  <c r="F56" i="19"/>
  <c r="F53" i="19"/>
  <c r="F25" i="19"/>
  <c r="F19" i="19"/>
  <c r="F12" i="97"/>
  <c r="E22" i="71"/>
  <c r="E22" i="72" s="1"/>
  <c r="G22" i="72" s="1"/>
  <c r="E12" i="97"/>
  <c r="I14" i="71"/>
  <c r="F14" i="71"/>
  <c r="E12" i="77"/>
  <c r="H7" i="89"/>
  <c r="H8" i="89" s="1"/>
  <c r="G9" i="89"/>
  <c r="K33" i="19"/>
  <c r="D28" i="10" s="1"/>
  <c r="F79" i="19"/>
  <c r="K86" i="19"/>
  <c r="D31" i="10" s="1"/>
  <c r="E40" i="100" s="1"/>
  <c r="G14" i="10"/>
  <c r="E78" i="19"/>
  <c r="K78" i="19" s="1"/>
  <c r="E80" i="19"/>
  <c r="G10" i="78"/>
  <c r="D10" i="10"/>
  <c r="F87" i="19"/>
  <c r="E12" i="82"/>
  <c r="J87" i="7"/>
  <c r="E11" i="77"/>
  <c r="F105" i="19"/>
  <c r="E32" i="87"/>
  <c r="E13" i="99"/>
  <c r="E22" i="99" s="1"/>
  <c r="F9" i="93"/>
  <c r="E9" i="93" s="1"/>
  <c r="J71" i="7"/>
  <c r="E12" i="81"/>
  <c r="E19" i="71"/>
  <c r="I19" i="71" s="1"/>
  <c r="E9" i="79"/>
  <c r="F20" i="79" s="1"/>
  <c r="G11" i="79"/>
  <c r="I19" i="79"/>
  <c r="J19" i="79" s="1"/>
  <c r="J95" i="7"/>
  <c r="G28" i="11"/>
  <c r="J14" i="7"/>
  <c r="E11" i="19"/>
  <c r="C116" i="19"/>
  <c r="E11" i="71"/>
  <c r="J4" i="7"/>
  <c r="D32" i="10"/>
  <c r="J83" i="7"/>
  <c r="J45" i="70"/>
  <c r="L45" i="70" s="1"/>
  <c r="J30" i="78"/>
  <c r="K30" i="78" s="1"/>
  <c r="L30" i="78" s="1"/>
  <c r="E12" i="74"/>
  <c r="G9" i="74"/>
  <c r="C34" i="11"/>
  <c r="G26" i="11"/>
  <c r="J7" i="7"/>
  <c r="E12" i="71"/>
  <c r="I12" i="71" s="1"/>
  <c r="E3" i="7"/>
  <c r="E14" i="19"/>
  <c r="F14" i="19" s="1"/>
  <c r="E21" i="72"/>
  <c r="G21" i="72" s="1"/>
  <c r="F20" i="71"/>
  <c r="G24" i="11"/>
  <c r="E24" i="99" l="1"/>
  <c r="E6" i="82"/>
  <c r="E6" i="81"/>
  <c r="H7" i="80"/>
  <c r="E6" i="83"/>
  <c r="H6" i="84" s="1"/>
  <c r="F7" i="88" s="1"/>
  <c r="G19" i="88" s="1"/>
  <c r="F10" i="93"/>
  <c r="F35" i="93" s="1"/>
  <c r="E10" i="93"/>
  <c r="A14" i="137"/>
  <c r="G8" i="10"/>
  <c r="N45" i="70"/>
  <c r="E11" i="100"/>
  <c r="E41" i="100"/>
  <c r="A39" i="137"/>
  <c r="H34" i="71"/>
  <c r="E14" i="72"/>
  <c r="I11" i="71"/>
  <c r="A17" i="137"/>
  <c r="E13" i="100"/>
  <c r="L31" i="78"/>
  <c r="A30" i="137"/>
  <c r="F11" i="19"/>
  <c r="F33" i="19"/>
  <c r="E37" i="100"/>
  <c r="E62" i="19"/>
  <c r="K32" i="78" s="1"/>
  <c r="L32" i="78" s="1"/>
  <c r="J14" i="78"/>
  <c r="L49" i="78" s="1"/>
  <c r="F36" i="78"/>
  <c r="G12" i="74"/>
  <c r="G13" i="74" s="1"/>
  <c r="E18" i="75"/>
  <c r="F55" i="19"/>
  <c r="F45" i="74"/>
  <c r="F46" i="74" s="1"/>
  <c r="F52" i="19"/>
  <c r="D29" i="10"/>
  <c r="F57" i="19"/>
  <c r="F23" i="19"/>
  <c r="F22" i="71"/>
  <c r="I22" i="71"/>
  <c r="M110" i="19"/>
  <c r="D51" i="10"/>
  <c r="G12" i="79"/>
  <c r="G13" i="79"/>
  <c r="E13" i="76"/>
  <c r="E14" i="76"/>
  <c r="F86" i="19"/>
  <c r="D65" i="10"/>
  <c r="A78" i="137" s="1"/>
  <c r="G10" i="10"/>
  <c r="K80" i="19"/>
  <c r="F80" i="19" s="1"/>
  <c r="F103" i="19"/>
  <c r="E11" i="99"/>
  <c r="E14" i="99"/>
  <c r="E20" i="72"/>
  <c r="G20" i="72" s="1"/>
  <c r="F19" i="71"/>
  <c r="E11" i="79"/>
  <c r="J28" i="78"/>
  <c r="E8" i="73"/>
  <c r="F11" i="71"/>
  <c r="E8" i="72"/>
  <c r="N110" i="19"/>
  <c r="A71" i="137"/>
  <c r="F90" i="19"/>
  <c r="F12" i="71"/>
  <c r="E9" i="72"/>
  <c r="P110" i="19"/>
  <c r="I45" i="74"/>
  <c r="J45" i="74" s="1"/>
  <c r="J42" i="74"/>
  <c r="F78" i="19"/>
  <c r="A62" i="137" l="1"/>
  <c r="F37" i="78"/>
  <c r="F38" i="78" s="1"/>
  <c r="F11" i="93"/>
  <c r="H20" i="93"/>
  <c r="E11" i="93"/>
  <c r="E35" i="93"/>
  <c r="E28" i="85"/>
  <c r="E6" i="91" s="1"/>
  <c r="G8" i="72"/>
  <c r="M4" i="19"/>
  <c r="E38" i="100"/>
  <c r="A36" i="137"/>
  <c r="D30" i="10"/>
  <c r="E19" i="100"/>
  <c r="F62" i="19"/>
  <c r="K110" i="19"/>
  <c r="D56" i="10"/>
  <c r="D55" i="10" s="1"/>
  <c r="J36" i="78"/>
  <c r="D29" i="11"/>
  <c r="D32" i="11" s="1"/>
  <c r="G27" i="11"/>
  <c r="E23" i="99"/>
  <c r="I20" i="79"/>
  <c r="J20" i="79" s="1"/>
  <c r="F22" i="79"/>
  <c r="D45" i="10"/>
  <c r="K28" i="78"/>
  <c r="L28" i="78" s="1"/>
  <c r="G9" i="72"/>
  <c r="F94" i="19"/>
  <c r="D37" i="10" l="1"/>
  <c r="L111" i="19" s="1"/>
  <c r="L112" i="19" s="1"/>
  <c r="E39" i="100"/>
  <c r="E43" i="100" s="1"/>
  <c r="N111" i="19"/>
  <c r="N112" i="19" s="1"/>
  <c r="J37" i="78"/>
  <c r="J38" i="78" s="1"/>
  <c r="D34" i="11"/>
  <c r="D26" i="10"/>
  <c r="F12" i="95"/>
  <c r="G16" i="10"/>
  <c r="F24" i="79"/>
  <c r="I22" i="79"/>
  <c r="AA19" i="95" l="1"/>
  <c r="E12" i="95"/>
  <c r="J22" i="79"/>
  <c r="K111" i="19"/>
  <c r="K112" i="19" s="1"/>
  <c r="E44" i="100"/>
  <c r="I12" i="95"/>
  <c r="E22" i="85" l="1"/>
  <c r="E20" i="85"/>
  <c r="F20" i="85"/>
  <c r="F22" i="85"/>
  <c r="G9" i="85"/>
  <c r="G62" i="78" l="1"/>
  <c r="G11" i="85"/>
  <c r="H14" i="85"/>
  <c r="G61" i="78"/>
  <c r="G20" i="85"/>
  <c r="G22" i="85" l="1"/>
  <c r="G24" i="85"/>
  <c r="M132" i="4"/>
  <c r="J250" i="4" l="1"/>
  <c r="J253" i="4" s="1"/>
  <c r="J256" i="4" s="1"/>
  <c r="J258" i="4" s="1"/>
  <c r="J257" i="4" l="1"/>
  <c r="N6" i="137" l="1"/>
  <c r="N7" i="137" s="1"/>
  <c r="A18" i="137"/>
  <c r="C50" i="137" l="1"/>
  <c r="C47" i="137" s="1"/>
  <c r="C46" i="137" s="1"/>
  <c r="AY6" i="137"/>
  <c r="AY7" i="137" s="1"/>
  <c r="A50" i="137" l="1"/>
  <c r="AC6" i="137"/>
  <c r="AC7" i="137" s="1"/>
  <c r="A44" i="137"/>
  <c r="BN6" i="137"/>
  <c r="BN7" i="137" s="1"/>
  <c r="A38" i="137" l="1"/>
  <c r="F154" i="4" l="1"/>
  <c r="H154" i="4" s="1"/>
  <c r="E43" i="2" s="1"/>
  <c r="R47" i="95" s="1"/>
  <c r="I78" i="130"/>
  <c r="F235" i="4" l="1"/>
  <c r="I77" i="130"/>
  <c r="E48" i="79"/>
  <c r="E50" i="79" s="1"/>
  <c r="E51" i="79" s="1"/>
  <c r="F23" i="94"/>
  <c r="E23" i="94" s="1"/>
  <c r="F64" i="4" l="1"/>
  <c r="H64" i="4" s="1"/>
  <c r="F227" i="4"/>
  <c r="F250" i="4" s="1"/>
  <c r="F253" i="4" s="1"/>
  <c r="F256" i="4" s="1"/>
  <c r="H235" i="4"/>
  <c r="H227" i="4" s="1"/>
  <c r="F120" i="4" l="1"/>
  <c r="F121" i="4" s="1"/>
  <c r="H250" i="4"/>
  <c r="H253" i="4" s="1"/>
  <c r="H256" i="4" s="1"/>
  <c r="F24" i="95"/>
  <c r="E60" i="7"/>
  <c r="H120" i="4" l="1"/>
  <c r="H257" i="4" s="1"/>
  <c r="F149" i="4"/>
  <c r="H149" i="4" s="1"/>
  <c r="I76" i="130"/>
  <c r="A23" i="137"/>
  <c r="AZ4" i="137"/>
  <c r="C65" i="19"/>
  <c r="E16" i="78"/>
  <c r="H11" i="85"/>
  <c r="H121" i="4" l="1"/>
  <c r="H118" i="4" s="1"/>
  <c r="H117" i="4" s="1"/>
  <c r="H136" i="4" s="1"/>
  <c r="E9" i="2"/>
  <c r="E10" i="2" s="1"/>
  <c r="E7" i="2" s="1"/>
  <c r="E6" i="2" s="1"/>
  <c r="E25" i="2" s="1"/>
  <c r="E18" i="78"/>
  <c r="H137" i="4"/>
  <c r="D8" i="105" s="1"/>
  <c r="C8" i="105" s="1"/>
  <c r="E38" i="2"/>
  <c r="D6" i="105" l="1"/>
  <c r="C6" i="105" s="1"/>
  <c r="F18" i="94"/>
  <c r="E18" i="94" s="1"/>
  <c r="E26" i="2"/>
  <c r="H171" i="4"/>
  <c r="F38" i="94" l="1"/>
  <c r="F40" i="94" s="1"/>
  <c r="E38" i="94"/>
  <c r="E40" i="94" s="1"/>
  <c r="D7" i="105"/>
  <c r="D9" i="105" s="1"/>
  <c r="C7" i="105"/>
  <c r="C9" i="105" s="1"/>
  <c r="E60" i="2"/>
  <c r="F19" i="95"/>
  <c r="F20" i="95" s="1"/>
  <c r="F27" i="95"/>
  <c r="F23" i="95"/>
  <c r="F25" i="95" s="1"/>
  <c r="F39" i="94" l="1"/>
  <c r="F7" i="95"/>
  <c r="E7" i="95" s="1"/>
  <c r="F18" i="95" l="1"/>
  <c r="E18" i="95" s="1"/>
  <c r="I83" i="130"/>
  <c r="F182" i="4"/>
  <c r="H182" i="4" s="1"/>
  <c r="F20" i="97" s="1"/>
  <c r="E20" i="97" s="1"/>
  <c r="E19" i="95" l="1"/>
  <c r="E20" i="95" s="1"/>
  <c r="F25" i="97"/>
  <c r="E25" i="97"/>
  <c r="E71" i="2"/>
  <c r="H178" i="4"/>
  <c r="D11" i="105" l="1"/>
  <c r="C11" i="105" s="1"/>
  <c r="E67" i="2"/>
  <c r="Q110" i="19" l="1"/>
  <c r="Q111" i="19" s="1"/>
  <c r="E21" i="100"/>
  <c r="E26" i="97"/>
  <c r="F26" i="97"/>
  <c r="A25" i="137" l="1"/>
  <c r="G18" i="10"/>
  <c r="F40" i="4" l="1"/>
  <c r="H40" i="4" l="1"/>
  <c r="E31" i="85" l="1"/>
  <c r="G62" i="100"/>
  <c r="I79" i="130"/>
  <c r="F191" i="4"/>
  <c r="H191" i="4" s="1"/>
  <c r="CB22" i="137" s="1"/>
  <c r="H38" i="4"/>
  <c r="C14" i="104" s="1"/>
  <c r="E37" i="7"/>
  <c r="CB42" i="137" l="1"/>
  <c r="C42" i="137" s="1"/>
  <c r="A42" i="137" s="1"/>
  <c r="C22" i="137"/>
  <c r="E52" i="85"/>
  <c r="AE4" i="137"/>
  <c r="E17" i="77"/>
  <c r="E19" i="77" s="1"/>
  <c r="C42" i="19"/>
  <c r="E35" i="7"/>
  <c r="E80" i="2"/>
  <c r="F17" i="98" s="1"/>
  <c r="E17" i="98" s="1"/>
  <c r="H190" i="4"/>
  <c r="D13" i="105" s="1"/>
  <c r="C13" i="105" s="1"/>
  <c r="CB6" i="137" l="1"/>
  <c r="G52" i="85"/>
  <c r="H37" i="72"/>
  <c r="H41" i="72" s="1"/>
  <c r="H76" i="19"/>
  <c r="E79" i="2"/>
  <c r="E15" i="71"/>
  <c r="E17" i="71" s="1"/>
  <c r="E20" i="77"/>
  <c r="G37" i="72" l="1"/>
  <c r="G41" i="72" s="1"/>
  <c r="L41" i="72" s="1"/>
  <c r="I15" i="71"/>
  <c r="E12" i="72"/>
  <c r="E13" i="72" s="1"/>
  <c r="E15" i="72" s="1"/>
  <c r="F15" i="71"/>
  <c r="F17" i="71" s="1"/>
  <c r="F21" i="98"/>
  <c r="F22" i="98" s="1"/>
  <c r="E21" i="98"/>
  <c r="E22" i="98" s="1"/>
  <c r="D15" i="10"/>
  <c r="E18" i="100" s="1"/>
  <c r="F76" i="19"/>
  <c r="L37" i="72" l="1"/>
  <c r="C37" i="137"/>
  <c r="A37" i="137" s="1"/>
  <c r="BJ6" i="137"/>
  <c r="BJ7" i="137" s="1"/>
  <c r="A22" i="137"/>
  <c r="G15" i="10"/>
  <c r="E16" i="72"/>
  <c r="G12" i="72"/>
  <c r="E21" i="77"/>
  <c r="G82" i="4" l="1"/>
  <c r="H82" i="4" l="1"/>
  <c r="C26" i="104" l="1"/>
  <c r="E78" i="7"/>
  <c r="H74" i="4"/>
  <c r="C22" i="104" l="1"/>
  <c r="I60" i="100"/>
  <c r="E34" i="85"/>
  <c r="G34" i="85" s="1"/>
  <c r="BM4" i="137"/>
  <c r="L49" i="70"/>
  <c r="E70" i="7"/>
  <c r="C84" i="19"/>
  <c r="E26" i="71"/>
  <c r="F65" i="4" l="1"/>
  <c r="F50" i="70"/>
  <c r="H65" i="4" l="1"/>
  <c r="E61" i="7" l="1"/>
  <c r="H47" i="4"/>
  <c r="H17" i="85" l="1"/>
  <c r="H21" i="85"/>
  <c r="G90" i="4"/>
  <c r="C17" i="104"/>
  <c r="BA4" i="137"/>
  <c r="C66" i="19"/>
  <c r="F16" i="78"/>
  <c r="E43" i="7"/>
  <c r="G21" i="85"/>
  <c r="F18" i="78" l="1"/>
  <c r="G16" i="78"/>
  <c r="H90" i="4"/>
  <c r="H86" i="4" l="1"/>
  <c r="H95" i="4" s="1"/>
  <c r="E86" i="7"/>
  <c r="C30" i="104"/>
  <c r="I61" i="100" s="1"/>
  <c r="G18" i="78"/>
  <c r="C28" i="104" l="1"/>
  <c r="C33" i="104" s="1"/>
  <c r="E30" i="104"/>
  <c r="G19" i="78"/>
  <c r="G20" i="78"/>
  <c r="E35" i="85"/>
  <c r="G35" i="85" s="1"/>
  <c r="BR4" i="137"/>
  <c r="E82" i="7"/>
  <c r="L50" i="70"/>
  <c r="E49" i="70" s="1"/>
  <c r="E50" i="70" s="1"/>
  <c r="E27" i="71"/>
  <c r="E21" i="71" s="1"/>
  <c r="C92" i="19"/>
  <c r="E33" i="85" l="1"/>
  <c r="CH4" i="137"/>
  <c r="I21" i="71"/>
  <c r="E24" i="72"/>
  <c r="F21" i="71"/>
  <c r="F23" i="71" s="1"/>
  <c r="E23" i="71"/>
  <c r="E91" i="7"/>
  <c r="I80" i="130"/>
  <c r="G187" i="4"/>
  <c r="H187" i="4" s="1"/>
  <c r="CA15" i="137" s="1"/>
  <c r="C15" i="137" l="1"/>
  <c r="CA41" i="137"/>
  <c r="C41" i="137" s="1"/>
  <c r="A41" i="137" s="1"/>
  <c r="E80" i="70"/>
  <c r="E25" i="72"/>
  <c r="E26" i="72" s="1"/>
  <c r="G24" i="72"/>
  <c r="H186" i="4"/>
  <c r="E76" i="2"/>
  <c r="E36" i="85"/>
  <c r="G50" i="70"/>
  <c r="J49" i="70"/>
  <c r="N49" i="70" s="1"/>
  <c r="K49" i="70"/>
  <c r="CA6" i="137" l="1"/>
  <c r="J50" i="70"/>
  <c r="N50" i="70" s="1"/>
  <c r="D12" i="105"/>
  <c r="C12" i="105" s="1"/>
  <c r="H195" i="4"/>
  <c r="J16" i="19"/>
  <c r="F8" i="98"/>
  <c r="E8" i="98" s="1"/>
  <c r="E75" i="2"/>
  <c r="E84" i="2" s="1"/>
  <c r="E33" i="72"/>
  <c r="E36" i="72" s="1"/>
  <c r="D14" i="105" l="1"/>
  <c r="C14" i="105"/>
  <c r="L36" i="72"/>
  <c r="L33" i="72"/>
  <c r="E11" i="98"/>
  <c r="F11" i="98"/>
  <c r="F12" i="98" s="1"/>
  <c r="D7" i="10"/>
  <c r="E10" i="100" s="1"/>
  <c r="J110" i="19"/>
  <c r="F16" i="19"/>
  <c r="E12" i="98" l="1"/>
  <c r="A15" i="137"/>
  <c r="G7" i="10"/>
  <c r="F71" i="4" l="1"/>
  <c r="H71" i="4" l="1"/>
  <c r="I127" i="130"/>
  <c r="G196" i="4"/>
  <c r="H196" i="4" s="1"/>
  <c r="I155" i="130" l="1"/>
  <c r="K157" i="130" s="1"/>
  <c r="E85" i="2"/>
  <c r="H37" i="19" s="1"/>
  <c r="H197" i="4"/>
  <c r="C19" i="104"/>
  <c r="C13" i="104" s="1"/>
  <c r="E67" i="7"/>
  <c r="H37" i="4"/>
  <c r="H72" i="4" s="1"/>
  <c r="C20" i="104" l="1"/>
  <c r="BF4" i="137"/>
  <c r="CG4" i="137" s="1"/>
  <c r="C72" i="19"/>
  <c r="J67" i="7"/>
  <c r="E34" i="7"/>
  <c r="F23" i="11"/>
  <c r="H201" i="4"/>
  <c r="H85" i="2"/>
  <c r="D15" i="105"/>
  <c r="E86" i="2"/>
  <c r="D16" i="105" l="1"/>
  <c r="BX11" i="137" s="1"/>
  <c r="C16" i="105"/>
  <c r="E72" i="19"/>
  <c r="F72" i="19" s="1"/>
  <c r="C73" i="19"/>
  <c r="E92" i="2"/>
  <c r="E14" i="91"/>
  <c r="H107" i="19"/>
  <c r="H110" i="19" s="1"/>
  <c r="C113" i="19" s="1"/>
  <c r="C114" i="19" s="1"/>
  <c r="D4" i="10"/>
  <c r="BF5" i="137"/>
  <c r="D21" i="10"/>
  <c r="E24" i="100" s="1"/>
  <c r="F37" i="19"/>
  <c r="C12" i="137"/>
  <c r="BF6" i="137"/>
  <c r="G23" i="11"/>
  <c r="E68" i="7"/>
  <c r="D20" i="105" l="1"/>
  <c r="D25" i="105" s="1"/>
  <c r="F10" i="102"/>
  <c r="K71" i="102" s="1"/>
  <c r="K76" i="102" s="1"/>
  <c r="C20" i="105"/>
  <c r="E10" i="102"/>
  <c r="C5" i="19"/>
  <c r="BF7" i="137"/>
  <c r="C118" i="19"/>
  <c r="C119" i="19"/>
  <c r="E100" i="2"/>
  <c r="E101" i="2"/>
  <c r="BX6" i="137"/>
  <c r="C11" i="137"/>
  <c r="A27" i="137"/>
  <c r="E29" i="100"/>
  <c r="D5" i="10"/>
  <c r="H43" i="10" s="1"/>
  <c r="G21" i="10"/>
  <c r="E25" i="91"/>
  <c r="F12" i="102" l="1"/>
  <c r="D22" i="105" s="1"/>
  <c r="F80" i="102"/>
  <c r="F82" i="102" s="1"/>
  <c r="F86" i="102" s="1"/>
  <c r="E80" i="102"/>
  <c r="E82" i="102" s="1"/>
  <c r="E12" i="102"/>
  <c r="C22" i="105" s="1"/>
  <c r="D3" i="10"/>
  <c r="D2" i="10" s="1"/>
  <c r="D66" i="10" s="1"/>
  <c r="E30" i="100"/>
  <c r="H111" i="19"/>
  <c r="H112" i="19" s="1"/>
  <c r="G4" i="19" s="1"/>
  <c r="E96" i="2" l="1"/>
  <c r="E97" i="2" s="1"/>
  <c r="F88" i="102"/>
  <c r="F73" i="102" s="1"/>
  <c r="K78" i="102" s="1"/>
  <c r="F74" i="102"/>
  <c r="F72" i="102"/>
  <c r="E86" i="102"/>
  <c r="E72" i="102"/>
  <c r="F4" i="19"/>
  <c r="J67" i="70"/>
  <c r="F68" i="70"/>
  <c r="J68" i="70" s="1"/>
  <c r="E88" i="102" l="1"/>
  <c r="E73" i="102" s="1"/>
  <c r="E74" i="102"/>
  <c r="C23" i="105" s="1"/>
  <c r="D23" i="105"/>
  <c r="K77" i="102"/>
  <c r="I52" i="111" l="1"/>
  <c r="K154" i="4"/>
  <c r="M154" i="4" s="1"/>
  <c r="F43" i="2" s="1"/>
  <c r="H23" i="94" l="1"/>
  <c r="F48" i="79"/>
  <c r="F50" i="79" s="1"/>
  <c r="F51" i="79" s="1"/>
  <c r="I50" i="111" l="1"/>
  <c r="K149" i="4"/>
  <c r="M149" i="4" l="1"/>
  <c r="K137" i="4"/>
  <c r="F38" i="2" l="1"/>
  <c r="M137" i="4"/>
  <c r="F8" i="105" s="1"/>
  <c r="V8" i="105" s="1"/>
  <c r="F26" i="2" l="1"/>
  <c r="H18" i="94"/>
  <c r="H38" i="94" l="1"/>
  <c r="H40" i="94" s="1"/>
  <c r="G38" i="94"/>
  <c r="G40" i="94" s="1"/>
  <c r="H23" i="95"/>
  <c r="H39" i="94" l="1"/>
  <c r="K51" i="78"/>
  <c r="K64" i="4"/>
  <c r="E34" i="78" l="1"/>
  <c r="K53" i="78"/>
  <c r="M64" i="4"/>
  <c r="F60" i="7" l="1"/>
  <c r="I51" i="111"/>
  <c r="K235" i="4"/>
  <c r="N11" i="85" l="1"/>
  <c r="P11" i="85"/>
  <c r="F19" i="100"/>
  <c r="K227" i="4"/>
  <c r="K250" i="4" s="1"/>
  <c r="K253" i="4" s="1"/>
  <c r="K256" i="4" s="1"/>
  <c r="K120" i="4" s="1"/>
  <c r="M235" i="4"/>
  <c r="M227" i="4" s="1"/>
  <c r="AZ3" i="137"/>
  <c r="AZ5" i="137" s="1"/>
  <c r="AZ6" i="137" s="1"/>
  <c r="AZ7" i="137" s="1"/>
  <c r="D65" i="19"/>
  <c r="E65" i="19" s="1"/>
  <c r="F65" i="19" s="1"/>
  <c r="H16" i="78"/>
  <c r="J60" i="7"/>
  <c r="L82" i="4"/>
  <c r="F64" i="78"/>
  <c r="E36" i="78"/>
  <c r="K34" i="78"/>
  <c r="E64" i="78" l="1"/>
  <c r="H20" i="85"/>
  <c r="L34" i="78"/>
  <c r="H24" i="95"/>
  <c r="H25" i="95" s="1"/>
  <c r="G71" i="100"/>
  <c r="H69" i="100"/>
  <c r="H18" i="78"/>
  <c r="M250" i="4"/>
  <c r="M253" i="4" s="1"/>
  <c r="M256" i="4" s="1"/>
  <c r="K36" i="78"/>
  <c r="K37" i="78" s="1"/>
  <c r="M120" i="4"/>
  <c r="K121" i="4"/>
  <c r="K118" i="4" s="1"/>
  <c r="M82" i="4"/>
  <c r="E60" i="100" l="1"/>
  <c r="D26" i="104"/>
  <c r="G25" i="104" s="1"/>
  <c r="M74" i="4"/>
  <c r="F78" i="7"/>
  <c r="M121" i="4"/>
  <c r="M118" i="4" s="1"/>
  <c r="M117" i="4" s="1"/>
  <c r="F9" i="2"/>
  <c r="F10" i="2" s="1"/>
  <c r="F7" i="2" s="1"/>
  <c r="F6" i="2" s="1"/>
  <c r="M257" i="4"/>
  <c r="H60" i="100" l="1"/>
  <c r="I69" i="100"/>
  <c r="J69" i="100" s="1"/>
  <c r="F25" i="2"/>
  <c r="F60" i="2" s="1"/>
  <c r="H19" i="95"/>
  <c r="H27" i="95"/>
  <c r="D22" i="104"/>
  <c r="G21" i="104" s="1"/>
  <c r="F70" i="7"/>
  <c r="J70" i="7" s="1"/>
  <c r="F34" i="85"/>
  <c r="D84" i="19"/>
  <c r="E84" i="19" s="1"/>
  <c r="F84" i="19" s="1"/>
  <c r="G26" i="71"/>
  <c r="BM3" i="137"/>
  <c r="BM5" i="137" s="1"/>
  <c r="BM6" i="137" s="1"/>
  <c r="BM7" i="137" s="1"/>
  <c r="J78" i="7"/>
  <c r="F6" i="105"/>
  <c r="V6" i="105" s="1"/>
  <c r="M136" i="4"/>
  <c r="M171" i="4" s="1"/>
  <c r="H20" i="95" l="1"/>
  <c r="J60" i="100"/>
  <c r="H34" i="85"/>
  <c r="K65" i="4"/>
  <c r="F7" i="105"/>
  <c r="V7" i="105" s="1"/>
  <c r="G19" i="95" l="1"/>
  <c r="G20" i="95" s="1"/>
  <c r="F9" i="105"/>
  <c r="V9" i="105" s="1"/>
  <c r="M65" i="4"/>
  <c r="K47" i="4"/>
  <c r="F61" i="7" l="1"/>
  <c r="M47" i="4"/>
  <c r="D17" i="104" s="1"/>
  <c r="G16" i="104" s="1"/>
  <c r="I16" i="78" l="1"/>
  <c r="D66" i="19"/>
  <c r="E66" i="19" s="1"/>
  <c r="F66" i="19" s="1"/>
  <c r="BA3" i="137"/>
  <c r="BA5" i="137" s="1"/>
  <c r="BA6" i="137" s="1"/>
  <c r="BA7" i="137" s="1"/>
  <c r="J61" i="7"/>
  <c r="F43" i="7"/>
  <c r="J43" i="7" s="1"/>
  <c r="I18" i="78" l="1"/>
  <c r="J16" i="78"/>
  <c r="L51" i="78" s="1"/>
  <c r="J18" i="78" l="1"/>
  <c r="J20" i="78" l="1"/>
  <c r="J19" i="78"/>
  <c r="K54" i="78"/>
  <c r="H155" i="130" l="1"/>
  <c r="G104" i="4"/>
  <c r="G1" i="4" s="1"/>
  <c r="I54" i="111"/>
  <c r="L187" i="4"/>
  <c r="F10" i="100"/>
  <c r="H70" i="100" l="1"/>
  <c r="M187" i="4"/>
  <c r="L186" i="4"/>
  <c r="I53" i="111"/>
  <c r="I100" i="111" s="1"/>
  <c r="K102" i="111" s="1"/>
  <c r="L104" i="4" s="1"/>
  <c r="K191" i="4"/>
  <c r="K41" i="72"/>
  <c r="K40" i="4"/>
  <c r="E61" i="100" l="1"/>
  <c r="H71" i="100"/>
  <c r="M191" i="4"/>
  <c r="K190" i="4"/>
  <c r="M40" i="4"/>
  <c r="K38" i="4"/>
  <c r="M186" i="4"/>
  <c r="F76" i="2"/>
  <c r="H61" i="100" l="1"/>
  <c r="E62" i="100"/>
  <c r="F12" i="105"/>
  <c r="V12" i="105" s="1"/>
  <c r="F80" i="2"/>
  <c r="M190" i="4"/>
  <c r="F13" i="105" s="1"/>
  <c r="V13" i="105" s="1"/>
  <c r="H7" i="10"/>
  <c r="H8" i="98"/>
  <c r="F75" i="2"/>
  <c r="I33" i="72"/>
  <c r="I36" i="72" s="1"/>
  <c r="F37" i="7"/>
  <c r="M38" i="4"/>
  <c r="H11" i="98" l="1"/>
  <c r="H12" i="98" s="1"/>
  <c r="G11" i="98"/>
  <c r="G12" i="98" s="1"/>
  <c r="I62" i="100"/>
  <c r="K62" i="100"/>
  <c r="J61" i="100"/>
  <c r="H62" i="100"/>
  <c r="M33" i="72"/>
  <c r="M195" i="4"/>
  <c r="M197" i="4" s="1"/>
  <c r="M36" i="72"/>
  <c r="F14" i="105"/>
  <c r="V14" i="105" s="1"/>
  <c r="H17" i="98"/>
  <c r="J37" i="72"/>
  <c r="J41" i="72" s="1"/>
  <c r="M41" i="72" s="1"/>
  <c r="F79" i="2"/>
  <c r="F84" i="2" s="1"/>
  <c r="F86" i="2" s="1"/>
  <c r="E4" i="10" s="1"/>
  <c r="AE3" i="137"/>
  <c r="F17" i="77"/>
  <c r="F19" i="77" s="1"/>
  <c r="D42" i="19"/>
  <c r="F35" i="7"/>
  <c r="L90" i="4"/>
  <c r="H100" i="111"/>
  <c r="D14" i="104"/>
  <c r="G13" i="104" s="1"/>
  <c r="M37" i="4"/>
  <c r="M72" i="4" s="1"/>
  <c r="H21" i="98" l="1"/>
  <c r="H22" i="98" s="1"/>
  <c r="G21" i="98"/>
  <c r="G22" i="98" s="1"/>
  <c r="D13" i="104"/>
  <c r="G12" i="104" s="1"/>
  <c r="F16" i="105"/>
  <c r="V16" i="105" s="1"/>
  <c r="F92" i="2"/>
  <c r="M90" i="4"/>
  <c r="L1" i="4"/>
  <c r="M201" i="4"/>
  <c r="D73" i="19"/>
  <c r="E42" i="19"/>
  <c r="F42" i="19" s="1"/>
  <c r="D20" i="104"/>
  <c r="G19" i="104" s="1"/>
  <c r="F34" i="7"/>
  <c r="F68" i="7" s="1"/>
  <c r="G15" i="71"/>
  <c r="G17" i="71" s="1"/>
  <c r="J35" i="7"/>
  <c r="J105" i="111"/>
  <c r="J106" i="111" s="1"/>
  <c r="K104" i="4"/>
  <c r="G100" i="111"/>
  <c r="H101" i="111" s="1"/>
  <c r="F20" i="77"/>
  <c r="CG3" i="137"/>
  <c r="AE5" i="137"/>
  <c r="M37" i="72"/>
  <c r="G155" i="130"/>
  <c r="H156" i="130" s="1"/>
  <c r="H10" i="102" l="1"/>
  <c r="H80" i="102" s="1"/>
  <c r="H82" i="102" s="1"/>
  <c r="F20" i="105"/>
  <c r="V20" i="105" s="1"/>
  <c r="F14" i="11"/>
  <c r="J15" i="71"/>
  <c r="F12" i="72"/>
  <c r="F13" i="72" s="1"/>
  <c r="F15" i="72" s="1"/>
  <c r="H15" i="71"/>
  <c r="H17" i="71" s="1"/>
  <c r="AE6" i="137"/>
  <c r="AE7" i="137" s="1"/>
  <c r="F18" i="100"/>
  <c r="F29" i="100" s="1"/>
  <c r="E5" i="10"/>
  <c r="J24" i="10" s="1"/>
  <c r="H15" i="10"/>
  <c r="D5" i="19"/>
  <c r="J34" i="7"/>
  <c r="F100" i="2"/>
  <c r="M104" i="4"/>
  <c r="K1" i="4"/>
  <c r="L2" i="4" s="1"/>
  <c r="D30" i="104"/>
  <c r="G29" i="104" s="1"/>
  <c r="M86" i="4"/>
  <c r="M95" i="4" s="1"/>
  <c r="F86" i="7"/>
  <c r="F1" i="4"/>
  <c r="G2" i="4" s="1"/>
  <c r="H104" i="4"/>
  <c r="G25" i="91"/>
  <c r="F25" i="105" l="1"/>
  <c r="E67" i="70"/>
  <c r="E68" i="70" s="1"/>
  <c r="G14" i="11"/>
  <c r="G20" i="11" s="1"/>
  <c r="F20" i="11"/>
  <c r="G21" i="11" s="1"/>
  <c r="H12" i="102"/>
  <c r="F22" i="105" s="1"/>
  <c r="H72" i="102"/>
  <c r="L71" i="102" s="1"/>
  <c r="L76" i="102" s="1"/>
  <c r="H86" i="102"/>
  <c r="F30" i="104"/>
  <c r="I70" i="100"/>
  <c r="J70" i="100" s="1"/>
  <c r="E3" i="10"/>
  <c r="E2" i="10" s="1"/>
  <c r="E66" i="10" s="1"/>
  <c r="F30" i="100"/>
  <c r="H23" i="91"/>
  <c r="H30" i="91" s="1"/>
  <c r="E100" i="7"/>
  <c r="H103" i="4"/>
  <c r="J68" i="7"/>
  <c r="F100" i="7"/>
  <c r="M103" i="4"/>
  <c r="F17" i="91"/>
  <c r="F16" i="72"/>
  <c r="F21" i="77"/>
  <c r="H12" i="72"/>
  <c r="D28" i="104"/>
  <c r="G27" i="104" s="1"/>
  <c r="BR3" i="137"/>
  <c r="F35" i="85"/>
  <c r="D92" i="19"/>
  <c r="E92" i="19" s="1"/>
  <c r="F92" i="19" s="1"/>
  <c r="F82" i="7"/>
  <c r="G27" i="71"/>
  <c r="G21" i="71" s="1"/>
  <c r="J21" i="71" s="1"/>
  <c r="J86" i="7"/>
  <c r="F29" i="11" l="1"/>
  <c r="F96" i="2"/>
  <c r="F97" i="2" s="1"/>
  <c r="N67" i="70"/>
  <c r="H88" i="102"/>
  <c r="H73" i="102" s="1"/>
  <c r="L78" i="102" s="1"/>
  <c r="H74" i="102"/>
  <c r="E68" i="10"/>
  <c r="E69" i="10" s="1"/>
  <c r="D68" i="10"/>
  <c r="D69" i="10" s="1"/>
  <c r="CH3" i="137"/>
  <c r="BR5" i="137"/>
  <c r="F91" i="7"/>
  <c r="J82" i="7"/>
  <c r="D33" i="104"/>
  <c r="G32" i="104" s="1"/>
  <c r="H105" i="4"/>
  <c r="H106" i="4" s="1"/>
  <c r="C38" i="104"/>
  <c r="H35" i="85"/>
  <c r="F33" i="85"/>
  <c r="H33" i="85" s="1"/>
  <c r="E24" i="91"/>
  <c r="F23" i="91" s="1"/>
  <c r="H31" i="91"/>
  <c r="E13" i="91"/>
  <c r="E17" i="91" s="1"/>
  <c r="BX4" i="137"/>
  <c r="E99" i="7"/>
  <c r="C107" i="19"/>
  <c r="G29" i="11"/>
  <c r="M105" i="4"/>
  <c r="M106" i="4" s="1"/>
  <c r="M108" i="4" s="1"/>
  <c r="D38" i="104"/>
  <c r="G37" i="104" s="1"/>
  <c r="H21" i="71"/>
  <c r="H23" i="71" s="1"/>
  <c r="F24" i="72"/>
  <c r="G23" i="71"/>
  <c r="F99" i="7"/>
  <c r="BX3" i="137"/>
  <c r="CI3" i="137" s="1"/>
  <c r="D107" i="19"/>
  <c r="D109" i="19" s="1"/>
  <c r="J100" i="7"/>
  <c r="F31" i="11" l="1"/>
  <c r="F23" i="105"/>
  <c r="L77" i="102"/>
  <c r="H107" i="4"/>
  <c r="H108" i="4"/>
  <c r="CJ3" i="137"/>
  <c r="BX5" i="137"/>
  <c r="BX7" i="137" s="1"/>
  <c r="CI4" i="137"/>
  <c r="CJ4" i="137" s="1"/>
  <c r="D110" i="19"/>
  <c r="BR6" i="137"/>
  <c r="BR7" i="137" s="1"/>
  <c r="C98" i="137"/>
  <c r="E7" i="91"/>
  <c r="E8" i="91" s="1"/>
  <c r="E101" i="7"/>
  <c r="F34" i="11"/>
  <c r="F80" i="70"/>
  <c r="J91" i="7"/>
  <c r="F37" i="85"/>
  <c r="F36" i="85"/>
  <c r="E29" i="85"/>
  <c r="G33" i="85" s="1"/>
  <c r="C39" i="104"/>
  <c r="F32" i="11"/>
  <c r="F30" i="91"/>
  <c r="F31" i="91" s="1"/>
  <c r="F33" i="11"/>
  <c r="F101" i="7"/>
  <c r="F7" i="91"/>
  <c r="J99" i="7"/>
  <c r="H1" i="4"/>
  <c r="M107" i="4"/>
  <c r="M1" i="4"/>
  <c r="E107" i="19"/>
  <c r="F107" i="19" s="1"/>
  <c r="C109" i="19"/>
  <c r="F25" i="72"/>
  <c r="F26" i="72" s="1"/>
  <c r="H24" i="72"/>
  <c r="D39" i="104"/>
  <c r="G38" i="104" s="1"/>
  <c r="G31" i="11" l="1"/>
  <c r="E18" i="91"/>
  <c r="H29" i="11"/>
  <c r="I29" i="11" s="1"/>
  <c r="C40" i="104"/>
  <c r="F8" i="91"/>
  <c r="F18" i="91"/>
  <c r="D40" i="104"/>
  <c r="G39" i="104" s="1"/>
  <c r="G34" i="11"/>
  <c r="E102" i="7"/>
  <c r="C111" i="19" s="1"/>
  <c r="E81" i="70"/>
  <c r="E82" i="70" s="1"/>
  <c r="E37" i="85"/>
  <c r="G32" i="11"/>
  <c r="C110" i="19"/>
  <c r="F102" i="7"/>
  <c r="F81" i="70"/>
  <c r="F82" i="70" s="1"/>
  <c r="J101" i="7"/>
  <c r="G33" i="11"/>
  <c r="C41" i="104" l="1"/>
  <c r="C42" i="104"/>
  <c r="E105" i="7"/>
  <c r="E104" i="7"/>
  <c r="CK4" i="137"/>
  <c r="D42" i="104"/>
  <c r="D41" i="104"/>
  <c r="F105" i="7"/>
  <c r="J102" i="7"/>
  <c r="CK3" i="137"/>
  <c r="F104" i="7"/>
  <c r="D111" i="19"/>
  <c r="Z6" i="137"/>
  <c r="Z7" i="137" s="1"/>
  <c r="C33" i="137"/>
  <c r="C10" i="137" s="1"/>
  <c r="C9" i="137" s="1"/>
  <c r="C77" i="137" s="1"/>
  <c r="C80" i="137" s="1"/>
  <c r="C81" i="137" s="1"/>
  <c r="A35" i="137" l="1"/>
  <c r="K23" i="85" l="1"/>
  <c r="M16" i="85" l="1"/>
  <c r="N16" i="85" s="1"/>
  <c r="L23" i="85" l="1"/>
  <c r="M14" i="85"/>
  <c r="M17" i="85" l="1"/>
  <c r="N14" i="85"/>
  <c r="M23" i="85" l="1"/>
  <c r="M25" i="85"/>
  <c r="N17" i="85"/>
  <c r="F8" i="89"/>
  <c r="E15" i="67"/>
  <c r="F13" i="67" l="1"/>
  <c r="F14" i="67"/>
  <c r="F11" i="67"/>
  <c r="J40" i="102"/>
  <c r="F12" i="6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J62" authorId="0" shapeId="0" xr:uid="{00000000-0006-0000-0900-000001000000}">
      <text>
        <r>
          <rPr>
            <b/>
            <sz val="9"/>
            <color indexed="81"/>
            <rFont val="Tahoma"/>
            <family val="2"/>
          </rPr>
          <t>USER:</t>
        </r>
        <r>
          <rPr>
            <sz val="9"/>
            <color indexed="81"/>
            <rFont val="Tahoma"/>
            <family val="2"/>
          </rPr>
          <t xml:space="preserve">
</t>
        </r>
        <r>
          <rPr>
            <sz val="9"/>
            <color indexed="81"/>
            <rFont val="돋움"/>
            <family val="3"/>
            <charset val="129"/>
          </rPr>
          <t>차입원가</t>
        </r>
        <r>
          <rPr>
            <sz val="9"/>
            <color indexed="81"/>
            <rFont val="Tahoma"/>
            <family val="2"/>
          </rPr>
          <t xml:space="preserve"> </t>
        </r>
        <r>
          <rPr>
            <sz val="9"/>
            <color indexed="81"/>
            <rFont val="돋움"/>
            <family val="3"/>
            <charset val="129"/>
          </rPr>
          <t xml:space="preserve">자본화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looki</author>
    <author>USER</author>
  </authors>
  <commentList>
    <comment ref="O84" authorId="0" shapeId="0" xr:uid="{00000000-0006-0000-0800-000001000000}">
      <text>
        <r>
          <rPr>
            <b/>
            <sz val="9"/>
            <color indexed="81"/>
            <rFont val="돋움"/>
            <family val="3"/>
            <charset val="129"/>
          </rPr>
          <t>지급리스료</t>
        </r>
      </text>
    </comment>
    <comment ref="Q84" authorId="0" shapeId="0" xr:uid="{00000000-0006-0000-0800-000003000000}">
      <text>
        <r>
          <rPr>
            <b/>
            <sz val="9"/>
            <color indexed="81"/>
            <rFont val="Tahoma"/>
            <family val="2"/>
          </rPr>
          <t>looki:</t>
        </r>
        <r>
          <rPr>
            <sz val="9"/>
            <color indexed="81"/>
            <rFont val="Tahoma"/>
            <family val="2"/>
          </rPr>
          <t xml:space="preserve">
</t>
        </r>
        <r>
          <rPr>
            <sz val="9"/>
            <color indexed="81"/>
            <rFont val="돋움"/>
            <family val="3"/>
            <charset val="129"/>
          </rPr>
          <t>처분</t>
        </r>
      </text>
    </comment>
    <comment ref="P92" authorId="0" shapeId="0" xr:uid="{00000000-0006-0000-0800-000004000000}">
      <text>
        <r>
          <rPr>
            <b/>
            <sz val="9"/>
            <color indexed="81"/>
            <rFont val="Tahoma"/>
            <family val="2"/>
          </rPr>
          <t>looki:</t>
        </r>
        <r>
          <rPr>
            <sz val="9"/>
            <color indexed="81"/>
            <rFont val="Tahoma"/>
            <family val="2"/>
          </rPr>
          <t xml:space="preserve">
</t>
        </r>
        <r>
          <rPr>
            <sz val="9"/>
            <color indexed="81"/>
            <rFont val="돋움"/>
            <family val="3"/>
            <charset val="129"/>
          </rPr>
          <t>대변</t>
        </r>
      </text>
    </comment>
    <comment ref="H94" authorId="1" shapeId="0" xr:uid="{00000000-0006-0000-0800-000006000000}">
      <text>
        <r>
          <rPr>
            <b/>
            <sz val="9"/>
            <color indexed="81"/>
            <rFont val="Tahoma"/>
            <family val="2"/>
          </rPr>
          <t>USER:</t>
        </r>
        <r>
          <rPr>
            <sz val="9"/>
            <color indexed="81"/>
            <rFont val="Tahoma"/>
            <family val="2"/>
          </rPr>
          <t xml:space="preserve">
</t>
        </r>
        <r>
          <rPr>
            <sz val="9"/>
            <color indexed="81"/>
            <rFont val="돋움"/>
            <family val="3"/>
            <charset val="129"/>
          </rPr>
          <t>판관</t>
        </r>
        <r>
          <rPr>
            <sz val="9"/>
            <color indexed="81"/>
            <rFont val="Tahoma"/>
            <family val="2"/>
          </rPr>
          <t>+</t>
        </r>
        <r>
          <rPr>
            <sz val="9"/>
            <color indexed="81"/>
            <rFont val="돋움"/>
            <family val="3"/>
            <charset val="129"/>
          </rPr>
          <t>제조</t>
        </r>
        <r>
          <rPr>
            <sz val="9"/>
            <color indexed="81"/>
            <rFont val="Tahoma"/>
            <family val="2"/>
          </rPr>
          <t>+</t>
        </r>
        <r>
          <rPr>
            <sz val="9"/>
            <color indexed="81"/>
            <rFont val="돋움"/>
            <family val="3"/>
            <charset val="129"/>
          </rPr>
          <t>경상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ultrav</author>
  </authors>
  <commentList>
    <comment ref="K3" authorId="0" shapeId="0" xr:uid="{00000000-0006-0000-3800-000001000000}">
      <text>
        <r>
          <rPr>
            <b/>
            <sz val="9"/>
            <color indexed="81"/>
            <rFont val="Tahoma"/>
            <family val="2"/>
          </rPr>
          <t>ultrav:</t>
        </r>
        <r>
          <rPr>
            <sz val="9"/>
            <color indexed="81"/>
            <rFont val="Tahoma"/>
            <family val="2"/>
          </rPr>
          <t xml:space="preserve">
</t>
        </r>
        <r>
          <rPr>
            <sz val="9"/>
            <color indexed="81"/>
            <rFont val="돋움"/>
            <family val="3"/>
            <charset val="129"/>
          </rPr>
          <t>원단위</t>
        </r>
        <r>
          <rPr>
            <sz val="9"/>
            <color indexed="81"/>
            <rFont val="Tahoma"/>
            <family val="2"/>
          </rPr>
          <t xml:space="preserve"> BS</t>
        </r>
        <r>
          <rPr>
            <sz val="9"/>
            <color indexed="81"/>
            <rFont val="돋움"/>
            <family val="3"/>
            <charset val="129"/>
          </rPr>
          <t>강제조정</t>
        </r>
        <r>
          <rPr>
            <sz val="9"/>
            <color indexed="81"/>
            <rFont val="Tahoma"/>
            <family val="2"/>
          </rPr>
          <t xml:space="preserve"> 
364</t>
        </r>
        <r>
          <rPr>
            <sz val="9"/>
            <color indexed="81"/>
            <rFont val="돋움"/>
            <family val="3"/>
            <charset val="129"/>
          </rPr>
          <t>원</t>
        </r>
      </text>
    </comment>
  </commentList>
</comments>
</file>

<file path=xl/sharedStrings.xml><?xml version="1.0" encoding="utf-8"?>
<sst xmlns="http://schemas.openxmlformats.org/spreadsheetml/2006/main" count="5984" uniqueCount="2392">
  <si>
    <t>계정과목</t>
    <phoneticPr fontId="6" type="noConversion"/>
  </si>
  <si>
    <t>차변</t>
    <phoneticPr fontId="6" type="noConversion"/>
  </si>
  <si>
    <t>대변</t>
    <phoneticPr fontId="6" type="noConversion"/>
  </si>
  <si>
    <t>선급금</t>
  </si>
  <si>
    <t>선급비용</t>
  </si>
  <si>
    <t>감가상각누계액</t>
  </si>
  <si>
    <t>미지급금</t>
  </si>
  <si>
    <t>선수금</t>
  </si>
  <si>
    <t>퇴직급여충당부채</t>
  </si>
  <si>
    <t>유형자산</t>
  </si>
  <si>
    <t>퇴직급여</t>
  </si>
  <si>
    <t>복리후생비</t>
  </si>
  <si>
    <t>여비교통비</t>
  </si>
  <si>
    <t>접대비</t>
  </si>
  <si>
    <t>통신비</t>
  </si>
  <si>
    <t>감가상각비</t>
  </si>
  <si>
    <t>수선비</t>
  </si>
  <si>
    <t>보험료</t>
  </si>
  <si>
    <t>차량유지비</t>
  </si>
  <si>
    <t>운반비</t>
  </si>
  <si>
    <t>도서인쇄비</t>
  </si>
  <si>
    <t>소모품비</t>
  </si>
  <si>
    <t>지급수수료</t>
  </si>
  <si>
    <t>광고선전비</t>
  </si>
  <si>
    <t>잡이익</t>
  </si>
  <si>
    <t>이자비용</t>
  </si>
  <si>
    <t>잡손실</t>
  </si>
  <si>
    <t>법인세비용</t>
  </si>
  <si>
    <t>과목</t>
    <phoneticPr fontId="9" type="noConversion"/>
  </si>
  <si>
    <t>기타포괄손익</t>
  </si>
  <si>
    <t>당기순이익(손실)</t>
  </si>
  <si>
    <t>자산</t>
    <phoneticPr fontId="6" type="noConversion"/>
  </si>
  <si>
    <t>비유동자산</t>
    <phoneticPr fontId="6" type="noConversion"/>
  </si>
  <si>
    <t>부채</t>
    <phoneticPr fontId="6" type="noConversion"/>
  </si>
  <si>
    <t>주석</t>
    <phoneticPr fontId="6" type="noConversion"/>
  </si>
  <si>
    <t>자본변동표</t>
    <phoneticPr fontId="6" type="noConversion"/>
  </si>
  <si>
    <t>종업원급여 재측정요소</t>
  </si>
  <si>
    <t>이익잉여금(결손금)</t>
  </si>
  <si>
    <t>1.영업에서창출된현금</t>
  </si>
  <si>
    <t>과목</t>
  </si>
  <si>
    <t>Ⅰ.영업활동으로인한현금흐름</t>
  </si>
  <si>
    <t>Ⅱ.투자활동으로인한현금흐름</t>
  </si>
  <si>
    <t>Ⅲ.재무활동으로인한현금흐름</t>
  </si>
  <si>
    <t>1.재무활동으로인한현금유입액</t>
  </si>
  <si>
    <t>2.재무활동으로인한현금유출액</t>
  </si>
  <si>
    <t>가.당기순이익</t>
  </si>
  <si>
    <t>다.영업활동으로인한자산부채의변동</t>
  </si>
  <si>
    <t>현금및현금성자산</t>
    <phoneticPr fontId="6" type="noConversion"/>
  </si>
  <si>
    <t>유동부채</t>
    <phoneticPr fontId="6" type="noConversion"/>
  </si>
  <si>
    <t>비유동부채</t>
    <phoneticPr fontId="6" type="noConversion"/>
  </si>
  <si>
    <t>자본</t>
    <phoneticPr fontId="6" type="noConversion"/>
  </si>
  <si>
    <t>부채총계</t>
    <phoneticPr fontId="6" type="noConversion"/>
  </si>
  <si>
    <t>자본과부채총계</t>
    <phoneticPr fontId="6" type="noConversion"/>
  </si>
  <si>
    <t>자본총계</t>
    <phoneticPr fontId="6" type="noConversion"/>
  </si>
  <si>
    <t>자산총계</t>
    <phoneticPr fontId="6" type="noConversion"/>
  </si>
  <si>
    <t>유동자산</t>
    <phoneticPr fontId="6" type="noConversion"/>
  </si>
  <si>
    <t>주식발행초과금</t>
  </si>
  <si>
    <t>이연법인세부채</t>
    <phoneticPr fontId="6" type="noConversion"/>
  </si>
  <si>
    <t>주석</t>
    <phoneticPr fontId="6" type="noConversion"/>
  </si>
  <si>
    <t>주석</t>
    <phoneticPr fontId="6" type="noConversion"/>
  </si>
  <si>
    <t>매출채권</t>
  </si>
  <si>
    <t>재고자산</t>
  </si>
  <si>
    <t>상품</t>
  </si>
  <si>
    <t>제품</t>
  </si>
  <si>
    <t>기타유동자산</t>
  </si>
  <si>
    <t>종속기업및관계기업투자</t>
  </si>
  <si>
    <t>기계장치</t>
  </si>
  <si>
    <t>차량운반구</t>
  </si>
  <si>
    <t>공구와기구</t>
  </si>
  <si>
    <t>집기비품</t>
  </si>
  <si>
    <t>처분전이익잉여금</t>
  </si>
  <si>
    <t>유동자산</t>
    <phoneticPr fontId="9" type="noConversion"/>
  </si>
  <si>
    <t>기초상품재고액</t>
  </si>
  <si>
    <t>기말상품재고액</t>
  </si>
  <si>
    <t>수도광열비</t>
  </si>
  <si>
    <t>교육훈련비</t>
  </si>
  <si>
    <t>계</t>
    <phoneticPr fontId="9" type="noConversion"/>
  </si>
  <si>
    <t>현금및현금성자산</t>
    <phoneticPr fontId="6" type="noConversion"/>
  </si>
  <si>
    <t>무형자산</t>
    <phoneticPr fontId="6" type="noConversion"/>
  </si>
  <si>
    <t>매입채무및기타채무</t>
    <phoneticPr fontId="6" type="noConversion"/>
  </si>
  <si>
    <t>단기차입금</t>
    <phoneticPr fontId="6" type="noConversion"/>
  </si>
  <si>
    <t>퇴직연금운용자산</t>
  </si>
  <si>
    <t>자본금</t>
  </si>
  <si>
    <t>자본금</t>
    <phoneticPr fontId="6" type="noConversion"/>
  </si>
  <si>
    <t>보통주자본금</t>
  </si>
  <si>
    <t>보통주자본금</t>
    <phoneticPr fontId="6" type="noConversion"/>
  </si>
  <si>
    <t>기타유동부채</t>
    <phoneticPr fontId="6" type="noConversion"/>
  </si>
  <si>
    <t>매출액</t>
  </si>
  <si>
    <t>매출원가</t>
  </si>
  <si>
    <t>매출총이익</t>
  </si>
  <si>
    <t>영업이익(손실)</t>
  </si>
  <si>
    <t>법인세비용차감전순이익</t>
  </si>
  <si>
    <t>총포괄손익</t>
  </si>
  <si>
    <t>(1)제품매출원가</t>
  </si>
  <si>
    <t>계</t>
    <phoneticPr fontId="6" type="noConversion"/>
  </si>
  <si>
    <t>계</t>
    <phoneticPr fontId="6" type="noConversion"/>
  </si>
  <si>
    <t>매입채무</t>
  </si>
  <si>
    <t>미지급비용</t>
  </si>
  <si>
    <t>자본잉여금</t>
  </si>
  <si>
    <t>기타자본항목</t>
  </si>
  <si>
    <t>주식매수선택권</t>
  </si>
  <si>
    <t>지분법자본변동</t>
  </si>
  <si>
    <t>기초제품재고액</t>
  </si>
  <si>
    <t>당기제품제조원가</t>
  </si>
  <si>
    <t>타계정대체</t>
  </si>
  <si>
    <t>기말제품재고액</t>
  </si>
  <si>
    <t>(2)상품매출원가</t>
  </si>
  <si>
    <t>판매비와관리비</t>
  </si>
  <si>
    <t>급여</t>
  </si>
  <si>
    <t>대손상각비</t>
  </si>
  <si>
    <t>포장비</t>
  </si>
  <si>
    <t>기타영업수익</t>
  </si>
  <si>
    <t>외환차익</t>
  </si>
  <si>
    <t>외화환산이익</t>
  </si>
  <si>
    <t>기타영업비용</t>
  </si>
  <si>
    <t>외환차손</t>
  </si>
  <si>
    <t>외화환산손실</t>
  </si>
  <si>
    <t>금융수익</t>
  </si>
  <si>
    <t>금융비용</t>
  </si>
  <si>
    <t>1.지배기업소유주지분</t>
  </si>
  <si>
    <t>2.비지배주주지분</t>
  </si>
  <si>
    <t>자본</t>
  </si>
  <si>
    <t>자본총계</t>
  </si>
  <si>
    <t>자본과부채총계</t>
  </si>
  <si>
    <t>매출채권대손충당금</t>
    <phoneticPr fontId="6" type="noConversion"/>
  </si>
  <si>
    <t>제품평가충당금</t>
    <phoneticPr fontId="6" type="noConversion"/>
  </si>
  <si>
    <t>정산표대조</t>
    <phoneticPr fontId="6" type="noConversion"/>
  </si>
  <si>
    <t>차대검증</t>
    <phoneticPr fontId="6" type="noConversion"/>
  </si>
  <si>
    <t>총포괄손익:</t>
  </si>
  <si>
    <t>총계</t>
  </si>
  <si>
    <t>이익잉여금(결손금)</t>
    <phoneticPr fontId="6" type="noConversion"/>
  </si>
  <si>
    <t>과목</t>
    <phoneticPr fontId="6" type="noConversion"/>
  </si>
  <si>
    <t>자본에직접반영된소유주와의거래</t>
  </si>
  <si>
    <t>당기순이익</t>
    <phoneticPr fontId="6" type="noConversion"/>
  </si>
  <si>
    <t>종업원급여재측정요소</t>
    <phoneticPr fontId="6" type="noConversion"/>
  </si>
  <si>
    <t>2.이자의수취</t>
    <phoneticPr fontId="6" type="noConversion"/>
  </si>
  <si>
    <t xml:space="preserve"> 1. 투자활동으로 인한 현금유입액</t>
    <phoneticPr fontId="6" type="noConversion"/>
  </si>
  <si>
    <t xml:space="preserve"> 2. 투자활동으로 인한 현금유출액</t>
    <phoneticPr fontId="6" type="noConversion"/>
  </si>
  <si>
    <t>나.조정</t>
    <phoneticPr fontId="6" type="noConversion"/>
  </si>
  <si>
    <t>VII.기말의현금</t>
    <phoneticPr fontId="6" type="noConversion"/>
  </si>
  <si>
    <t>이자수익</t>
    <phoneticPr fontId="6" type="noConversion"/>
  </si>
  <si>
    <t xml:space="preserve">    유상증자</t>
    <phoneticPr fontId="6" type="noConversion"/>
  </si>
  <si>
    <t>현금흐름정산표</t>
    <phoneticPr fontId="9" type="noConversion"/>
  </si>
  <si>
    <t>검증</t>
    <phoneticPr fontId="9" type="noConversion"/>
  </si>
  <si>
    <t>증감</t>
    <phoneticPr fontId="9" type="noConversion"/>
  </si>
  <si>
    <t>(현금유입 없는)영업활동</t>
    <phoneticPr fontId="9" type="noConversion"/>
  </si>
  <si>
    <t>투자활동</t>
    <phoneticPr fontId="9" type="noConversion"/>
  </si>
  <si>
    <t>재무활동</t>
    <phoneticPr fontId="9" type="noConversion"/>
  </si>
  <si>
    <t>비현금</t>
    <phoneticPr fontId="9" type="noConversion"/>
  </si>
  <si>
    <t>유입</t>
    <phoneticPr fontId="9" type="noConversion"/>
  </si>
  <si>
    <t>유출</t>
    <phoneticPr fontId="9" type="noConversion"/>
  </si>
  <si>
    <t>부채및자본총계</t>
  </si>
  <si>
    <t>cf</t>
    <phoneticPr fontId="9" type="noConversion"/>
  </si>
  <si>
    <t>기초</t>
    <phoneticPr fontId="9" type="noConversion"/>
  </si>
  <si>
    <t>diff.</t>
    <phoneticPr fontId="9" type="noConversion"/>
  </si>
  <si>
    <t>기말</t>
    <phoneticPr fontId="9" type="noConversion"/>
  </si>
  <si>
    <t>기말현금흐름</t>
    <phoneticPr fontId="9" type="noConversion"/>
  </si>
  <si>
    <t>DIFFER</t>
    <phoneticPr fontId="9" type="noConversion"/>
  </si>
  <si>
    <t>주당이익</t>
    <phoneticPr fontId="6" type="noConversion"/>
  </si>
  <si>
    <t>기본주당순이익</t>
    <phoneticPr fontId="6" type="noConversion"/>
  </si>
  <si>
    <t>희석주당순이익</t>
    <phoneticPr fontId="6" type="noConversion"/>
  </si>
  <si>
    <t>IV.현금및현금성자산의 환율변동효과</t>
    <phoneticPr fontId="6" type="noConversion"/>
  </si>
  <si>
    <t>V.현금의증가(Ⅰ+Ⅱ+Ⅲ+IV)</t>
    <phoneticPr fontId="6" type="noConversion"/>
  </si>
  <si>
    <t>VI.기초의현금</t>
    <phoneticPr fontId="6" type="noConversion"/>
  </si>
  <si>
    <t>당기손익으로 재분류되지 않는 포괄손익</t>
    <phoneticPr fontId="6" type="noConversion"/>
  </si>
  <si>
    <t>금    액</t>
  </si>
  <si>
    <t>Ⅰ.재          료          비</t>
  </si>
  <si>
    <t>Ⅱ.부      재      료      비</t>
  </si>
  <si>
    <t>Ⅲ.노          무          비</t>
  </si>
  <si>
    <t>Ⅳ.제      조      경      비</t>
  </si>
  <si>
    <t>Ⅴ.당  기  총   제  조  비 용</t>
  </si>
  <si>
    <t>Ⅵ.기 초   재 공 품  재 고 액</t>
  </si>
  <si>
    <t>Ⅶ.타 계 정 에 서  대  체  액</t>
  </si>
  <si>
    <t>Ⅷ.합                      계</t>
  </si>
  <si>
    <t>Ⅸ.기 말  재 공 품   재 고 액</t>
  </si>
  <si>
    <t>Ⅹ.타 계 정 으 로  대  체  액</t>
  </si>
  <si>
    <t>ⅩⅠ.당  기 제  품  제 조 원 가</t>
  </si>
  <si>
    <t>당기법인세자산</t>
    <phoneticPr fontId="6" type="noConversion"/>
  </si>
  <si>
    <t>단기금융상품</t>
    <phoneticPr fontId="6" type="noConversion"/>
  </si>
  <si>
    <t>미수수익</t>
    <phoneticPr fontId="6" type="noConversion"/>
  </si>
  <si>
    <t>미수금</t>
    <phoneticPr fontId="6" type="noConversion"/>
  </si>
  <si>
    <t>제품매출</t>
  </si>
  <si>
    <t>제품매출</t>
    <phoneticPr fontId="6" type="noConversion"/>
  </si>
  <si>
    <t>제품매출원가</t>
  </si>
  <si>
    <t>매출채권및기타채권</t>
    <phoneticPr fontId="6" type="noConversion"/>
  </si>
  <si>
    <t>순확정급여부채</t>
    <phoneticPr fontId="6" type="noConversion"/>
  </si>
  <si>
    <t>원재료</t>
    <phoneticPr fontId="6" type="noConversion"/>
  </si>
  <si>
    <t>상품평가충당금</t>
    <phoneticPr fontId="6" type="noConversion"/>
  </si>
  <si>
    <t>원재료평가충당금</t>
    <phoneticPr fontId="6" type="noConversion"/>
  </si>
  <si>
    <t>선급금대손충당금</t>
    <phoneticPr fontId="6" type="noConversion"/>
  </si>
  <si>
    <t>기타비유동금융자산</t>
    <phoneticPr fontId="6" type="noConversion"/>
  </si>
  <si>
    <t>임차보증금</t>
    <phoneticPr fontId="6" type="noConversion"/>
  </si>
  <si>
    <t>기타보증금</t>
    <phoneticPr fontId="6" type="noConversion"/>
  </si>
  <si>
    <t>인테리어</t>
    <phoneticPr fontId="6" type="noConversion"/>
  </si>
  <si>
    <t>특허권</t>
    <phoneticPr fontId="6" type="noConversion"/>
  </si>
  <si>
    <t>상표권</t>
    <phoneticPr fontId="6" type="noConversion"/>
  </si>
  <si>
    <t>개발비</t>
    <phoneticPr fontId="6" type="noConversion"/>
  </si>
  <si>
    <t>소프트웨어</t>
    <phoneticPr fontId="6" type="noConversion"/>
  </si>
  <si>
    <t>장기차입금</t>
    <phoneticPr fontId="6" type="noConversion"/>
  </si>
  <si>
    <t>상품매출</t>
  </si>
  <si>
    <t>상품매출</t>
    <phoneticPr fontId="6" type="noConversion"/>
  </si>
  <si>
    <t>당기상품매입액</t>
    <phoneticPr fontId="6" type="noConversion"/>
  </si>
  <si>
    <t>직원급여</t>
  </si>
  <si>
    <t>상여금</t>
  </si>
  <si>
    <t>주식보상비</t>
  </si>
  <si>
    <t>사무용품비</t>
  </si>
  <si>
    <t>판매수수료</t>
  </si>
  <si>
    <t>무형고정자산상각</t>
  </si>
  <si>
    <t>이자수익</t>
  </si>
  <si>
    <t>종속기업투자주식손상차손</t>
  </si>
  <si>
    <t>잡이익</t>
    <phoneticPr fontId="6" type="noConversion"/>
  </si>
  <si>
    <t>종속기업투자손상차손</t>
    <phoneticPr fontId="6" type="noConversion"/>
  </si>
  <si>
    <t>외환차익</t>
    <phoneticPr fontId="6" type="noConversion"/>
  </si>
  <si>
    <t>이연법인세자산</t>
    <phoneticPr fontId="6" type="noConversion"/>
  </si>
  <si>
    <t>유형자산처분이익</t>
    <phoneticPr fontId="6" type="noConversion"/>
  </si>
  <si>
    <t>상품타계정대체</t>
    <phoneticPr fontId="6" type="noConversion"/>
  </si>
  <si>
    <t xml:space="preserve">    주식보상비용</t>
    <phoneticPr fontId="6" type="noConversion"/>
  </si>
  <si>
    <t>매출채권및기타채권의 감소(증가)</t>
  </si>
  <si>
    <t>기타유동자산의 감소(증가)</t>
  </si>
  <si>
    <t>종속기업투자주식의 증가</t>
  </si>
  <si>
    <t>미수금</t>
  </si>
  <si>
    <t>유형자산의 취득</t>
    <phoneticPr fontId="6" type="noConversion"/>
  </si>
  <si>
    <t>무형자산의 취득</t>
    <phoneticPr fontId="6" type="noConversion"/>
  </si>
  <si>
    <t>재고자산의 감소(증가)</t>
    <phoneticPr fontId="6" type="noConversion"/>
  </si>
  <si>
    <t>매입채무및기타채무의 증가(감소)</t>
    <phoneticPr fontId="6" type="noConversion"/>
  </si>
  <si>
    <t>기타유동부채의 증가(감소)</t>
    <phoneticPr fontId="6" type="noConversion"/>
  </si>
  <si>
    <t>퇴직금의 지급</t>
    <phoneticPr fontId="6" type="noConversion"/>
  </si>
  <si>
    <t>단기금융상품의 증가</t>
    <phoneticPr fontId="6" type="noConversion"/>
  </si>
  <si>
    <t>법인세비용</t>
    <phoneticPr fontId="17" type="noConversion"/>
  </si>
  <si>
    <t>이자비용</t>
    <phoneticPr fontId="17" type="noConversion"/>
  </si>
  <si>
    <t>미지급비용-이자비용</t>
    <phoneticPr fontId="17" type="noConversion"/>
  </si>
  <si>
    <t>주식보상비용</t>
    <phoneticPr fontId="17" type="noConversion"/>
  </si>
  <si>
    <t>퇴직급여</t>
    <phoneticPr fontId="17" type="noConversion"/>
  </si>
  <si>
    <t>4.2. 자본위험관리  </t>
  </si>
  <si>
    <t>회사의 자본 관리 목적은 계속기업으로서 주주 및 이해당사자들에게 이익을 지속적으로 제공할 수 있는 능력을 보호하고 자본 비용을 절감하기 위해 최적의 자본 구조를 유지하는 것입니다. </t>
  </si>
  <si>
    <t>회사는 부채총계를 자본총계로 나누어 산출되는 부채비율을 기준으로 하여 자본을 관리하고 있으며, 매월 부채비율을 모니터링하고 필요한 경우 적절한 재무구조 개선 방안을 수립하여 실행하고 있습니다.</t>
  </si>
  <si>
    <t>(단위 : 원) </t>
  </si>
  <si>
    <t>구분</t>
  </si>
  <si>
    <t>전기말</t>
  </si>
  <si>
    <t>부채 총계(A)</t>
  </si>
  <si>
    <t>자본 총계(B)</t>
  </si>
  <si>
    <t>부채 비율(A/B)</t>
  </si>
  <si>
    <t>(1) 금융상품 종류별 공정가치  </t>
  </si>
  <si>
    <t>금융상품의 종류별 장부금액 및 공정가치는 다음과 같습니다. </t>
  </si>
  <si>
    <t>장부금액</t>
  </si>
  <si>
    <t>금융자산</t>
  </si>
  <si>
    <t>현금및현금성자산</t>
  </si>
  <si>
    <t>단기금융상품</t>
  </si>
  <si>
    <t>기타비유동금융자산</t>
  </si>
  <si>
    <t>합  계</t>
  </si>
  <si>
    <t>금융부채</t>
  </si>
  <si>
    <t>단기차입금</t>
  </si>
  <si>
    <t>신주인수권부사채</t>
  </si>
  <si>
    <t>장기차입금</t>
  </si>
  <si>
    <t>매출채권및기타채권</t>
    <phoneticPr fontId="193" type="noConversion"/>
  </si>
  <si>
    <t>매입채무및기타채무</t>
    <phoneticPr fontId="193" type="noConversion"/>
  </si>
  <si>
    <t>합계</t>
  </si>
  <si>
    <t>상각후원가 측정</t>
  </si>
  <si>
    <t>(단위 : 원)</t>
  </si>
  <si>
    <t>구  분</t>
  </si>
  <si>
    <t>임차보증금</t>
  </si>
  <si>
    <t>기타보증금</t>
  </si>
  <si>
    <t>선급금_대손충당금</t>
  </si>
  <si>
    <t>원재료</t>
  </si>
  <si>
    <t>차감:평가충당금</t>
    <phoneticPr fontId="193" type="noConversion"/>
  </si>
  <si>
    <t>상품</t>
    <phoneticPr fontId="193" type="noConversion"/>
  </si>
  <si>
    <t>제품</t>
    <phoneticPr fontId="193" type="noConversion"/>
  </si>
  <si>
    <t> (단위: 원)</t>
  </si>
  <si>
    <t>계</t>
  </si>
  <si>
    <t>환불부채</t>
    <phoneticPr fontId="6" type="noConversion"/>
  </si>
  <si>
    <t>(1) 이익잉여금(결손금)의 구성내역</t>
  </si>
  <si>
    <t>(2) 당기 및 전기 중 결손금의 변동내역은 다음과 같습니다.</t>
  </si>
  <si>
    <t>(단위: 원) </t>
  </si>
  <si>
    <t>구   분</t>
  </si>
  <si>
    <t>전기</t>
  </si>
  <si>
    <t>기초 금액</t>
  </si>
  <si>
    <t>순확정급여부채의 재측정요소</t>
  </si>
  <si>
    <t>기말 금액</t>
  </si>
  <si>
    <t>(단위: 원)</t>
  </si>
  <si>
    <t>Ⅰ  . 매      출      액</t>
  </si>
  <si>
    <t>Ⅱ  . 매    출   원   가</t>
  </si>
  <si>
    <t>Ⅳ  . 판  매  관  리  비</t>
  </si>
  <si>
    <t>Ⅵ  . 영  업  외  수  익</t>
  </si>
  <si>
    <t>Ⅶ  . 영  업  외  비  용</t>
  </si>
  <si>
    <t>Ⅸ  . 법  인  세  비  용</t>
  </si>
  <si>
    <t>유동자산</t>
  </si>
  <si>
    <t>기타유동금융자산</t>
  </si>
  <si>
    <t>비유동자산</t>
  </si>
  <si>
    <t>이연법인세자산</t>
  </si>
  <si>
    <t>유동부채</t>
  </si>
  <si>
    <t>미지급법인세</t>
  </si>
  <si>
    <t>비유동부채</t>
  </si>
  <si>
    <t>외상매입금</t>
  </si>
  <si>
    <t>반품충당부채</t>
  </si>
  <si>
    <t>주식선택권</t>
  </si>
  <si>
    <t>기타비용</t>
  </si>
  <si>
    <t>종속기업투자</t>
    <phoneticPr fontId="6" type="noConversion"/>
  </si>
  <si>
    <t>대손충당금</t>
  </si>
  <si>
    <t>-</t>
  </si>
  <si>
    <t>종업원급여</t>
  </si>
  <si>
    <t>감가상각비 및 무형자산상각비</t>
  </si>
  <si>
    <t>외주비</t>
  </si>
  <si>
    <t>매출원가 및 판관비의 합계</t>
  </si>
  <si>
    <t>판관</t>
    <phoneticPr fontId="193" type="noConversion"/>
  </si>
  <si>
    <t>제조</t>
    <phoneticPr fontId="193" type="noConversion"/>
  </si>
  <si>
    <t>경상연구개발비</t>
    <phoneticPr fontId="193" type="noConversion"/>
  </si>
  <si>
    <t>(1) 기본주당이익(손실)</t>
  </si>
  <si>
    <t>(단위 : 주, 원)</t>
  </si>
  <si>
    <t>가중평균유통보통주식수</t>
  </si>
  <si>
    <t>(1) 영업으로부터 창출된 현금</t>
  </si>
  <si>
    <t>조정사항  </t>
  </si>
  <si>
    <t>합계</t>
    <phoneticPr fontId="193" type="noConversion"/>
  </si>
  <si>
    <t>(1) 회사 수익의 상세내역은 다음과 같습니다.</t>
  </si>
  <si>
    <t>(2) 외부고객으로부터의 수익</t>
  </si>
  <si>
    <t>단위 : 원)</t>
  </si>
  <si>
    <t>해당국가</t>
  </si>
  <si>
    <t>외부 고객으로부터의 수익</t>
  </si>
  <si>
    <t>대한민국</t>
  </si>
  <si>
    <t>기타국가</t>
  </si>
  <si>
    <t>1년이내</t>
  </si>
  <si>
    <t>2년이내</t>
  </si>
  <si>
    <t>3년이내</t>
  </si>
  <si>
    <t>3년초과</t>
  </si>
  <si>
    <t>매입채무및기타지급채무</t>
  </si>
  <si>
    <t>(1) 기타수익</t>
  </si>
  <si>
    <t>(1) 금융수익</t>
  </si>
  <si>
    <t>(2) 금융비용</t>
  </si>
  <si>
    <t>3.이자의지급</t>
    <phoneticPr fontId="6" type="noConversion"/>
  </si>
  <si>
    <t>4.법인세등환급액(부담액)</t>
    <phoneticPr fontId="6" type="noConversion"/>
  </si>
  <si>
    <t>(1) 유형자산의 내역</t>
  </si>
  <si>
    <t>상각누계액</t>
  </si>
  <si>
    <t>비품</t>
  </si>
  <si>
    <t>인테리어</t>
  </si>
  <si>
    <t>(1) 매출채권및기타채권의 내역은 다음과 같습니다.</t>
  </si>
  <si>
    <t>채권액</t>
  </si>
  <si>
    <t>미수수익</t>
  </si>
  <si>
    <t>(2) 매출채권의 연령 분석</t>
  </si>
  <si>
    <t>3개월 초과 연체</t>
  </si>
  <si>
    <t>6개월 초과 연체</t>
  </si>
  <si>
    <t>9개월 초과 연체</t>
  </si>
  <si>
    <t>(3) 손실충당금의 변동내역은 다음과 같습니다.</t>
  </si>
  <si>
    <t>기초</t>
  </si>
  <si>
    <t>제각</t>
  </si>
  <si>
    <t>기말</t>
  </si>
  <si>
    <t>외화환산손실(기타)</t>
    <phoneticPr fontId="6" type="noConversion"/>
  </si>
  <si>
    <t>4.1.3 유동성 위험  </t>
  </si>
  <si>
    <t>회사의 유동성 위험 분석 내역은 다음과 같습니다.</t>
  </si>
  <si>
    <t>회사는 미사용 차입금 한도를 적정 수준으로 유지하고, 영업 자금 수요를 충족시키기위해 차입금 한도나 약정을 위반하는 일이 없도록 유동성에 대한 예측을 항시 모니터링하고있습니다. 유동성을 예측하는데 있어 회사의 자금조달 계획, 약정 준수, 회사 내부의 목표재무비율 및 통화에 대한 제한과 같은 외부 법규나 법률 요구사항도 고려하고 있습니다.</t>
    <phoneticPr fontId="193" type="noConversion"/>
  </si>
  <si>
    <t>자산총계</t>
  </si>
  <si>
    <t>부채총계</t>
  </si>
  <si>
    <t>미수금대손충당금</t>
    <phoneticPr fontId="6" type="noConversion"/>
  </si>
  <si>
    <t>세금과공과금</t>
  </si>
  <si>
    <t>지급임차료</t>
  </si>
  <si>
    <t>경상연구개발비</t>
  </si>
  <si>
    <t>보관료</t>
  </si>
  <si>
    <t>건물관리비</t>
  </si>
  <si>
    <t>수출제비용</t>
  </si>
  <si>
    <t>리스비</t>
  </si>
  <si>
    <t>주식수</t>
    <phoneticPr fontId="6" type="noConversion"/>
  </si>
  <si>
    <t>사용권자산</t>
  </si>
  <si>
    <t>사용권자산</t>
    <phoneticPr fontId="6" type="noConversion"/>
  </si>
  <si>
    <t>사용권자산감가상각누계액</t>
    <phoneticPr fontId="6" type="noConversion"/>
  </si>
  <si>
    <t>리스부채</t>
    <phoneticPr fontId="6" type="noConversion"/>
  </si>
  <si>
    <t>유동성리스부채</t>
    <phoneticPr fontId="6" type="noConversion"/>
  </si>
  <si>
    <t>환불부채</t>
    <phoneticPr fontId="17" type="noConversion"/>
  </si>
  <si>
    <t>보험수리적손익(법인세차감후)</t>
    <phoneticPr fontId="17" type="noConversion"/>
  </si>
  <si>
    <t>보험수리적손익 법인세효과</t>
    <phoneticPr fontId="17" type="noConversion"/>
  </si>
  <si>
    <t>이자수익</t>
    <phoneticPr fontId="17" type="noConversion"/>
  </si>
  <si>
    <t>리스부채의 상환</t>
    <phoneticPr fontId="6" type="noConversion"/>
  </si>
  <si>
    <t>주주명</t>
  </si>
  <si>
    <t>관계</t>
  </si>
  <si>
    <t>소유주식수(주)</t>
  </si>
  <si>
    <t>지분율</t>
  </si>
  <si>
    <t>임직원</t>
  </si>
  <si>
    <t>기타</t>
    <phoneticPr fontId="193" type="noConversion"/>
  </si>
  <si>
    <t>4-1-1. 시장위험</t>
    <phoneticPr fontId="193" type="noConversion"/>
  </si>
  <si>
    <t>(1) 외환위험</t>
    <phoneticPr fontId="193" type="noConversion"/>
  </si>
  <si>
    <t>구분</t>
    <phoneticPr fontId="193" type="noConversion"/>
  </si>
  <si>
    <t>당기말</t>
    <phoneticPr fontId="193" type="noConversion"/>
  </si>
  <si>
    <t>장부금액</t>
    <phoneticPr fontId="193" type="noConversion"/>
  </si>
  <si>
    <t>공정가치</t>
    <phoneticPr fontId="193" type="noConversion"/>
  </si>
  <si>
    <t>리스부채</t>
    <phoneticPr fontId="193" type="noConversion"/>
  </si>
  <si>
    <t>보고기간 종료일 현재 현금및현금성자산의 구성 내역은 다음과 같습니다.  </t>
  </si>
  <si>
    <t>은행예금 및 보유현금 </t>
  </si>
  <si>
    <t>(2) 유형자산의 변동</t>
  </si>
  <si>
    <t>취득</t>
  </si>
  <si>
    <t>사용권자산</t>
    <phoneticPr fontId="193" type="noConversion"/>
  </si>
  <si>
    <t>산업재산권</t>
  </si>
  <si>
    <t>소프트웨어</t>
  </si>
  <si>
    <t>개발비</t>
  </si>
  <si>
    <t>정부보조금</t>
  </si>
  <si>
    <t>회사명</t>
  </si>
  <si>
    <t>소재지</t>
  </si>
  <si>
    <t>주요영업활동</t>
  </si>
  <si>
    <t>한국</t>
  </si>
  <si>
    <t>홍콩</t>
  </si>
  <si>
    <t>화장품 등 판매</t>
  </si>
  <si>
    <t>ULTRA V SHANGHAI LIMITED</t>
  </si>
  <si>
    <t>중국</t>
  </si>
  <si>
    <t>기초금액</t>
  </si>
  <si>
    <t>감소(감액)</t>
  </si>
  <si>
    <t>기말금액</t>
  </si>
  <si>
    <t>구 분</t>
  </si>
  <si>
    <t>종속기업명</t>
  </si>
  <si>
    <t>ULTRA V HONG KONG LIMITED </t>
  </si>
  <si>
    <t>ULTRA V HONG  KONG LIMITED</t>
    <phoneticPr fontId="193" type="noConversion"/>
  </si>
  <si>
    <t>(1) 당기 및 전기 중 확정급여채무의 현재가치 변동내역은 다음과 같습니다.</t>
  </si>
  <si>
    <t>기초잔액</t>
  </si>
  <si>
    <t>당기근무원가</t>
  </si>
  <si>
    <t>재측정요소</t>
  </si>
  <si>
    <t> - 경험적 조정</t>
  </si>
  <si>
    <t>퇴직급여지급액</t>
  </si>
  <si>
    <t>당기말잔액</t>
  </si>
  <si>
    <t>(2) 당기 및 전기 중 확정급여제도와 관련하여 손익으로 인식된 비용은 다음과 같습니다.</t>
  </si>
  <si>
    <t>순이자원가</t>
  </si>
  <si>
    <t> - 재무적가정 등의 변동</t>
    <phoneticPr fontId="193" type="noConversion"/>
  </si>
  <si>
    <t>유동성장기차입금</t>
    <phoneticPr fontId="6" type="noConversion"/>
  </si>
  <si>
    <t>매출채권대손충당금</t>
  </si>
  <si>
    <t>정상</t>
  </si>
  <si>
    <t>손상</t>
  </si>
  <si>
    <t>총 장부금액-매출채권</t>
  </si>
  <si>
    <t>기대 손실률</t>
  </si>
  <si>
    <t>손실충당금</t>
  </si>
  <si>
    <t>현금</t>
  </si>
  <si>
    <t>보통예금</t>
  </si>
  <si>
    <t>외화보통예금</t>
  </si>
  <si>
    <t>외상매출금</t>
  </si>
  <si>
    <t>상표권</t>
  </si>
  <si>
    <t>예수금</t>
  </si>
  <si>
    <t>부가세예수금</t>
  </si>
  <si>
    <t>우선주자본금</t>
  </si>
  <si>
    <t>신주인수권대가</t>
  </si>
  <si>
    <t>유동성장기차입금</t>
    <phoneticPr fontId="193" type="noConversion"/>
  </si>
  <si>
    <t>보험수리적손익누계액</t>
  </si>
  <si>
    <t>당기순이익</t>
  </si>
  <si>
    <t>예수금</t>
    <phoneticPr fontId="6" type="noConversion"/>
  </si>
  <si>
    <t>예수금</t>
    <phoneticPr fontId="6" type="noConversion"/>
  </si>
  <si>
    <t>리스부채</t>
  </si>
  <si>
    <t>재무상태표 상 자산</t>
  </si>
  <si>
    <t>상각후원가 측정 금융자산:</t>
  </si>
  <si>
    <t>매출채권및기타채권</t>
  </si>
  <si>
    <t>재무상태표 상 부채</t>
  </si>
  <si>
    <t>상각후원가 측정 금융부채:</t>
  </si>
  <si>
    <t>매입채무및기타채무</t>
  </si>
  <si>
    <t xml:space="preserve">      [40100]상    품   매   출</t>
  </si>
  <si>
    <t xml:space="preserve">      [40400]제    품   매   출</t>
  </si>
  <si>
    <t xml:space="preserve">      [45100]상  품 매 출 원 가</t>
  </si>
  <si>
    <t xml:space="preserve">        [14600]기초  상품  재고액</t>
  </si>
  <si>
    <t xml:space="preserve">        [14600]당기 상품 매 입 액</t>
  </si>
  <si>
    <t xml:space="preserve">        [14600]재고 자산 평가환입</t>
  </si>
  <si>
    <t xml:space="preserve">        [14600]기말  상품  재고액</t>
  </si>
  <si>
    <t xml:space="preserve">      [45500]제  품 매 출 원 가</t>
  </si>
  <si>
    <t xml:space="preserve">        [14700]기초  제품  재고액</t>
  </si>
  <si>
    <t xml:space="preserve">        [14700]당기 제품 제조원가</t>
  </si>
  <si>
    <t xml:space="preserve">        [14700]타계정으로  대체액</t>
  </si>
  <si>
    <t xml:space="preserve">        [14700]재고 자산 평가손실</t>
  </si>
  <si>
    <t xml:space="preserve">        [14700]기말  제품  재고액</t>
  </si>
  <si>
    <t>Ⅲ  . 매  출  총  이  익</t>
  </si>
  <si>
    <t xml:space="preserve">      [80200]직    원   급   여</t>
  </si>
  <si>
    <t xml:space="preserve">      [80300]상      여      금</t>
  </si>
  <si>
    <t xml:space="preserve">      [80800]퇴    직   급   여</t>
  </si>
  <si>
    <t xml:space="preserve">      [81000]주  식  보  상  비</t>
  </si>
  <si>
    <t xml:space="preserve">      [81100]복  리  후  생  비</t>
  </si>
  <si>
    <t xml:space="preserve">      [81200]여  비  교  통  비</t>
  </si>
  <si>
    <t xml:space="preserve">      [81300]접      대      비</t>
  </si>
  <si>
    <t xml:space="preserve">      [81400]통      신      비</t>
  </si>
  <si>
    <t xml:space="preserve">      [81500]수  도  광  열  비</t>
  </si>
  <si>
    <t xml:space="preserve">      [81700]세  금 과 공 과 금</t>
  </si>
  <si>
    <t xml:space="preserve">      [81800]감  가  상  각  비</t>
  </si>
  <si>
    <t xml:space="preserve">      [81900]지  급  임  차  료</t>
  </si>
  <si>
    <t xml:space="preserve">      [82000]수      선      비</t>
  </si>
  <si>
    <t xml:space="preserve">      [82100]보      험      료</t>
  </si>
  <si>
    <t xml:space="preserve">      [82200]차  량  유  지  비</t>
  </si>
  <si>
    <t xml:space="preserve">      [82300]경 상 연 구 개발비</t>
  </si>
  <si>
    <t xml:space="preserve">      [82400]운      반      비</t>
  </si>
  <si>
    <t xml:space="preserve">      [82500]교  육  훈  련  비</t>
  </si>
  <si>
    <t xml:space="preserve">      [82600]도  서  인  쇄  비</t>
  </si>
  <si>
    <t xml:space="preserve">      [82900]사  무  용  품  비</t>
  </si>
  <si>
    <t xml:space="preserve">      [83000]소    모   품   비</t>
  </si>
  <si>
    <t xml:space="preserve">      [83100]지  급  수  수  료</t>
  </si>
  <si>
    <t xml:space="preserve">      [83300]광  고  선  전  비</t>
  </si>
  <si>
    <t xml:space="preserve">      [83500]대  손  상  각  비</t>
  </si>
  <si>
    <t xml:space="preserve">      [83700]건  물  관  리  비</t>
  </si>
  <si>
    <t xml:space="preserve">      [83800]수  출  제  비  용</t>
  </si>
  <si>
    <t xml:space="preserve">      [83900]판  매  수  수  료</t>
  </si>
  <si>
    <t xml:space="preserve">      [84000]무 형 고정자산상각</t>
  </si>
  <si>
    <t xml:space="preserve">      [90100]이    자   수   익</t>
  </si>
  <si>
    <t xml:space="preserve">      [90700]외    환   차   익</t>
  </si>
  <si>
    <t xml:space="preserve">      [91000]외  화 환 산 이 익</t>
  </si>
  <si>
    <t xml:space="preserve">      [93000]잡      이      익</t>
  </si>
  <si>
    <t xml:space="preserve">      [93100]이    자   비   용</t>
  </si>
  <si>
    <t xml:space="preserve">      [93200]외    환   차   손</t>
  </si>
  <si>
    <t xml:space="preserve">      [93500]외  화 환 산 손 실</t>
  </si>
  <si>
    <t xml:space="preserve">      [95200]종속기업투자주식손상차손</t>
  </si>
  <si>
    <t xml:space="preserve">      [96000]잡      손      실</t>
  </si>
  <si>
    <t xml:space="preserve">      [99800]법    인   세   등</t>
  </si>
  <si>
    <t>특허권</t>
  </si>
  <si>
    <t>환불부채</t>
  </si>
  <si>
    <t>예수금</t>
    <phoneticPr fontId="17" type="noConversion"/>
  </si>
  <si>
    <t>상품폐기</t>
    <phoneticPr fontId="17" type="noConversion"/>
  </si>
  <si>
    <t>원재료폐기</t>
    <phoneticPr fontId="17" type="noConversion"/>
  </si>
  <si>
    <t>단기차입금의 차입</t>
    <phoneticPr fontId="6" type="noConversion"/>
  </si>
  <si>
    <t>2018.12.31(전기말)</t>
    <phoneticPr fontId="6" type="noConversion"/>
  </si>
  <si>
    <t>장기차입금의 차입</t>
    <phoneticPr fontId="6" type="noConversion"/>
  </si>
  <si>
    <t>단기대여금의 감소</t>
    <phoneticPr fontId="6" type="noConversion"/>
  </si>
  <si>
    <t>전기말</t>
    <phoneticPr fontId="193" type="noConversion"/>
  </si>
  <si>
    <t>구분</t>
    <phoneticPr fontId="193" type="noConversion"/>
  </si>
  <si>
    <t>예수금</t>
    <phoneticPr fontId="193" type="noConversion"/>
  </si>
  <si>
    <t>환불부채</t>
    <phoneticPr fontId="193" type="noConversion"/>
  </si>
  <si>
    <t>차입처</t>
    <phoneticPr fontId="193" type="noConversion"/>
  </si>
  <si>
    <t>이자율(%)</t>
    <phoneticPr fontId="193" type="noConversion"/>
  </si>
  <si>
    <t>최장만기일</t>
    <phoneticPr fontId="193" type="noConversion"/>
  </si>
  <si>
    <t>단기차입금</t>
    <phoneticPr fontId="193" type="noConversion"/>
  </si>
  <si>
    <t>장기차입금</t>
    <phoneticPr fontId="193" type="noConversion"/>
  </si>
  <si>
    <t>기업은행</t>
    <phoneticPr fontId="193" type="noConversion"/>
  </si>
  <si>
    <t>중소기업진흥공단</t>
    <phoneticPr fontId="193" type="noConversion"/>
  </si>
  <si>
    <t>(2) 장기차입금의 상환계획은 다음과 같습니다.</t>
    <phoneticPr fontId="193" type="noConversion"/>
  </si>
  <si>
    <t>1년이내</t>
    <phoneticPr fontId="193" type="noConversion"/>
  </si>
  <si>
    <t>1년 초과 2년이내</t>
    <phoneticPr fontId="193" type="noConversion"/>
  </si>
  <si>
    <t>2년 초과</t>
    <phoneticPr fontId="193" type="noConversion"/>
  </si>
  <si>
    <t>보험수리적누계액</t>
    <phoneticPr fontId="17" type="noConversion"/>
  </si>
  <si>
    <t>전기</t>
    <phoneticPr fontId="193" type="noConversion"/>
  </si>
  <si>
    <t>통화</t>
  </si>
  <si>
    <t>외화</t>
  </si>
  <si>
    <t>원화환산액</t>
  </si>
  <si>
    <t>USD</t>
  </si>
  <si>
    <t>세전 이익에 대한 영향</t>
  </si>
  <si>
    <t>상승시</t>
  </si>
  <si>
    <t>하락시</t>
  </si>
  <si>
    <t>외화에 대한 원화의 환율 10% 변동시</t>
    <phoneticPr fontId="193" type="noConversion"/>
  </si>
  <si>
    <t>구분</t>
    <phoneticPr fontId="193" type="noConversion"/>
  </si>
  <si>
    <t>부동산</t>
    <phoneticPr fontId="193" type="noConversion"/>
  </si>
  <si>
    <t>차량운반구</t>
    <phoneticPr fontId="193" type="noConversion"/>
  </si>
  <si>
    <t>합계</t>
    <phoneticPr fontId="193" type="noConversion"/>
  </si>
  <si>
    <t>- 전기</t>
    <phoneticPr fontId="193" type="noConversion"/>
  </si>
  <si>
    <t>자산명</t>
  </si>
  <si>
    <t>장부가액</t>
  </si>
  <si>
    <t>개발비</t>
    <phoneticPr fontId="193" type="noConversion"/>
  </si>
  <si>
    <t>PDO고분자 필러 ULTRACOL</t>
    <phoneticPr fontId="193" type="noConversion"/>
  </si>
  <si>
    <t>(1) 금융기관 약정한도</t>
    <phoneticPr fontId="193" type="noConversion"/>
  </si>
  <si>
    <t>금융기관</t>
    <phoneticPr fontId="193" type="noConversion"/>
  </si>
  <si>
    <t>한도</t>
    <phoneticPr fontId="193" type="noConversion"/>
  </si>
  <si>
    <t>실행</t>
    <phoneticPr fontId="193" type="noConversion"/>
  </si>
  <si>
    <t>기업은행</t>
    <phoneticPr fontId="193" type="noConversion"/>
  </si>
  <si>
    <t>운전자금대출</t>
    <phoneticPr fontId="193" type="noConversion"/>
  </si>
  <si>
    <t>주식수</t>
  </si>
  <si>
    <t>합   계</t>
  </si>
  <si>
    <t>손상차손</t>
    <phoneticPr fontId="17" type="noConversion"/>
  </si>
  <si>
    <t>처분</t>
    <phoneticPr fontId="193" type="noConversion"/>
  </si>
  <si>
    <t>종업원급여 재측정요소</t>
    <phoneticPr fontId="6" type="noConversion"/>
  </si>
  <si>
    <t xml:space="preserve">    주식매수선택권의 행사</t>
    <phoneticPr fontId="6" type="noConversion"/>
  </si>
  <si>
    <t>법인세차감전 재측정요소</t>
    <phoneticPr fontId="193" type="noConversion"/>
  </si>
  <si>
    <t>법인세효과</t>
    <phoneticPr fontId="193" type="noConversion"/>
  </si>
  <si>
    <t>법인세차감후 재측정요소</t>
    <phoneticPr fontId="193" type="noConversion"/>
  </si>
  <si>
    <t>(4) 보험수리적가정</t>
    <phoneticPr fontId="193" type="noConversion"/>
  </si>
  <si>
    <t>1) 보험수리적가정의 주요 내용은 다음과 같습니다.</t>
    <phoneticPr fontId="193" type="noConversion"/>
  </si>
  <si>
    <t>할인율</t>
    <phoneticPr fontId="193" type="noConversion"/>
  </si>
  <si>
    <t>미래임금상승률</t>
    <phoneticPr fontId="193" type="noConversion"/>
  </si>
  <si>
    <t>2)보고기간말 현재 주요 가정의 변동에 따른 확정급여채무의 민감도 분석은 다음과 같습니다.</t>
    <phoneticPr fontId="193" type="noConversion"/>
  </si>
  <si>
    <t>금액</t>
    <phoneticPr fontId="193" type="noConversion"/>
  </si>
  <si>
    <t>&lt;할인율&gt;</t>
    <phoneticPr fontId="193" type="noConversion"/>
  </si>
  <si>
    <t xml:space="preserve"> 1%증가</t>
    <phoneticPr fontId="193" type="noConversion"/>
  </si>
  <si>
    <t xml:space="preserve"> 1%감소</t>
    <phoneticPr fontId="193" type="noConversion"/>
  </si>
  <si>
    <t>&lt;임금상승률&gt;</t>
    <phoneticPr fontId="193" type="noConversion"/>
  </si>
  <si>
    <t>5년 이상</t>
    <phoneticPr fontId="193" type="noConversion"/>
  </si>
  <si>
    <t>합계</t>
    <phoneticPr fontId="193" type="noConversion"/>
  </si>
  <si>
    <t>급여지급액</t>
    <phoneticPr fontId="193" type="noConversion"/>
  </si>
  <si>
    <t xml:space="preserve">      [10800]외  상  매  출  금</t>
  </si>
  <si>
    <t xml:space="preserve">      [12000]미      수      금</t>
  </si>
  <si>
    <t xml:space="preserve">      [13100]선      급      금</t>
  </si>
  <si>
    <t xml:space="preserve">      [14700]제              품</t>
  </si>
  <si>
    <t xml:space="preserve">      [14900]원      재      료</t>
  </si>
  <si>
    <t xml:space="preserve">      [20800]차  량  운  반  구</t>
  </si>
  <si>
    <t xml:space="preserve">      [21200]비              품</t>
  </si>
  <si>
    <t xml:space="preserve">      [19000]기  타  보  증  금</t>
  </si>
  <si>
    <t xml:space="preserve">      [25100]외  상  매  입  금</t>
  </si>
  <si>
    <t xml:space="preserve">      [25400]예      수      금</t>
  </si>
  <si>
    <t xml:space="preserve">      [25900]선      수      금</t>
  </si>
  <si>
    <t xml:space="preserve">      [26200]미  지  급  비  용</t>
  </si>
  <si>
    <t xml:space="preserve">      [10300]보    통   예   금</t>
  </si>
  <si>
    <t xml:space="preserve">      [10400]외  화 보 통 예 금</t>
  </si>
  <si>
    <t xml:space="preserve">      [10600]기 타 단기금융상품</t>
  </si>
  <si>
    <t xml:space="preserve">      [10900]대  손  충  당  금</t>
  </si>
  <si>
    <t xml:space="preserve">      [11600]미    수   수   익</t>
  </si>
  <si>
    <t xml:space="preserve">      [12100]대  손  충  당  금</t>
  </si>
  <si>
    <t xml:space="preserve">      [13200]대  손  충  당  금</t>
  </si>
  <si>
    <t xml:space="preserve">      [13300]선    급   비   용</t>
  </si>
  <si>
    <t xml:space="preserve">      [13600]선  납  법  인  세</t>
  </si>
  <si>
    <t xml:space="preserve">      [14600]상              품</t>
  </si>
  <si>
    <t xml:space="preserve">      [16000]상품재고자산평가충당금</t>
  </si>
  <si>
    <t xml:space="preserve">      [16100]제품재고자산평가충당금</t>
  </si>
  <si>
    <t xml:space="preserve">      [16200]원재료재고자산평가충당금</t>
  </si>
  <si>
    <t xml:space="preserve">      [17800]투  자 유 가 증 권</t>
  </si>
  <si>
    <t xml:space="preserve">      [20600]기    계   장   치</t>
  </si>
  <si>
    <t xml:space="preserve">      [20700]감 가 상 각 누계액(기계장치)</t>
  </si>
  <si>
    <t xml:space="preserve">      [20900]감 가 상 각 누계액(차량운반구)</t>
  </si>
  <si>
    <t xml:space="preserve">      [21000]공  구  와  기  구</t>
  </si>
  <si>
    <t xml:space="preserve">      [21100]감 가 상 각 누계액(공구와기구)</t>
  </si>
  <si>
    <t xml:space="preserve">      [21300]감 가 상 각 누계액(비품)</t>
  </si>
  <si>
    <t xml:space="preserve">      [21900]인    테   리   어</t>
  </si>
  <si>
    <t xml:space="preserve">      [22000]감 가 상 각 누계액(인테리어)</t>
  </si>
  <si>
    <t xml:space="preserve">      [22300]사  용  권  자  산</t>
  </si>
  <si>
    <t xml:space="preserve">      [23200]특      허      권</t>
  </si>
  <si>
    <t xml:space="preserve">      [23300]상      표      권</t>
  </si>
  <si>
    <t xml:space="preserve">      [23900]개      발      비</t>
  </si>
  <si>
    <t xml:space="preserve">      [24000]소  프  트  웨  어</t>
  </si>
  <si>
    <t xml:space="preserve">      [18800]임  차  보  증  금</t>
  </si>
  <si>
    <t xml:space="preserve">      [25300]미    지   급   금</t>
  </si>
  <si>
    <t xml:space="preserve">      [26000]단  기  차  입  금</t>
  </si>
  <si>
    <t xml:space="preserve">      [28100]반  품 충 당 부 채</t>
  </si>
  <si>
    <t xml:space="preserve">      [28200]유 동 성장기차입금</t>
  </si>
  <si>
    <t xml:space="preserve">      [28300]유 동 성 리 스부채</t>
  </si>
  <si>
    <t xml:space="preserve">      [29300]장  기  차  입  금</t>
  </si>
  <si>
    <t xml:space="preserve">      [29500]퇴 직 급 여 충당금</t>
  </si>
  <si>
    <t xml:space="preserve">      [31500]리    스   부   채</t>
  </si>
  <si>
    <t xml:space="preserve">      [33100]자      본      금</t>
  </si>
  <si>
    <t xml:space="preserve">      [34100]주 식 발 행 초과금</t>
  </si>
  <si>
    <t xml:space="preserve">      [34400]주  식  선  택  권</t>
  </si>
  <si>
    <t xml:space="preserve">      [39700]보험수리적손익누계액</t>
  </si>
  <si>
    <t xml:space="preserve">        [14600]타계정에서  대체액</t>
  </si>
  <si>
    <t>Ⅴ  . 영    업   이   익</t>
  </si>
  <si>
    <t>Ⅷ  . 법인세비용차감전순이익</t>
  </si>
  <si>
    <t>Ⅹ  . 당  기  순  이  익</t>
  </si>
  <si>
    <t>단기차입금의 상환</t>
    <phoneticPr fontId="6" type="noConversion"/>
  </si>
  <si>
    <t>(2) 제공받은 보증</t>
    <phoneticPr fontId="193" type="noConversion"/>
  </si>
  <si>
    <t>보증제공자</t>
  </si>
  <si>
    <t> 내용</t>
  </si>
  <si>
    <t>보증기간</t>
  </si>
  <si>
    <t>부보금액</t>
  </si>
  <si>
    <t>(특수관계자)</t>
  </si>
  <si>
    <t>주주(김지영)</t>
  </si>
  <si>
    <t>차입금 지급보증</t>
  </si>
  <si>
    <t>차입금 상환시까지</t>
  </si>
  <si>
    <t>(기타)</t>
  </si>
  <si>
    <t>신용보증기금</t>
  </si>
  <si>
    <t>서울보증보험㈜</t>
  </si>
  <si>
    <t>이행보증</t>
  </si>
  <si>
    <t>계약종료시까지</t>
  </si>
  <si>
    <t>유동성리스부채</t>
  </si>
  <si>
    <t>유동성리스부채</t>
    <phoneticPr fontId="193" type="noConversion"/>
  </si>
  <si>
    <t>2018.01.01(당기초)</t>
  </si>
  <si>
    <t>종업원급여재측정요소</t>
  </si>
  <si>
    <t xml:space="preserve">    유상증자</t>
  </si>
  <si>
    <t xml:space="preserve">    주식보상비용</t>
  </si>
  <si>
    <t xml:space="preserve">                                          </t>
    <phoneticPr fontId="193" type="noConversion"/>
  </si>
  <si>
    <t>미수금</t>
    <phoneticPr fontId="193" type="noConversion"/>
  </si>
  <si>
    <t>합계</t>
    <phoneticPr fontId="193" type="noConversion"/>
  </si>
  <si>
    <t>고객과의 계약에서 생기는 수익</t>
  </si>
  <si>
    <t>총 수익</t>
  </si>
  <si>
    <t>(2) 고객과의 계약에서 생기는 수익의 구분</t>
  </si>
  <si>
    <t>수익인식 시점</t>
  </si>
  <si>
    <t>한 시점에 인식</t>
  </si>
  <si>
    <t>전기말</t>
    <phoneticPr fontId="193" type="noConversion"/>
  </si>
  <si>
    <t>(3) 기타포괄손익으로 인식하는 재측정요소는 다음과 같습니다.</t>
    <phoneticPr fontId="193" type="noConversion"/>
  </si>
  <si>
    <t>EUR</t>
  </si>
  <si>
    <t>유동성장기차입금 상환</t>
    <phoneticPr fontId="194" type="noConversion"/>
  </si>
  <si>
    <t>기타비유동금융자산의 감소</t>
    <phoneticPr fontId="6" type="noConversion"/>
  </si>
  <si>
    <t xml:space="preserve">        [14700]재고 자산 평가환입</t>
  </si>
  <si>
    <t>주식선택권차변</t>
    <phoneticPr fontId="17" type="noConversion"/>
  </si>
  <si>
    <t>기타비유동금융자산의 증가</t>
    <phoneticPr fontId="6" type="noConversion"/>
  </si>
  <si>
    <t>유 형 자산처분손실</t>
    <phoneticPr fontId="6" type="noConversion"/>
  </si>
  <si>
    <t>유 형 자산처분손실</t>
    <phoneticPr fontId="6" type="noConversion"/>
  </si>
  <si>
    <t>유동성장기차입금</t>
  </si>
  <si>
    <t>단기금융상품의 감소</t>
    <phoneticPr fontId="6" type="noConversion"/>
  </si>
  <si>
    <t>유형자산의 처분</t>
    <phoneticPr fontId="6" type="noConversion"/>
  </si>
  <si>
    <t>당기순이익</t>
    <phoneticPr fontId="17" type="noConversion"/>
  </si>
  <si>
    <t>유형자산처분손실</t>
    <phoneticPr fontId="6" type="noConversion"/>
  </si>
  <si>
    <t>환입</t>
    <phoneticPr fontId="17" type="noConversion"/>
  </si>
  <si>
    <t>손실</t>
    <phoneticPr fontId="17" type="noConversion"/>
  </si>
  <si>
    <t>당기말</t>
    <phoneticPr fontId="6" type="noConversion"/>
  </si>
  <si>
    <t>당기</t>
    <phoneticPr fontId="193" type="noConversion"/>
  </si>
  <si>
    <t>인력개발비</t>
    <phoneticPr fontId="6" type="noConversion"/>
  </si>
  <si>
    <t>유형자산처분이익</t>
    <phoneticPr fontId="17" type="noConversion"/>
  </si>
  <si>
    <t>유형자산처분손실</t>
    <phoneticPr fontId="17" type="noConversion"/>
  </si>
  <si>
    <t>유형자산처분손실</t>
    <phoneticPr fontId="17" type="noConversion"/>
  </si>
  <si>
    <t>합계</t>
    <phoneticPr fontId="193" type="noConversion"/>
  </si>
  <si>
    <t>건물</t>
  </si>
  <si>
    <t>취득가액:</t>
  </si>
  <si>
    <t> 당기초</t>
  </si>
  <si>
    <t> 기중 변동분</t>
  </si>
  <si>
    <t> 당기말</t>
  </si>
  <si>
    <t>감가상각누계액 </t>
  </si>
  <si>
    <t> 기중변동분</t>
  </si>
  <si>
    <t> 감가상각비</t>
  </si>
  <si>
    <t>순장부금액:</t>
  </si>
  <si>
    <t>당기증감분</t>
  </si>
  <si>
    <t>지급리스료(주1)</t>
  </si>
  <si>
    <t>유동리스부채</t>
  </si>
  <si>
    <t>비유동리스부채</t>
  </si>
  <si>
    <t>(주1) 고정리스료로만 구성되어 있습니다.</t>
  </si>
  <si>
    <t>1년 초과 5년 미만</t>
  </si>
  <si>
    <t>합 계</t>
  </si>
  <si>
    <t>현금유출예상액</t>
  </si>
  <si>
    <t>(단위: 천원)</t>
  </si>
  <si>
    <t>영업비용</t>
  </si>
  <si>
    <t> 사용권자산의 상각</t>
  </si>
  <si>
    <t> 단기리스료</t>
  </si>
  <si>
    <t> 소액리스료</t>
  </si>
  <si>
    <t> 리스부채 이자비용</t>
  </si>
  <si>
    <t>재공품</t>
    <phoneticPr fontId="6" type="noConversion"/>
  </si>
  <si>
    <t>재공품</t>
    <phoneticPr fontId="6" type="noConversion"/>
  </si>
  <si>
    <t>재공품</t>
    <phoneticPr fontId="17" type="noConversion"/>
  </si>
  <si>
    <t>(주)엠에이치메디</t>
    <phoneticPr fontId="193" type="noConversion"/>
  </si>
  <si>
    <t>의료장비 제조</t>
    <phoneticPr fontId="193" type="noConversion"/>
  </si>
  <si>
    <t>당기손익-공정가치금융자산</t>
    <phoneticPr fontId="6" type="noConversion"/>
  </si>
  <si>
    <t>당기손익-측정금융자산의 증가</t>
    <phoneticPr fontId="6" type="noConversion"/>
  </si>
  <si>
    <t>기부금</t>
    <phoneticPr fontId="6" type="noConversion"/>
  </si>
  <si>
    <t>제품폐기</t>
    <phoneticPr fontId="17" type="noConversion"/>
  </si>
  <si>
    <t>종속기업투자주식손상차손환입</t>
    <phoneticPr fontId="6" type="noConversion"/>
  </si>
  <si>
    <t>손상차손환입</t>
    <phoneticPr fontId="17" type="noConversion"/>
  </si>
  <si>
    <t>종속기업투자주식손상환입</t>
    <phoneticPr fontId="6" type="noConversion"/>
  </si>
  <si>
    <t>당기말</t>
    <phoneticPr fontId="193" type="noConversion"/>
  </si>
  <si>
    <t>선급금</t>
    <phoneticPr fontId="193" type="noConversion"/>
  </si>
  <si>
    <t>미수수익대손충당금</t>
    <phoneticPr fontId="6" type="noConversion"/>
  </si>
  <si>
    <t>관계기업투자</t>
    <phoneticPr fontId="6" type="noConversion"/>
  </si>
  <si>
    <t>관계기업투자주식의 증가</t>
    <phoneticPr fontId="6" type="noConversion"/>
  </si>
  <si>
    <t>인력개발비</t>
  </si>
  <si>
    <t>미수수익</t>
    <phoneticPr fontId="193" type="noConversion"/>
  </si>
  <si>
    <t>이월결손금</t>
  </si>
  <si>
    <t xml:space="preserve"> 주 . 임.종단기채권</t>
    <phoneticPr fontId="6" type="noConversion"/>
  </si>
  <si>
    <t>`</t>
    <phoneticPr fontId="17" type="noConversion"/>
  </si>
  <si>
    <t xml:space="preserve">   </t>
    <phoneticPr fontId="193" type="noConversion"/>
  </si>
  <si>
    <t>자              산</t>
  </si>
  <si>
    <t>Ⅰ  . 유    동   자   산</t>
  </si>
  <si>
    <t xml:space="preserve"> (1) 당    좌   자   산</t>
  </si>
  <si>
    <t xml:space="preserve">      [11700]대  손  충  당  금</t>
  </si>
  <si>
    <t xml:space="preserve">      [13400]주 . 임.종단기채권</t>
  </si>
  <si>
    <t xml:space="preserve"> (2) 재    고   자   산</t>
  </si>
  <si>
    <t>Ⅱ  . 비  유  동  자  산</t>
  </si>
  <si>
    <t xml:space="preserve"> (1) 투    자   자   산</t>
  </si>
  <si>
    <t xml:space="preserve"> (2) 유    형   자   산</t>
  </si>
  <si>
    <t xml:space="preserve"> (3) 무    형   자   산</t>
  </si>
  <si>
    <t xml:space="preserve"> (4) 기 타 비 유 동자산</t>
  </si>
  <si>
    <t>자    산   총   계</t>
  </si>
  <si>
    <t>부              채</t>
  </si>
  <si>
    <t>Ⅰ  . 유    동   부   채</t>
  </si>
  <si>
    <t>Ⅱ  . 비  유  동  부  채</t>
  </si>
  <si>
    <t>부    채   총   계</t>
  </si>
  <si>
    <t>자              본</t>
  </si>
  <si>
    <t>Ⅰ  . 자      본      금</t>
  </si>
  <si>
    <t>Ⅱ  . 자  본  잉  여  금</t>
  </si>
  <si>
    <t>Ⅲ  . 자    본   조   정</t>
  </si>
  <si>
    <t>Ⅳ  . 기타포괄손익누계액</t>
  </si>
  <si>
    <t>Ⅴ  . 결      손      금</t>
  </si>
  <si>
    <t>미  처 리 결 손 금</t>
  </si>
  <si>
    <t>자    본   총   계</t>
  </si>
  <si>
    <t>부 채 및 자 본총계</t>
  </si>
  <si>
    <t xml:space="preserve">      [85100]인  력  개  발  비</t>
  </si>
  <si>
    <t xml:space="preserve">      [93300]기      부      금</t>
  </si>
  <si>
    <t>단기대여금의 증가</t>
    <phoneticPr fontId="6" type="noConversion"/>
  </si>
  <si>
    <t>재공품</t>
  </si>
  <si>
    <t xml:space="preserve">        [14700]타계정에서  대체액</t>
  </si>
  <si>
    <t xml:space="preserve">      [91400]유 형 자산처분이익</t>
  </si>
  <si>
    <t>(3)결손금처리계산서</t>
    <phoneticPr fontId="193" type="noConversion"/>
  </si>
  <si>
    <t>1. 미처리결손금</t>
  </si>
  <si>
    <t>  전기이월미처리결손금</t>
  </si>
  <si>
    <t>  당기순이익(손실)</t>
  </si>
  <si>
    <t>  순확정급여부채의 재측정요소</t>
  </si>
  <si>
    <t>2. 결손금처리액</t>
  </si>
  <si>
    <t>3. 차기이월미처리결손금</t>
  </si>
  <si>
    <t>합계</t>
    <phoneticPr fontId="193" type="noConversion"/>
  </si>
  <si>
    <t>단기금융상품</t>
    <phoneticPr fontId="193" type="noConversion"/>
  </si>
  <si>
    <t>USD</t>
    <phoneticPr fontId="193" type="noConversion"/>
  </si>
  <si>
    <t>유동자산</t>
    <phoneticPr fontId="212" type="noConversion"/>
  </si>
  <si>
    <t>10300</t>
  </si>
  <si>
    <t>10600</t>
  </si>
  <si>
    <t>기타단기금융상품</t>
  </si>
  <si>
    <t>10800</t>
  </si>
  <si>
    <t>10900</t>
  </si>
  <si>
    <t>외상매출금_대손충당금</t>
    <phoneticPr fontId="212" type="noConversion"/>
  </si>
  <si>
    <t>11600</t>
  </si>
  <si>
    <t>11700</t>
  </si>
  <si>
    <t>미수수익_대손충당금</t>
    <phoneticPr fontId="212" type="noConversion"/>
  </si>
  <si>
    <t>12000</t>
  </si>
  <si>
    <t>12100</t>
  </si>
  <si>
    <t>미수금_대손충당금</t>
    <phoneticPr fontId="212" type="noConversion"/>
  </si>
  <si>
    <t>13100</t>
  </si>
  <si>
    <t>13200</t>
  </si>
  <si>
    <t>선급금_대손충당금</t>
    <phoneticPr fontId="212" type="noConversion"/>
  </si>
  <si>
    <t>13300</t>
  </si>
  <si>
    <t>13400</t>
  </si>
  <si>
    <t>주임종단기채권</t>
  </si>
  <si>
    <t>13500</t>
  </si>
  <si>
    <t>부가세대급금</t>
  </si>
  <si>
    <t>13600</t>
  </si>
  <si>
    <t>선납법인세</t>
  </si>
  <si>
    <t>16000</t>
  </si>
  <si>
    <t>상품재고자산평가충당금</t>
  </si>
  <si>
    <t>14600</t>
  </si>
  <si>
    <t>14700</t>
  </si>
  <si>
    <t>16100</t>
  </si>
  <si>
    <t>제품재고자산평가충당금</t>
  </si>
  <si>
    <t>14900</t>
  </si>
  <si>
    <t>16200</t>
  </si>
  <si>
    <t>원재료재고자산평가충당금</t>
  </si>
  <si>
    <t>15000</t>
    <phoneticPr fontId="212" type="noConversion"/>
  </si>
  <si>
    <t>부재료</t>
    <phoneticPr fontId="212" type="noConversion"/>
  </si>
  <si>
    <t>15100</t>
    <phoneticPr fontId="212" type="noConversion"/>
  </si>
  <si>
    <t>부재료재고자산평가충당금</t>
    <phoneticPr fontId="212" type="noConversion"/>
  </si>
  <si>
    <t>15700</t>
  </si>
  <si>
    <t>비유동자산</t>
    <phoneticPr fontId="212" type="noConversion"/>
  </si>
  <si>
    <t>17800</t>
  </si>
  <si>
    <t>투자유가증권</t>
  </si>
  <si>
    <t>20600</t>
  </si>
  <si>
    <t>20700</t>
  </si>
  <si>
    <t>감가상각누계액기계장치</t>
  </si>
  <si>
    <t>20800</t>
  </si>
  <si>
    <t>20900</t>
  </si>
  <si>
    <t>감가상각누계액차량운반구</t>
  </si>
  <si>
    <t>21000</t>
  </si>
  <si>
    <t>21100</t>
  </si>
  <si>
    <t>감가상각누계액공구와기구</t>
  </si>
  <si>
    <t>21200</t>
  </si>
  <si>
    <t>21300</t>
  </si>
  <si>
    <t>감가상각누계액비품</t>
  </si>
  <si>
    <t>21900</t>
  </si>
  <si>
    <t>22000</t>
  </si>
  <si>
    <t>감가상각누계액인테리어</t>
  </si>
  <si>
    <t>22300</t>
  </si>
  <si>
    <t>22400</t>
  </si>
  <si>
    <t>감가상각누계액사용권자산</t>
  </si>
  <si>
    <t>23200</t>
  </si>
  <si>
    <t>23300</t>
  </si>
  <si>
    <t>23900</t>
  </si>
  <si>
    <t>23400</t>
    <phoneticPr fontId="212" type="noConversion"/>
  </si>
  <si>
    <t>영업권</t>
  </si>
  <si>
    <t>24000</t>
  </si>
  <si>
    <t>18800</t>
  </si>
  <si>
    <t>19000</t>
  </si>
  <si>
    <t>19100</t>
    <phoneticPr fontId="212" type="noConversion"/>
  </si>
  <si>
    <t>유동부채</t>
    <phoneticPr fontId="212" type="noConversion"/>
  </si>
  <si>
    <t>25100</t>
  </si>
  <si>
    <t>25300</t>
  </si>
  <si>
    <t>25400</t>
  </si>
  <si>
    <t>25500</t>
  </si>
  <si>
    <t>25900</t>
  </si>
  <si>
    <t>26000</t>
  </si>
  <si>
    <t>26200</t>
  </si>
  <si>
    <t>27500</t>
  </si>
  <si>
    <t>28100</t>
  </si>
  <si>
    <t>28200</t>
  </si>
  <si>
    <t>28300</t>
  </si>
  <si>
    <t>비유동부채</t>
    <phoneticPr fontId="212" type="noConversion"/>
  </si>
  <si>
    <t>29300</t>
  </si>
  <si>
    <t>29500</t>
  </si>
  <si>
    <t>퇴직급여충당금</t>
  </si>
  <si>
    <t>31100</t>
  </si>
  <si>
    <t>31200</t>
  </si>
  <si>
    <t>사채상환할증금</t>
  </si>
  <si>
    <t>31300</t>
  </si>
  <si>
    <t>신주인수권조정</t>
  </si>
  <si>
    <t>31500</t>
  </si>
  <si>
    <t>자본</t>
    <phoneticPr fontId="212" type="noConversion"/>
  </si>
  <si>
    <t>33100</t>
  </si>
  <si>
    <t>33200</t>
  </si>
  <si>
    <t>34100</t>
  </si>
  <si>
    <t>34300</t>
  </si>
  <si>
    <t>34400</t>
  </si>
  <si>
    <t>35100</t>
  </si>
  <si>
    <t>주식할인발행차금</t>
    <phoneticPr fontId="212" type="noConversion"/>
  </si>
  <si>
    <t>39700</t>
  </si>
  <si>
    <t>39800</t>
  </si>
  <si>
    <t>해외사업환산차이</t>
  </si>
  <si>
    <t>37600</t>
  </si>
  <si>
    <t>37700</t>
  </si>
  <si>
    <t>Code</t>
    <phoneticPr fontId="213" type="noConversion"/>
  </si>
  <si>
    <t>40100</t>
  </si>
  <si>
    <t>40400</t>
  </si>
  <si>
    <t>45500</t>
  </si>
  <si>
    <t>45100</t>
  </si>
  <si>
    <t>80200</t>
  </si>
  <si>
    <t>80800</t>
  </si>
  <si>
    <t>81000</t>
  </si>
  <si>
    <t>81100</t>
  </si>
  <si>
    <t>81200</t>
  </si>
  <si>
    <t>81300</t>
  </si>
  <si>
    <t>81400</t>
  </si>
  <si>
    <t>81500</t>
  </si>
  <si>
    <t>81700</t>
  </si>
  <si>
    <t>81800</t>
  </si>
  <si>
    <t>81900</t>
  </si>
  <si>
    <t>82000</t>
  </si>
  <si>
    <t>82100</t>
  </si>
  <si>
    <t>82200</t>
  </si>
  <si>
    <t>82300</t>
  </si>
  <si>
    <t>82400</t>
  </si>
  <si>
    <t>82500</t>
  </si>
  <si>
    <t>82600</t>
  </si>
  <si>
    <t>82800</t>
  </si>
  <si>
    <t>82900</t>
  </si>
  <si>
    <t>83000</t>
  </si>
  <si>
    <t>83100</t>
  </si>
  <si>
    <t>83300</t>
  </si>
  <si>
    <t>83500</t>
  </si>
  <si>
    <t>83700</t>
  </si>
  <si>
    <t>83800</t>
  </si>
  <si>
    <t>83900</t>
  </si>
  <si>
    <t>84000</t>
  </si>
  <si>
    <t>85100</t>
  </si>
  <si>
    <t>93000</t>
  </si>
  <si>
    <t>93300</t>
  </si>
  <si>
    <t>95200</t>
  </si>
  <si>
    <t>96000</t>
  </si>
  <si>
    <t>90100</t>
  </si>
  <si>
    <t>90700</t>
  </si>
  <si>
    <t>91000</t>
  </si>
  <si>
    <t>93100</t>
  </si>
  <si>
    <t>93200</t>
  </si>
  <si>
    <t>93500</t>
  </si>
  <si>
    <t>99800</t>
  </si>
  <si>
    <t>10800</t>
    <phoneticPr fontId="6" type="noConversion"/>
  </si>
  <si>
    <t>40500</t>
    <phoneticPr fontId="213" type="noConversion"/>
  </si>
  <si>
    <t>서비스매출</t>
    <phoneticPr fontId="213" type="noConversion"/>
  </si>
  <si>
    <t>40600</t>
    <phoneticPr fontId="213" type="noConversion"/>
  </si>
  <si>
    <t>식음료매출</t>
    <phoneticPr fontId="213" type="noConversion"/>
  </si>
  <si>
    <t>상품매출원가</t>
  </si>
  <si>
    <t>45600</t>
    <phoneticPr fontId="213" type="noConversion"/>
  </si>
  <si>
    <t>서비스매출원가</t>
    <phoneticPr fontId="213" type="noConversion"/>
  </si>
  <si>
    <t>45700</t>
    <phoneticPr fontId="213" type="noConversion"/>
  </si>
  <si>
    <t>식음료매출원가</t>
    <phoneticPr fontId="213" type="noConversion"/>
  </si>
  <si>
    <t>제조원가</t>
    <phoneticPr fontId="14" type="noConversion"/>
  </si>
  <si>
    <t>50100</t>
  </si>
  <si>
    <t>원재료비</t>
  </si>
  <si>
    <t>50300</t>
  </si>
  <si>
    <t>50500</t>
  </si>
  <si>
    <t>51000</t>
  </si>
  <si>
    <t>51100</t>
  </si>
  <si>
    <t>51200</t>
  </si>
  <si>
    <t>51400</t>
  </si>
  <si>
    <t>51600</t>
  </si>
  <si>
    <t>전력비</t>
  </si>
  <si>
    <t>51700</t>
  </si>
  <si>
    <t>51800</t>
  </si>
  <si>
    <t>51900</t>
  </si>
  <si>
    <t>52000</t>
  </si>
  <si>
    <t>52100</t>
  </si>
  <si>
    <t>52400</t>
  </si>
  <si>
    <t>52500</t>
  </si>
  <si>
    <t>52600</t>
  </si>
  <si>
    <t>52900</t>
  </si>
  <si>
    <t>53000</t>
  </si>
  <si>
    <t>53100</t>
  </si>
  <si>
    <t>53300</t>
  </si>
  <si>
    <t>외주가공비</t>
  </si>
  <si>
    <t>53700</t>
  </si>
  <si>
    <t>54000</t>
  </si>
  <si>
    <t>판매관리비</t>
  </si>
  <si>
    <t>80300</t>
  </si>
  <si>
    <t>85000</t>
  </si>
  <si>
    <t>85200</t>
    <phoneticPr fontId="213" type="noConversion"/>
  </si>
  <si>
    <t>반품충당비용</t>
    <phoneticPr fontId="213" type="noConversion"/>
  </si>
  <si>
    <t>85300</t>
    <phoneticPr fontId="213" type="noConversion"/>
  </si>
  <si>
    <t>보관료</t>
    <phoneticPr fontId="213" type="noConversion"/>
  </si>
  <si>
    <t>영업외수익</t>
  </si>
  <si>
    <t>91100</t>
  </si>
  <si>
    <t>상품평가손실환입</t>
  </si>
  <si>
    <t>91200</t>
  </si>
  <si>
    <t>제품평가손실환입</t>
  </si>
  <si>
    <t>92000</t>
  </si>
  <si>
    <t>원재료평가환입</t>
  </si>
  <si>
    <t>영업외비용</t>
  </si>
  <si>
    <t>93600</t>
  </si>
  <si>
    <t>상품평가손실</t>
  </si>
  <si>
    <t>기부금</t>
  </si>
  <si>
    <t>93600</t>
    <phoneticPr fontId="213" type="noConversion"/>
  </si>
  <si>
    <t>유형자산처분손실</t>
    <phoneticPr fontId="213" type="noConversion"/>
  </si>
  <si>
    <t>94400</t>
  </si>
  <si>
    <t>원재료평가손실</t>
  </si>
  <si>
    <t>법인세등</t>
  </si>
  <si>
    <t>85300</t>
  </si>
  <si>
    <t>39700</t>
    <phoneticPr fontId="6" type="noConversion"/>
  </si>
  <si>
    <t>28100</t>
    <phoneticPr fontId="6" type="noConversion"/>
  </si>
  <si>
    <t>1. 일반사항</t>
    <phoneticPr fontId="214" type="noConversion"/>
  </si>
  <si>
    <t>주식회사 울트라브이(이하 "회사" )은 화장품, 의약품, 의료기기 등을 제조 및 판매를</t>
    <phoneticPr fontId="214" type="noConversion"/>
  </si>
  <si>
    <t>주목적 사업으로 하여 2012년 1월 25일 설립되었습니다. 회사의 당기말 현재 자본금은</t>
    <phoneticPr fontId="214" type="noConversion"/>
  </si>
  <si>
    <t xml:space="preserve">백만원으로 </t>
    <phoneticPr fontId="214" type="noConversion"/>
  </si>
  <si>
    <t>당기말 현재 발행된 주식수는 보통주</t>
  </si>
  <si>
    <t>당기말 현재 발행된 주식수는 보통주</t>
    <phoneticPr fontId="214" type="noConversion"/>
  </si>
  <si>
    <t>주인 바, 주요 주주의 현황은 다음과 같습니다.</t>
    <phoneticPr fontId="214" type="noConversion"/>
  </si>
  <si>
    <t>2. 중요한 회계정책</t>
    <phoneticPr fontId="214" type="noConversion"/>
  </si>
  <si>
    <t>생략 - DSD 직접 반영</t>
    <phoneticPr fontId="214" type="noConversion"/>
  </si>
  <si>
    <t xml:space="preserve">3. 중요한 회계추정 및 가정 </t>
    <phoneticPr fontId="214" type="noConversion"/>
  </si>
  <si>
    <t xml:space="preserve">4. 재무위험관리 </t>
    <phoneticPr fontId="214" type="noConversion"/>
  </si>
  <si>
    <t>4.1.1 시장위험</t>
    <phoneticPr fontId="214" type="noConversion"/>
  </si>
  <si>
    <t>5. 금융상품 공정가치</t>
    <phoneticPr fontId="214" type="noConversion"/>
  </si>
  <si>
    <t>전기말</t>
    <phoneticPr fontId="214" type="noConversion"/>
  </si>
  <si>
    <t>리스부채(유동성리스부채 포함)</t>
    <phoneticPr fontId="214" type="noConversion"/>
  </si>
  <si>
    <t>장기차입금(유동성장기차입금 포함)</t>
    <phoneticPr fontId="214" type="noConversion"/>
  </si>
  <si>
    <t>6. 범주별 금융상품</t>
    <phoneticPr fontId="214" type="noConversion"/>
  </si>
  <si>
    <t>(1) 금융상품 범주별 장부금액</t>
    <phoneticPr fontId="214" type="noConversion"/>
  </si>
  <si>
    <t>단기금융상품</t>
    <phoneticPr fontId="214" type="noConversion"/>
  </si>
  <si>
    <t>기타부채:</t>
    <phoneticPr fontId="214" type="noConversion"/>
  </si>
  <si>
    <t>(2) 금융상품 범주별 순손익</t>
  </si>
  <si>
    <t>기타부채</t>
  </si>
  <si>
    <t>7. 현금및현금성자산 </t>
    <phoneticPr fontId="214" type="noConversion"/>
  </si>
  <si>
    <t>8. 매출채권및기타채권</t>
    <phoneticPr fontId="214" type="noConversion"/>
  </si>
  <si>
    <t>합병</t>
    <phoneticPr fontId="214" type="noConversion"/>
  </si>
  <si>
    <t>9. 재고자산</t>
  </si>
  <si>
    <t>보고기간종료일 현재 재고자산의 내역은 다음과 같습니다.</t>
    <phoneticPr fontId="214" type="noConversion"/>
  </si>
  <si>
    <t>백만원)을 인식하였습니다.</t>
    <phoneticPr fontId="214" type="noConversion"/>
  </si>
  <si>
    <t>영업활동으로인한 자산·부채의 변동</t>
  </si>
  <si>
    <t>영업활동</t>
    <phoneticPr fontId="17" type="noConversion"/>
  </si>
  <si>
    <t>10. 기타유동자산</t>
    <phoneticPr fontId="214" type="noConversion"/>
  </si>
  <si>
    <t>보고기간종료일 현재 기타유동자산의 내역은 다음과 같습니다.</t>
    <phoneticPr fontId="214" type="noConversion"/>
  </si>
  <si>
    <t>보고기간종료일 현재 기타유동금융자산의 내역은 다음과 같습니다.</t>
    <phoneticPr fontId="214" type="noConversion"/>
  </si>
  <si>
    <t>(1) 기타유동금융자산</t>
    <phoneticPr fontId="232" type="noConversion"/>
  </si>
  <si>
    <t>11. 기타금융자산</t>
    <phoneticPr fontId="214" type="noConversion"/>
  </si>
  <si>
    <t>(2) 기타비유동금융자산</t>
    <phoneticPr fontId="232" type="noConversion"/>
  </si>
  <si>
    <t>보고기간종료일 현재 기타비유동금융자산의 내역은 다음과 같습니다.</t>
    <phoneticPr fontId="232" type="noConversion"/>
  </si>
  <si>
    <t>임차보증금(유동)</t>
  </si>
  <si>
    <t>임차보증금(유동)</t>
    <phoneticPr fontId="232" type="noConversion"/>
  </si>
  <si>
    <t>임차보증금(비유동)</t>
    <phoneticPr fontId="232" type="noConversion"/>
  </si>
  <si>
    <t>임차보증금(유동)</t>
    <phoneticPr fontId="6" type="noConversion"/>
  </si>
  <si>
    <t>단기대여금</t>
    <phoneticPr fontId="232" type="noConversion"/>
  </si>
  <si>
    <t>인테리어</t>
    <phoneticPr fontId="232" type="noConversion"/>
  </si>
  <si>
    <t>(3) 보고기간종료일 현재 기초자산 유형별 사용권자산의 내역은 다음과 같습니다.</t>
    <phoneticPr fontId="193" type="noConversion"/>
  </si>
  <si>
    <t>(1) 보고기간종료일 현재 무형자산의 내역은 다음과 같습니다.</t>
    <phoneticPr fontId="232" type="noConversion"/>
  </si>
  <si>
    <t>취득원가</t>
  </si>
  <si>
    <t>취득원가</t>
    <phoneticPr fontId="232" type="noConversion"/>
  </si>
  <si>
    <t>(2) 무형자산 장부가액의 변동내용은 다음과 같습니다.</t>
    <phoneticPr fontId="232" type="noConversion"/>
  </si>
  <si>
    <t>cf검증</t>
  </si>
  <si>
    <t>(3) 보고기간종료일 현재 회사의 중요한 개별 무형자산인 개발비의 내역은 다음과 같습니다.</t>
    <phoneticPr fontId="193" type="noConversion"/>
  </si>
  <si>
    <t>(4) 당기와 전기 중 비용으로 인식한 연구 개발 관련 지출 총액은 다음과 같습니다.</t>
    <phoneticPr fontId="193" type="noConversion"/>
  </si>
  <si>
    <t>잔여 상각기간</t>
    <phoneticPr fontId="232" type="noConversion"/>
  </si>
  <si>
    <t>만료일</t>
    <phoneticPr fontId="232" type="noConversion"/>
  </si>
  <si>
    <t>상각 개시일</t>
    <phoneticPr fontId="232" type="noConversion"/>
  </si>
  <si>
    <t>기준일</t>
    <phoneticPr fontId="232" type="noConversion"/>
  </si>
  <si>
    <t>(1) 보고기간종료일 현재 종속기업, 관계기업에 대한 투자자산 내역은 다음과 같습니다.</t>
    <phoneticPr fontId="232" type="noConversion"/>
  </si>
  <si>
    <t>구분</t>
    <phoneticPr fontId="232" type="noConversion"/>
  </si>
  <si>
    <t>ULTRA V SINGAPORE PTE.LTD</t>
    <phoneticPr fontId="232" type="noConversion"/>
  </si>
  <si>
    <t xml:space="preserve">싱가포르	</t>
    <phoneticPr fontId="232" type="noConversion"/>
  </si>
  <si>
    <t>종속기업</t>
    <phoneticPr fontId="232" type="noConversion"/>
  </si>
  <si>
    <t>관계기업</t>
    <phoneticPr fontId="232" type="noConversion"/>
  </si>
  <si>
    <t>보고기간종료일 현재 매입채무및기타채무의 내역은 다음과 같습니다.</t>
    <phoneticPr fontId="232" type="noConversion"/>
  </si>
  <si>
    <t>보고기간종료일 현재 환불부채의 내역은 다음과 같습니다.</t>
    <phoneticPr fontId="232" type="noConversion"/>
  </si>
  <si>
    <t>회사의 환불부채는 판매후 일정기간 반품할 수 있는 고객의 권리와 관련하여 고객이 반품할 것으로 추정되는 금액이며, 동 환불부채에 상응하여 수익인식금액이 조정됩니다.</t>
    <phoneticPr fontId="232" type="noConversion"/>
  </si>
  <si>
    <t>회사는 반품수량을 추정하기 위하여 누적 역사적 경험을 사용하고 있으며, 포트폴리오 수준에서 기댓값모형을 사용하고 있습니다.</t>
    <phoneticPr fontId="232" type="noConversion"/>
  </si>
  <si>
    <t>(1) 보고기간종료일 현재 장단기차입금의 내역은 다음과 같습니다.</t>
    <phoneticPr fontId="232" type="noConversion"/>
  </si>
  <si>
    <t>합 계</t>
    <phoneticPr fontId="193" type="noConversion"/>
  </si>
  <si>
    <t>Ref. 리스 결산파일</t>
    <phoneticPr fontId="232" type="noConversion"/>
  </si>
  <si>
    <t>(3) 당사가 제공받는 리스로 인하여 미래에 발생할 현금유출 예상액은 다음과 같습니다.</t>
    <phoneticPr fontId="232" type="noConversion"/>
  </si>
  <si>
    <t>(4) 당기 중 리스계약에서 인식한 수익과 비용은 다음과 같습니다.</t>
    <phoneticPr fontId="232" type="noConversion"/>
  </si>
  <si>
    <t>법인세 파일 참조</t>
    <phoneticPr fontId="214" type="noConversion"/>
  </si>
  <si>
    <t>당기</t>
    <phoneticPr fontId="232" type="noConversion"/>
  </si>
  <si>
    <t>CF검증</t>
    <phoneticPr fontId="232" type="noConversion"/>
  </si>
  <si>
    <t xml:space="preserve">(단위 : 주, 원) </t>
    <phoneticPr fontId="232" type="noConversion"/>
  </si>
  <si>
    <t>액면금액</t>
    <phoneticPr fontId="232" type="noConversion"/>
  </si>
  <si>
    <t>주식기준보상 결산파일 참조</t>
    <phoneticPr fontId="214" type="noConversion"/>
  </si>
  <si>
    <t>전기</t>
    <phoneticPr fontId="232" type="noConversion"/>
  </si>
  <si>
    <t xml:space="preserve">(1) 회사가 수익으로 인식한 금액은 다음과 같습니다. </t>
    <phoneticPr fontId="232" type="noConversion"/>
  </si>
  <si>
    <t>회사는 재화나 용역을 한 시점에 이전함으로써 수익을 창출합니다.</t>
    <phoneticPr fontId="232" type="noConversion"/>
  </si>
  <si>
    <t>3개월</t>
  </si>
  <si>
    <t>3개월</t>
    <phoneticPr fontId="232" type="noConversion"/>
  </si>
  <si>
    <t>누적</t>
  </si>
  <si>
    <t>누적</t>
    <phoneticPr fontId="232" type="noConversion"/>
  </si>
  <si>
    <t>원재료 및 소모품사용</t>
    <phoneticPr fontId="193" type="noConversion"/>
  </si>
  <si>
    <t>제품 및 재공품의 변동</t>
    <phoneticPr fontId="232" type="noConversion"/>
  </si>
  <si>
    <t>//전기 숫자</t>
    <phoneticPr fontId="232" type="noConversion"/>
  </si>
  <si>
    <t>특관자 파일 참조</t>
    <phoneticPr fontId="214" type="noConversion"/>
  </si>
  <si>
    <t>4. 재무보고서가 이 기준서의 적용범위에 해당하는 지배기업의 연결재무제표와 지배기업의 별도재무제표를 모두 포함하는 경우에 부문정보는 연결재무제표에서만 요구된다.</t>
    <phoneticPr fontId="232" type="noConversion"/>
  </si>
  <si>
    <t>&gt;&gt;별도에서 공시 x</t>
    <phoneticPr fontId="232" type="noConversion"/>
  </si>
  <si>
    <t>&lt;K-IFRS_제1108호_영업부문&gt;</t>
    <phoneticPr fontId="232" type="noConversion"/>
  </si>
  <si>
    <t>(2) 영업활동으로 인한 자산ㆍ부채의 변동</t>
    <phoneticPr fontId="232" type="noConversion"/>
  </si>
  <si>
    <t>기타부채</t>
    <phoneticPr fontId="214" type="noConversion"/>
  </si>
  <si>
    <t>합 계</t>
    <phoneticPr fontId="214" type="noConversion"/>
  </si>
  <si>
    <t>/리스이자비용</t>
    <phoneticPr fontId="214" type="noConversion"/>
  </si>
  <si>
    <t>(단위: 주)</t>
  </si>
  <si>
    <t>내용</t>
  </si>
  <si>
    <t>시작일</t>
    <phoneticPr fontId="232" type="noConversion"/>
  </si>
  <si>
    <t>종료일</t>
    <phoneticPr fontId="232" type="noConversion"/>
  </si>
  <si>
    <t>일수</t>
  </si>
  <si>
    <t>유통보통주식수</t>
    <phoneticPr fontId="232" type="noConversion"/>
  </si>
  <si>
    <t>적수</t>
    <phoneticPr fontId="232" type="noConversion"/>
  </si>
  <si>
    <t>총적수/총일수</t>
  </si>
  <si>
    <t>주식매수선택권 행사</t>
    <phoneticPr fontId="232" type="noConversion"/>
  </si>
  <si>
    <t>구     분</t>
  </si>
  <si>
    <t> 전환가정효과</t>
  </si>
  <si>
    <t>전환가정 시 당기순이익(손실)</t>
  </si>
  <si>
    <t>희석성 잠재적 보통주식수(*)</t>
  </si>
  <si>
    <t>조정된 가중평균주식수</t>
  </si>
  <si>
    <t>희석주당이익(손실)</t>
  </si>
  <si>
    <t>희석효과</t>
    <phoneticPr fontId="232" type="noConversion"/>
  </si>
  <si>
    <t>(2) 희석주당이익(손실)</t>
    <phoneticPr fontId="232" type="noConversion"/>
  </si>
  <si>
    <t>가. 당기순이익(손실)</t>
    <phoneticPr fontId="232" type="noConversion"/>
  </si>
  <si>
    <t>나. 가중평균유통보통주식수</t>
    <phoneticPr fontId="232" type="noConversion"/>
  </si>
  <si>
    <t>다. 주당순이익(손실) (가÷나)</t>
    <phoneticPr fontId="232" type="noConversion"/>
  </si>
  <si>
    <t>잔여수량 기준</t>
    <phoneticPr fontId="232" type="noConversion"/>
  </si>
  <si>
    <t>잔여수량</t>
    <phoneticPr fontId="232" type="noConversion"/>
  </si>
  <si>
    <t>주식선택권 행사가격</t>
    <phoneticPr fontId="232" type="noConversion"/>
  </si>
  <si>
    <t>미래유입공정가치예상액</t>
  </si>
  <si>
    <t>조정된행사가격</t>
  </si>
  <si>
    <t>주식선택권의 행사로 유입될 금액</t>
  </si>
  <si>
    <t>취득가능자기주식수</t>
  </si>
  <si>
    <t>잠재적보통주식수</t>
  </si>
  <si>
    <t>제1차</t>
  </si>
  <si>
    <t>제2차</t>
  </si>
  <si>
    <t>제3차</t>
  </si>
  <si>
    <t>제4차</t>
  </si>
  <si>
    <t>제5차</t>
  </si>
  <si>
    <t>제6차</t>
  </si>
  <si>
    <t>제7차</t>
  </si>
  <si>
    <t>종목명</t>
  </si>
  <si>
    <t>종목코드</t>
  </si>
  <si>
    <t>거래체결일</t>
  </si>
  <si>
    <t>체결가격(원)
(가중평균)</t>
  </si>
  <si>
    <t>체결수량
(주)</t>
  </si>
  <si>
    <t>체결매체</t>
  </si>
  <si>
    <t>상세
(체결내역)</t>
  </si>
  <si>
    <t>울트라브이</t>
  </si>
  <si>
    <t>303110</t>
  </si>
  <si>
    <t>증권플러스비상장</t>
  </si>
  <si>
    <t/>
  </si>
  <si>
    <t>보통주의 시장가격</t>
    <phoneticPr fontId="232" type="noConversion"/>
  </si>
  <si>
    <t>권리행사분</t>
    <phoneticPr fontId="232" type="noConversion"/>
  </si>
  <si>
    <t>기간</t>
    <phoneticPr fontId="232" type="noConversion"/>
  </si>
  <si>
    <t>주식수</t>
    <phoneticPr fontId="232" type="noConversion"/>
  </si>
  <si>
    <t>일수</t>
    <phoneticPr fontId="232" type="noConversion"/>
  </si>
  <si>
    <t>잠재적보통주식수</t>
    <phoneticPr fontId="232" type="noConversion"/>
  </si>
  <si>
    <t>권리미행사분</t>
    <phoneticPr fontId="232" type="noConversion"/>
  </si>
  <si>
    <t>합계</t>
    <phoneticPr fontId="232" type="noConversion"/>
  </si>
  <si>
    <t>행사분</t>
    <phoneticPr fontId="232" type="noConversion"/>
  </si>
  <si>
    <t>잠재적보통주식수 합계</t>
    <phoneticPr fontId="232" type="noConversion"/>
  </si>
  <si>
    <t>https://otcinfo.kofia.or.kr/</t>
    <phoneticPr fontId="232" type="noConversion"/>
  </si>
  <si>
    <t>PL 판관비 (공시된)</t>
    <phoneticPr fontId="244" type="noConversion"/>
  </si>
  <si>
    <t>제조원가 노무비+제조경비</t>
    <phoneticPr fontId="244" type="noConversion"/>
  </si>
  <si>
    <t>합계</t>
    <phoneticPr fontId="244" type="noConversion"/>
  </si>
  <si>
    <t xml:space="preserve">      [12400]유동성 임차 보증금</t>
  </si>
  <si>
    <t xml:space="preserve">      [15200]부      재      료</t>
  </si>
  <si>
    <t xml:space="preserve">      [15300]부재료재고자산평가충당금</t>
  </si>
  <si>
    <t xml:space="preserve">      [17600]종 속 기업투자주식</t>
  </si>
  <si>
    <t xml:space="preserve">      [17700]관 계 기업투자주식</t>
  </si>
  <si>
    <t xml:space="preserve">      [20100]토              지</t>
  </si>
  <si>
    <t xml:space="preserve">      [21400]건  설 중 인 자 산</t>
  </si>
  <si>
    <t xml:space="preserve">      [22100]시    설   장   치</t>
  </si>
  <si>
    <t xml:space="preserve">      [22200]감 가 상 각 누계액(시설장치)</t>
  </si>
  <si>
    <t>제 13 (당)기</t>
  </si>
  <si>
    <t xml:space="preserve">      [41300]식  음  료  매  출</t>
  </si>
  <si>
    <t xml:space="preserve">      [45700]식 음 료 매출 원가</t>
  </si>
  <si>
    <t xml:space="preserve">        [16300]기초  상품(식음료)  재고액</t>
  </si>
  <si>
    <t xml:space="preserve">        [16300]당기 상품(식음료) 매 입 액</t>
  </si>
  <si>
    <t xml:space="preserve">        [16300]기말  상품(식음료)  재고액</t>
  </si>
  <si>
    <t xml:space="preserve">      [81600]전      력      비</t>
  </si>
  <si>
    <t>유동성임차보증금</t>
    <phoneticPr fontId="211" type="noConversion"/>
  </si>
  <si>
    <t>건설중인자산</t>
    <phoneticPr fontId="211" type="noConversion"/>
  </si>
  <si>
    <t>시설장치</t>
    <phoneticPr fontId="211" type="noConversion"/>
  </si>
  <si>
    <t>감가상각누계액시설장치</t>
    <phoneticPr fontId="211" type="noConversion"/>
  </si>
  <si>
    <t>가스수도료</t>
    <phoneticPr fontId="211" type="noConversion"/>
  </si>
  <si>
    <t>전력비</t>
    <phoneticPr fontId="211" type="noConversion"/>
  </si>
  <si>
    <t>부재료</t>
    <phoneticPr fontId="6" type="noConversion"/>
  </si>
  <si>
    <t>부재료평가충당금</t>
    <phoneticPr fontId="6" type="noConversion"/>
  </si>
  <si>
    <t>종속기업투자주식</t>
    <phoneticPr fontId="211" type="noConversion"/>
  </si>
  <si>
    <t>관계기업투자주식</t>
    <phoneticPr fontId="211" type="noConversion"/>
  </si>
  <si>
    <t>투자유가증권</t>
    <phoneticPr fontId="6" type="noConversion"/>
  </si>
  <si>
    <t>토지</t>
    <phoneticPr fontId="6" type="noConversion"/>
  </si>
  <si>
    <t>건설중인자산</t>
    <phoneticPr fontId="6" type="noConversion"/>
  </si>
  <si>
    <t>시설장치</t>
    <phoneticPr fontId="6" type="noConversion"/>
  </si>
  <si>
    <t>감가상각누계액</t>
    <phoneticPr fontId="6" type="noConversion"/>
  </si>
  <si>
    <t>식음료매출</t>
    <phoneticPr fontId="6" type="noConversion"/>
  </si>
  <si>
    <r>
      <t>(3</t>
    </r>
    <r>
      <rPr>
        <b/>
        <sz val="10"/>
        <color indexed="8"/>
        <rFont val="맑은 고딕"/>
        <family val="3"/>
        <charset val="129"/>
      </rPr>
      <t>)식음료매출원가</t>
    </r>
    <phoneticPr fontId="6" type="noConversion"/>
  </si>
  <si>
    <t>재고자산평가</t>
    <phoneticPr fontId="6" type="noConversion"/>
  </si>
  <si>
    <t>전력비</t>
    <phoneticPr fontId="6" type="noConversion"/>
  </si>
  <si>
    <t>(3)식음료매출원가</t>
  </si>
  <si>
    <t>당기상품매입액</t>
  </si>
  <si>
    <t>상품타계정대체</t>
  </si>
  <si>
    <t>재고자산평가</t>
  </si>
  <si>
    <t>전력비</t>
    <phoneticPr fontId="6" type="noConversion"/>
  </si>
  <si>
    <t>자산</t>
  </si>
  <si>
    <t>　유동자산</t>
  </si>
  <si>
    <t>　　현금및현금성자산 </t>
  </si>
  <si>
    <t>　　단기금융상품 </t>
  </si>
  <si>
    <t>　　매출채권및기타채권</t>
  </si>
  <si>
    <t>　　재고자산</t>
  </si>
  <si>
    <t>　　기타유동자산 </t>
  </si>
  <si>
    <t>      기타유동금융자산</t>
  </si>
  <si>
    <t>      당기법인세자산</t>
  </si>
  <si>
    <t>　비유동자산</t>
  </si>
  <si>
    <t>　　기타비유동금융자산 </t>
  </si>
  <si>
    <t>      종속기업투자및관계기업투자</t>
  </si>
  <si>
    <t>　　유형자산 </t>
  </si>
  <si>
    <t>　　무형자산 </t>
  </si>
  <si>
    <t>부채</t>
  </si>
  <si>
    <t>　유동부채</t>
  </si>
  <si>
    <t>　　매입채무및기타지급채무</t>
  </si>
  <si>
    <t>　　단기차입금</t>
  </si>
  <si>
    <t>      유동성장기차입금</t>
  </si>
  <si>
    <t>　　유동성리스부채 </t>
  </si>
  <si>
    <t>　　기타유동부채 </t>
  </si>
  <si>
    <t>　비유동부채</t>
  </si>
  <si>
    <t>      장기차입금</t>
  </si>
  <si>
    <t>      리스부채</t>
  </si>
  <si>
    <t>　　확정급여부채</t>
  </si>
  <si>
    <t>자본  </t>
  </si>
  <si>
    <t>　자본금</t>
  </si>
  <si>
    <t>　자본잉여금</t>
  </si>
  <si>
    <t>　기타자본항목</t>
  </si>
  <si>
    <t>   이익잉여금(결손금)</t>
  </si>
  <si>
    <t>부채와자본총계</t>
  </si>
  <si>
    <t>과목</t>
    <phoneticPr fontId="14" type="noConversion"/>
  </si>
  <si>
    <t>Ⅰ. 매출액</t>
  </si>
  <si>
    <t>Ⅱ. 매출원가</t>
  </si>
  <si>
    <t>Ⅲ. 매출총이익</t>
  </si>
  <si>
    <t>  판매비와 관리비</t>
  </si>
  <si>
    <t>Ⅳ. 영업이익(손실)</t>
  </si>
  <si>
    <t>  기타수익</t>
  </si>
  <si>
    <t>  기타비용</t>
  </si>
  <si>
    <t>  금융수익</t>
  </si>
  <si>
    <t>  금융비용</t>
  </si>
  <si>
    <t>Ⅴ. 법인세비용차감전순이익(손실)</t>
  </si>
  <si>
    <t>  법인세비용</t>
  </si>
  <si>
    <t>Ⅶ. 기타포괄손익</t>
  </si>
  <si>
    <t>후속적으로 당기손익으로 재분류되지 않은 기타포괄손익</t>
  </si>
  <si>
    <t>   순확정급여부채 재측정요소</t>
  </si>
  <si>
    <t>3개월</t>
    <phoneticPr fontId="14" type="noConversion"/>
  </si>
  <si>
    <t>누적</t>
    <phoneticPr fontId="14" type="noConversion"/>
  </si>
  <si>
    <t>기타유동금융자산</t>
    <phoneticPr fontId="214" type="noConversion"/>
  </si>
  <si>
    <t>기타유동금융자산</t>
    <phoneticPr fontId="214" type="noConversion"/>
  </si>
  <si>
    <t>전이율채권</t>
  </si>
  <si>
    <t>그외채권</t>
  </si>
  <si>
    <t>전이율충당금</t>
  </si>
  <si>
    <t>그외충당금</t>
  </si>
  <si>
    <t>단기대여금</t>
    <phoneticPr fontId="17" type="noConversion"/>
  </si>
  <si>
    <t>팜합병</t>
  </si>
  <si>
    <t>손실</t>
  </si>
  <si>
    <t>건설중인자산</t>
    <phoneticPr fontId="232" type="noConversion"/>
  </si>
  <si>
    <t>토지</t>
    <phoneticPr fontId="232" type="noConversion"/>
  </si>
  <si>
    <t>합병</t>
    <phoneticPr fontId="232" type="noConversion"/>
  </si>
  <si>
    <t>전기</t>
    <phoneticPr fontId="232" type="noConversion"/>
  </si>
  <si>
    <t>관계사 전입 퇴직급여</t>
    <phoneticPr fontId="232" type="noConversion"/>
  </si>
  <si>
    <t>종속기업합병</t>
    <phoneticPr fontId="232" type="noConversion"/>
  </si>
  <si>
    <t>검증</t>
    <phoneticPr fontId="6" type="noConversion"/>
  </si>
  <si>
    <t>재고자산평가손실(환입)</t>
    <phoneticPr fontId="6" type="noConversion"/>
  </si>
  <si>
    <t>대변</t>
    <phoneticPr fontId="17" type="noConversion"/>
  </si>
  <si>
    <t>차변</t>
    <phoneticPr fontId="17" type="noConversion"/>
  </si>
  <si>
    <t>대손상각비(환입)</t>
    <phoneticPr fontId="6" type="noConversion"/>
  </si>
  <si>
    <t>합병매수현금</t>
    <phoneticPr fontId="6" type="noConversion"/>
  </si>
  <si>
    <t>부재료</t>
  </si>
  <si>
    <t>부재료평가충당금</t>
  </si>
  <si>
    <t>(2) 보고기간 종료일 현재 리스부채의 변동내역은 다음과 같습니다.</t>
    <phoneticPr fontId="232" type="noConversion"/>
  </si>
  <si>
    <t>시설자금대출</t>
  </si>
  <si>
    <t>당반기</t>
  </si>
  <si>
    <t>전반기</t>
  </si>
  <si>
    <t>무형자산상각비</t>
  </si>
  <si>
    <t> 합병</t>
    <phoneticPr fontId="232" type="noConversion"/>
  </si>
  <si>
    <t>(2) 기타비용</t>
    <phoneticPr fontId="193" type="noConversion"/>
  </si>
  <si>
    <t>종속기업투자손상차손</t>
  </si>
  <si>
    <t>유형자산처분손실</t>
    <phoneticPr fontId="193" type="noConversion"/>
  </si>
  <si>
    <t>Ⅵ. 당기순이익(손실)</t>
    <phoneticPr fontId="14" type="noConversion"/>
  </si>
  <si>
    <t>   주당당기순이익(손실)</t>
    <phoneticPr fontId="14" type="noConversion"/>
  </si>
  <si>
    <t>   희석당기순이익(손실)</t>
    <phoneticPr fontId="14" type="noConversion"/>
  </si>
  <si>
    <t>&lt;당기-3개월&gt;</t>
    <phoneticPr fontId="232" type="noConversion"/>
  </si>
  <si>
    <t>&lt;당기-누적&gt;</t>
    <phoneticPr fontId="232" type="noConversion"/>
  </si>
  <si>
    <t>1차 권리행사분(당기 누적)</t>
    <phoneticPr fontId="232" type="noConversion"/>
  </si>
  <si>
    <t>주식선택권의 행사</t>
    <phoneticPr fontId="6" type="noConversion"/>
  </si>
  <si>
    <t>회사는 당기 중 재고자산 평가손실</t>
    <phoneticPr fontId="193" type="noConversion"/>
  </si>
  <si>
    <t>단기리스료</t>
    <phoneticPr fontId="232" type="noConversion"/>
  </si>
  <si>
    <t>복합기</t>
    <phoneticPr fontId="232" type="noConversion"/>
  </si>
  <si>
    <t>인천사무실</t>
    <phoneticPr fontId="232" type="noConversion"/>
  </si>
  <si>
    <t>소액리스료</t>
    <phoneticPr fontId="232" type="noConversion"/>
  </si>
  <si>
    <t>코웨이</t>
    <phoneticPr fontId="232" type="noConversion"/>
  </si>
  <si>
    <t>케이인더스</t>
    <phoneticPr fontId="232" type="noConversion"/>
  </si>
  <si>
    <t>오피스샵</t>
    <phoneticPr fontId="232" type="noConversion"/>
  </si>
  <si>
    <t>정수기,청정기,비데</t>
    <phoneticPr fontId="232" type="noConversion"/>
  </si>
  <si>
    <t>ULTRA V (SG) PTE.LTD</t>
    <phoneticPr fontId="232" type="noConversion"/>
  </si>
  <si>
    <t>당기말</t>
  </si>
  <si>
    <t>수정전</t>
    <phoneticPr fontId="6" type="noConversion"/>
  </si>
  <si>
    <t>수정후</t>
    <phoneticPr fontId="6" type="noConversion"/>
  </si>
  <si>
    <t>직원급여(판관)</t>
  </si>
  <si>
    <t>직원급여(제조원가)</t>
  </si>
  <si>
    <t>미처분이익잉여금</t>
  </si>
  <si>
    <t>수정전</t>
  </si>
  <si>
    <t>수정후</t>
  </si>
  <si>
    <t>선수금</t>
    <phoneticPr fontId="244" type="noConversion"/>
  </si>
  <si>
    <t xml:space="preserve">기준일: </t>
    <phoneticPr fontId="244" type="noConversion"/>
  </si>
  <si>
    <t>Ref.</t>
    <phoneticPr fontId="14" type="noConversion"/>
  </si>
  <si>
    <t>순번</t>
  </si>
  <si>
    <t>Code</t>
    <phoneticPr fontId="232" type="noConversion"/>
  </si>
  <si>
    <t>계정과목</t>
  </si>
  <si>
    <t>수정금액</t>
  </si>
  <si>
    <t>effect</t>
    <phoneticPr fontId="244" type="noConversion"/>
  </si>
  <si>
    <t>Discription</t>
  </si>
  <si>
    <t>차변</t>
  </si>
  <si>
    <t>대변</t>
  </si>
  <si>
    <t>NI</t>
    <phoneticPr fontId="244" type="noConversion"/>
  </si>
  <si>
    <t>R/E</t>
    <phoneticPr fontId="244" type="noConversion"/>
  </si>
  <si>
    <t>포괄손익</t>
    <phoneticPr fontId="244" type="noConversion"/>
  </si>
  <si>
    <t>주식매수선택권</t>
    <phoneticPr fontId="232" type="noConversion"/>
  </si>
  <si>
    <t>연차수당</t>
    <phoneticPr fontId="244" type="noConversion"/>
  </si>
  <si>
    <t>당기제품제조원가</t>
    <phoneticPr fontId="244" type="noConversion"/>
  </si>
  <si>
    <t>외화선수취대가 환율보정</t>
    <phoneticPr fontId="244" type="noConversion"/>
  </si>
  <si>
    <t>리스수정</t>
    <phoneticPr fontId="244" type="noConversion"/>
  </si>
  <si>
    <t>사용권자산감가상각누계액</t>
  </si>
  <si>
    <t>홍콩자회사</t>
    <phoneticPr fontId="244" type="noConversion"/>
  </si>
  <si>
    <t>매출채권손실중당금 수정</t>
    <phoneticPr fontId="244" type="noConversion"/>
  </si>
  <si>
    <t>복리후생비</t>
    <phoneticPr fontId="232" type="noConversion"/>
  </si>
  <si>
    <t>장기종업원급여부채</t>
  </si>
  <si>
    <t>기타장기종업원급여</t>
    <phoneticPr fontId="244" type="noConversion"/>
  </si>
  <si>
    <t>기타비유동부채</t>
  </si>
  <si>
    <t>장기종업원급여부채</t>
    <phoneticPr fontId="6" type="noConversion"/>
  </si>
  <si>
    <t>기타장기종업원급여채무</t>
    <phoneticPr fontId="211" type="noConversion"/>
  </si>
  <si>
    <t>19100</t>
  </si>
  <si>
    <t>15200</t>
  </si>
  <si>
    <t>15200</t>
    <phoneticPr fontId="6" type="noConversion"/>
  </si>
  <si>
    <t>15300</t>
  </si>
  <si>
    <t>15300</t>
    <phoneticPr fontId="6" type="noConversion"/>
  </si>
  <si>
    <t>20100</t>
  </si>
  <si>
    <t>20100</t>
    <phoneticPr fontId="6" type="noConversion"/>
  </si>
  <si>
    <t>20800</t>
    <phoneticPr fontId="6" type="noConversion"/>
  </si>
  <si>
    <t>21400</t>
  </si>
  <si>
    <t>21400</t>
    <phoneticPr fontId="6" type="noConversion"/>
  </si>
  <si>
    <t>22100</t>
  </si>
  <si>
    <t>22100</t>
    <phoneticPr fontId="6" type="noConversion"/>
  </si>
  <si>
    <t>22200</t>
  </si>
  <si>
    <t>22200</t>
    <phoneticPr fontId="6" type="noConversion"/>
  </si>
  <si>
    <t>31600</t>
  </si>
  <si>
    <t>31600</t>
    <phoneticPr fontId="6" type="noConversion"/>
  </si>
  <si>
    <t>29500-1</t>
  </si>
  <si>
    <t>29500-1</t>
    <phoneticPr fontId="6" type="noConversion"/>
  </si>
  <si>
    <t>　　기타비유동부채</t>
    <phoneticPr fontId="232" type="noConversion"/>
  </si>
  <si>
    <t>45700</t>
  </si>
  <si>
    <t>45500-1</t>
  </si>
  <si>
    <t>45100-1</t>
  </si>
  <si>
    <t>45500-2</t>
  </si>
  <si>
    <t>45500-2</t>
    <phoneticPr fontId="6" type="noConversion"/>
  </si>
  <si>
    <t>45500-3</t>
  </si>
  <si>
    <t>45500-3</t>
    <phoneticPr fontId="6" type="noConversion"/>
  </si>
  <si>
    <t>45500-4</t>
  </si>
  <si>
    <t>45500-4</t>
    <phoneticPr fontId="6" type="noConversion"/>
  </si>
  <si>
    <t>45100-2</t>
  </si>
  <si>
    <t>45100-2</t>
    <phoneticPr fontId="6" type="noConversion"/>
  </si>
  <si>
    <t>45100-3</t>
  </si>
  <si>
    <t>45100-4</t>
  </si>
  <si>
    <t>45700-1</t>
  </si>
  <si>
    <t>45700-1</t>
    <phoneticPr fontId="6" type="noConversion"/>
  </si>
  <si>
    <t>45700-2</t>
  </si>
  <si>
    <t>45700-2</t>
    <phoneticPr fontId="6" type="noConversion"/>
  </si>
  <si>
    <t>45700-3</t>
  </si>
  <si>
    <t>45700-3</t>
    <phoneticPr fontId="6" type="noConversion"/>
  </si>
  <si>
    <t>타계정대체</t>
    <phoneticPr fontId="6" type="noConversion"/>
  </si>
  <si>
    <t>41300</t>
  </si>
  <si>
    <t>41300</t>
    <phoneticPr fontId="6" type="noConversion"/>
  </si>
  <si>
    <t>45500-5</t>
  </si>
  <si>
    <t>45500-5</t>
    <phoneticPr fontId="6" type="noConversion"/>
  </si>
  <si>
    <t>45100-5</t>
  </si>
  <si>
    <t>45100-5</t>
    <phoneticPr fontId="6" type="noConversion"/>
  </si>
  <si>
    <t>81600</t>
    <phoneticPr fontId="6" type="noConversion"/>
  </si>
  <si>
    <t>전기대사</t>
    <phoneticPr fontId="6" type="noConversion"/>
  </si>
  <si>
    <t>당기대사</t>
    <phoneticPr fontId="6" type="noConversion"/>
  </si>
  <si>
    <t xml:space="preserve">      [31600]기타장기종업원급여채무</t>
  </si>
  <si>
    <t>보상비</t>
    <phoneticPr fontId="6" type="noConversion"/>
  </si>
  <si>
    <t>93700</t>
  </si>
  <si>
    <t>부가세대급금</t>
    <phoneticPr fontId="6" type="noConversion"/>
  </si>
  <si>
    <t>18810</t>
  </si>
  <si>
    <t>임차보증금_현재가치할인차금</t>
  </si>
  <si>
    <t>13500</t>
    <phoneticPr fontId="6" type="noConversion"/>
  </si>
  <si>
    <t>추가</t>
    <phoneticPr fontId="6" type="noConversion"/>
  </si>
  <si>
    <t>직원급여(경상)</t>
  </si>
  <si>
    <t xml:space="preserve">    [50100] 원    재   료   비</t>
  </si>
  <si>
    <t xml:space="preserve">        [14900] 기초 원재료 재고액</t>
  </si>
  <si>
    <t xml:space="preserve">        [14900] 당기 원재료 매입액</t>
  </si>
  <si>
    <t xml:space="preserve">        [14900] 타계정에서 대체액</t>
  </si>
  <si>
    <t xml:space="preserve">        [14900] 타계정으로 대체액</t>
  </si>
  <si>
    <t xml:space="preserve">        [14900] 재 료 평 가 손 실</t>
  </si>
  <si>
    <t xml:space="preserve">        [14900] 재 료 평 가 환 입</t>
  </si>
  <si>
    <t xml:space="preserve">        [14900] 기말 원재료 재고액</t>
  </si>
  <si>
    <t xml:space="preserve">    [50200] 부    재   료   비</t>
  </si>
  <si>
    <t xml:space="preserve">        [15200] 기초 부재료 재고액</t>
  </si>
  <si>
    <t xml:space="preserve">        [15200] 당기 부재료 매입액</t>
  </si>
  <si>
    <t xml:space="preserve">        [15200] 타계정으로 대체액</t>
  </si>
  <si>
    <t xml:space="preserve">        [15200] 재 료 평 가 손 실</t>
  </si>
  <si>
    <t xml:space="preserve">        [15200] 기말 부재료 재고액</t>
  </si>
  <si>
    <t xml:space="preserve">    [50300] 급              여</t>
  </si>
  <si>
    <t xml:space="preserve">    [50500] 상      여      금</t>
  </si>
  <si>
    <t xml:space="preserve">    [51000] 퇴    직   급   여</t>
  </si>
  <si>
    <t xml:space="preserve">    [51100] 복  리  후  생  비</t>
  </si>
  <si>
    <t xml:space="preserve">    [51200] 여  비  교  통  비</t>
  </si>
  <si>
    <t xml:space="preserve">    [51400] 통      신      비</t>
  </si>
  <si>
    <t xml:space="preserve">    [51500] 가  스  수  도  료</t>
  </si>
  <si>
    <t xml:space="preserve">    [51600] 전      력      비</t>
  </si>
  <si>
    <t xml:space="preserve">    [51700] 세  금 과 공 과 금</t>
  </si>
  <si>
    <t xml:space="preserve">    [51800] 감  가  상  각  비</t>
  </si>
  <si>
    <t xml:space="preserve">    [51900] 지  급  임  차  료</t>
  </si>
  <si>
    <t xml:space="preserve">    [52000] 수      선      비</t>
  </si>
  <si>
    <t xml:space="preserve">    [52100] 보      험      료</t>
  </si>
  <si>
    <t xml:space="preserve">    [52200] 차  량  유  지  비</t>
  </si>
  <si>
    <t xml:space="preserve">    [52400] 운      반      비</t>
  </si>
  <si>
    <t xml:space="preserve">    [52500] 교  육  훈  련  비</t>
  </si>
  <si>
    <t xml:space="preserve">    [52600] 도  서  인  쇄  비</t>
  </si>
  <si>
    <t xml:space="preserve">    [52900] 사  무  용  품  비</t>
  </si>
  <si>
    <t xml:space="preserve">    [53000] 소    모   품   비</t>
  </si>
  <si>
    <t xml:space="preserve">    [53100] 지  급  수  수  료</t>
  </si>
  <si>
    <t xml:space="preserve">    [53300] 외  주  가  공  비</t>
  </si>
  <si>
    <t xml:space="preserve">    [53700] 건  물  관  리  비</t>
  </si>
  <si>
    <t xml:space="preserve">    [54000] 무 형 고정자산상각</t>
  </si>
  <si>
    <t>기초원재료재고액</t>
    <phoneticPr fontId="6" type="noConversion"/>
  </si>
  <si>
    <t>당기원재료매입액</t>
    <phoneticPr fontId="6" type="noConversion"/>
  </si>
  <si>
    <t>타계정에서대체액</t>
    <phoneticPr fontId="6" type="noConversion"/>
  </si>
  <si>
    <t>타계정으로대체액</t>
  </si>
  <si>
    <t>타계정으로대체액</t>
    <phoneticPr fontId="6" type="noConversion"/>
  </si>
  <si>
    <t>재료평가손실</t>
  </si>
  <si>
    <t>재료평가손실</t>
    <phoneticPr fontId="6" type="noConversion"/>
  </si>
  <si>
    <t>재료평가환입</t>
    <phoneticPr fontId="6" type="noConversion"/>
  </si>
  <si>
    <t>기말원재료재고액</t>
    <phoneticPr fontId="6" type="noConversion"/>
  </si>
  <si>
    <t>기초부재료재고액</t>
  </si>
  <si>
    <t>당기부재료매입액</t>
  </si>
  <si>
    <t>기말부재료재고액</t>
  </si>
  <si>
    <t>가스수도료</t>
  </si>
  <si>
    <t>부재료</t>
    <phoneticPr fontId="6" type="noConversion"/>
  </si>
  <si>
    <t>50100</t>
    <phoneticPr fontId="6" type="noConversion"/>
  </si>
  <si>
    <t>노무비</t>
    <phoneticPr fontId="6" type="noConversion"/>
  </si>
  <si>
    <t>50200</t>
    <phoneticPr fontId="6" type="noConversion"/>
  </si>
  <si>
    <t>제조경비</t>
    <phoneticPr fontId="6" type="noConversion"/>
  </si>
  <si>
    <t>재료비</t>
    <phoneticPr fontId="6" type="noConversion"/>
  </si>
  <si>
    <t>당기총제조비용</t>
    <phoneticPr fontId="6" type="noConversion"/>
  </si>
  <si>
    <t>기초재공품</t>
    <phoneticPr fontId="6" type="noConversion"/>
  </si>
  <si>
    <t>타계정에서 대체액</t>
    <phoneticPr fontId="6" type="noConversion"/>
  </si>
  <si>
    <t>합계</t>
    <phoneticPr fontId="6" type="noConversion"/>
  </si>
  <si>
    <t>기말재공품재고액</t>
    <phoneticPr fontId="6" type="noConversion"/>
  </si>
  <si>
    <t>타계정으로 대체액</t>
    <phoneticPr fontId="6" type="noConversion"/>
  </si>
  <si>
    <t>당기제품제조원가</t>
    <phoneticPr fontId="6" type="noConversion"/>
  </si>
  <si>
    <t>감가상각비(판관)</t>
  </si>
  <si>
    <t>감가상각비(제조)</t>
  </si>
  <si>
    <t>감가상각비(경상)</t>
  </si>
  <si>
    <t>기타</t>
    <phoneticPr fontId="6" type="noConversion"/>
  </si>
  <si>
    <t>제품</t>
    <phoneticPr fontId="232" type="noConversion"/>
  </si>
  <si>
    <t>보험수리적손익</t>
  </si>
  <si>
    <t>법인세</t>
  </si>
  <si>
    <t>계리평가</t>
    <phoneticPr fontId="244" type="noConversion"/>
  </si>
  <si>
    <t>엠에이치메디 처분</t>
    <phoneticPr fontId="244" type="noConversion"/>
  </si>
  <si>
    <t>당기손익-공정가치금융자산</t>
  </si>
  <si>
    <t>관계기업투자</t>
  </si>
  <si>
    <t>17700</t>
  </si>
  <si>
    <t>17700</t>
    <phoneticPr fontId="6" type="noConversion"/>
  </si>
  <si>
    <t>17600</t>
  </si>
  <si>
    <t>17600</t>
    <phoneticPr fontId="6" type="noConversion"/>
  </si>
  <si>
    <t>17800</t>
    <phoneticPr fontId="6" type="noConversion"/>
  </si>
  <si>
    <t>17700</t>
    <phoneticPr fontId="232" type="noConversion"/>
  </si>
  <si>
    <t>관계기업투자주식처분손실</t>
  </si>
  <si>
    <t>관계기업투자주식처분손실</t>
    <phoneticPr fontId="6" type="noConversion"/>
  </si>
  <si>
    <t>95300</t>
  </si>
  <si>
    <t>95300</t>
    <phoneticPr fontId="6" type="noConversion"/>
  </si>
  <si>
    <t>유형자산처분손실</t>
    <phoneticPr fontId="232" type="noConversion"/>
  </si>
  <si>
    <t>　　당기손익-공정가치금융자산</t>
    <phoneticPr fontId="232" type="noConversion"/>
  </si>
  <si>
    <t>주식보상비용</t>
    <phoneticPr fontId="232" type="noConversion"/>
  </si>
  <si>
    <t>장기종업원급여</t>
    <phoneticPr fontId="6" type="noConversion"/>
  </si>
  <si>
    <t>Ⅷ. 당기총포괄이익(손실)</t>
    <phoneticPr fontId="14" type="noConversion"/>
  </si>
  <si>
    <t>Ⅸ. 당기주당손익</t>
    <phoneticPr fontId="14" type="noConversion"/>
  </si>
  <si>
    <t>법인세 반영</t>
    <phoneticPr fontId="244" type="noConversion"/>
  </si>
  <si>
    <t>이연법인세자산</t>
    <phoneticPr fontId="232" type="noConversion"/>
  </si>
  <si>
    <t>25000</t>
  </si>
  <si>
    <t>　　이연법인세자산</t>
    <phoneticPr fontId="232" type="noConversion"/>
  </si>
  <si>
    <t>유형자산처분손실</t>
  </si>
  <si>
    <t>테슬라 X</t>
  </si>
  <si>
    <t>기타유동금융자산의 감소</t>
  </si>
  <si>
    <t>기타유동금융자산의 감소</t>
    <phoneticPr fontId="6" type="noConversion"/>
  </si>
  <si>
    <t>유동</t>
  </si>
  <si>
    <t>비유동</t>
  </si>
  <si>
    <t>기타장기종업원급여의 증가(감소)</t>
  </si>
  <si>
    <t>기타장기종업원급여의 증가(감소)</t>
    <phoneticPr fontId="6" type="noConversion"/>
  </si>
  <si>
    <t>차입원가자본화</t>
    <phoneticPr fontId="17" type="noConversion"/>
  </si>
  <si>
    <t>코드</t>
    <phoneticPr fontId="232" type="noConversion"/>
  </si>
  <si>
    <t>계정명</t>
    <phoneticPr fontId="232" type="noConversion"/>
  </si>
  <si>
    <t>증감</t>
  </si>
  <si>
    <t>검증</t>
  </si>
  <si>
    <t>과목</t>
    <phoneticPr fontId="232" type="noConversion"/>
  </si>
  <si>
    <t>Ⅰ. 영업활동 현금흐름</t>
    <phoneticPr fontId="9" type="noConversion"/>
  </si>
  <si>
    <t>1. 영업으로부터 창출된 현금흐름</t>
    <phoneticPr fontId="9" type="noConversion"/>
  </si>
  <si>
    <t>가. 당기순이익(손실)</t>
    <phoneticPr fontId="9" type="noConversion"/>
  </si>
  <si>
    <t>나. 비현금 조정</t>
    <phoneticPr fontId="9" type="noConversion"/>
  </si>
  <si>
    <t>다. 운전자본 조정</t>
    <phoneticPr fontId="9" type="noConversion"/>
  </si>
  <si>
    <t>2. 이자 수취</t>
    <phoneticPr fontId="9" type="noConversion"/>
  </si>
  <si>
    <t>3. 이자 지급</t>
    <phoneticPr fontId="9" type="noConversion"/>
  </si>
  <si>
    <t>4. 배당금수익</t>
    <phoneticPr fontId="9" type="noConversion"/>
  </si>
  <si>
    <t>5. 법인세납부</t>
    <phoneticPr fontId="9" type="noConversion"/>
  </si>
  <si>
    <t>II. 투자활동현금흐름</t>
    <phoneticPr fontId="232" type="noConversion"/>
  </si>
  <si>
    <t>1. 투자활동으로 인한 현금유입액</t>
    <phoneticPr fontId="232" type="noConversion"/>
  </si>
  <si>
    <t>2. 투자활동으로 인한 현금유출액</t>
    <phoneticPr fontId="232" type="noConversion"/>
  </si>
  <si>
    <t>Ⅲ. 재무활동 현금흐름</t>
  </si>
  <si>
    <t>1. 재무활동으로 인한 현금유입액</t>
    <phoneticPr fontId="232" type="noConversion"/>
  </si>
  <si>
    <t>2. 재무활동으로 인한 현금유출액</t>
    <phoneticPr fontId="232" type="noConversion"/>
  </si>
  <si>
    <t>Ⅳ. 현금및현금성자산의 증감</t>
  </si>
  <si>
    <t>외화표시 현금및현금성자산의 환율변동효과</t>
    <phoneticPr fontId="9" type="noConversion"/>
  </si>
  <si>
    <t>기초 현금및현금성자산</t>
    <phoneticPr fontId="9" type="noConversion"/>
  </si>
  <si>
    <t>Ⅴ. 기말 현금및현금성자산</t>
  </si>
  <si>
    <t>&lt;비현금거래&gt;</t>
    <phoneticPr fontId="244" type="noConversion"/>
  </si>
  <si>
    <t>당기순이익 이익잉여금 대체</t>
    <phoneticPr fontId="244" type="noConversion"/>
  </si>
  <si>
    <t>차입원가 자본화</t>
    <phoneticPr fontId="232" type="noConversion"/>
  </si>
  <si>
    <t>차입금 유동성 대체</t>
    <phoneticPr fontId="244" type="noConversion"/>
  </si>
  <si>
    <t>보험수리적손익</t>
    <phoneticPr fontId="244" type="noConversion"/>
  </si>
  <si>
    <t>사용권자산 및 리스부채의 인식</t>
    <phoneticPr fontId="9" type="noConversion"/>
  </si>
  <si>
    <t>대손상각비(환입)</t>
  </si>
  <si>
    <t>유형자산처분이익</t>
  </si>
  <si>
    <t>재고자산평가손실(환입)</t>
  </si>
  <si>
    <t>장기종업원급여</t>
  </si>
  <si>
    <t>종속기업투자주식손상환입</t>
  </si>
  <si>
    <t>재고자산의 감소(증가)</t>
  </si>
  <si>
    <t>매입채무및기타채무의 증가(감소)</t>
  </si>
  <si>
    <t>기타유동부채의 증가(감소)</t>
  </si>
  <si>
    <t>퇴직금의 지급</t>
  </si>
  <si>
    <t>단기금융상품의 감소</t>
  </si>
  <si>
    <t>단기대여금의 감소</t>
  </si>
  <si>
    <t>유형자산의 처분</t>
  </si>
  <si>
    <t>기타비유동금융자산의 감소</t>
  </si>
  <si>
    <t>합병매수현금</t>
  </si>
  <si>
    <t>단기금융상품의 증가</t>
  </si>
  <si>
    <t>당기손익-측정금융자산의 증가</t>
  </si>
  <si>
    <t>단기대여금의 증가</t>
  </si>
  <si>
    <t>관계기업투자주식의 증가</t>
  </si>
  <si>
    <t>유형자산의 취득</t>
  </si>
  <si>
    <t>무형자산의 취득</t>
  </si>
  <si>
    <t>기타비유동금융자산의 증가</t>
  </si>
  <si>
    <t>단기차입금의 차입</t>
  </si>
  <si>
    <t>장기차입금의 차입</t>
  </si>
  <si>
    <t>주식선택권의 행사</t>
  </si>
  <si>
    <t>단기차입금의 상환</t>
  </si>
  <si>
    <t>리스부채의 상환</t>
  </si>
  <si>
    <t>유동성장기차입금 상환</t>
  </si>
  <si>
    <t>기타유동금융자산의 증가</t>
    <phoneticPr fontId="232" type="noConversion"/>
  </si>
  <si>
    <t>기타유동금융자산의 증가</t>
    <phoneticPr fontId="6" type="noConversion"/>
  </si>
  <si>
    <t>보증금 유동성 대체</t>
    <phoneticPr fontId="244" type="noConversion"/>
  </si>
  <si>
    <t>종속기업투자주식 출자</t>
    <phoneticPr fontId="244" type="noConversion"/>
  </si>
  <si>
    <t>매출채권 제각</t>
    <phoneticPr fontId="232" type="noConversion"/>
  </si>
  <si>
    <t>대체</t>
    <phoneticPr fontId="232" type="noConversion"/>
  </si>
  <si>
    <t>//원장</t>
    <phoneticPr fontId="232" type="noConversion"/>
  </si>
  <si>
    <t>(2) 당기와 전기의 종속기업 및 관계기업투자의 변동내역의 변동내역은 아래와 같습니다.</t>
    <phoneticPr fontId="232" type="noConversion"/>
  </si>
  <si>
    <t>GMP생산</t>
  </si>
  <si>
    <t>(5) 보고기간말 현재 회사의 확정급여채무의 가중평균만기는 8.14년(전기 8.2년)이 며, 할인되지 않은 연금 급여지급액의 만기분석은 다음과 같습니다.</t>
    <phoneticPr fontId="193" type="noConversion"/>
  </si>
  <si>
    <t>제품매출</t>
    <phoneticPr fontId="232" type="noConversion"/>
  </si>
  <si>
    <t xml:space="preserve">  전기오류수정</t>
    <phoneticPr fontId="232" type="noConversion"/>
  </si>
  <si>
    <t>81600</t>
    <phoneticPr fontId="232" type="noConversion"/>
  </si>
  <si>
    <t>보상비</t>
    <phoneticPr fontId="193" type="noConversion"/>
  </si>
  <si>
    <t>기부금</t>
    <phoneticPr fontId="193" type="noConversion"/>
  </si>
  <si>
    <t>(3) 현금의 유입과 유출이 없는 주요 거래</t>
    <phoneticPr fontId="232" type="noConversion"/>
  </si>
  <si>
    <t>장기차입금 유동성 대체</t>
    <phoneticPr fontId="232" type="noConversion"/>
  </si>
  <si>
    <t>전기</t>
    <phoneticPr fontId="214" type="noConversion"/>
  </si>
  <si>
    <t>당기손익-공정가치금융자산</t>
    <phoneticPr fontId="214" type="noConversion"/>
  </si>
  <si>
    <t>   당기손익-공정가치측정금융자산</t>
  </si>
  <si>
    <t>구   분</t>
    <phoneticPr fontId="193" type="noConversion"/>
  </si>
  <si>
    <t>수준 1</t>
    <phoneticPr fontId="193" type="noConversion"/>
  </si>
  <si>
    <t>수준 2</t>
    <phoneticPr fontId="193" type="noConversion"/>
  </si>
  <si>
    <t>수준 3</t>
    <phoneticPr fontId="193" type="noConversion"/>
  </si>
  <si>
    <t>합  계</t>
    <phoneticPr fontId="193" type="noConversion"/>
  </si>
  <si>
    <t>당기손익-공정가치 측정금융자산:</t>
    <phoneticPr fontId="214" type="noConversion"/>
  </si>
  <si>
    <t>12. 당기손익-공정가치 금융자산</t>
    <phoneticPr fontId="214" type="noConversion"/>
  </si>
  <si>
    <t>과 목</t>
  </si>
  <si>
    <t>당기손익-공정가치 금융자산</t>
    <phoneticPr fontId="232" type="noConversion"/>
  </si>
  <si>
    <t>지분증권</t>
    <phoneticPr fontId="232" type="noConversion"/>
  </si>
  <si>
    <t>관계기업투자주식처분손실</t>
    <phoneticPr fontId="193" type="noConversion"/>
  </si>
  <si>
    <t>보고기간종료일 현재 기타부채의 내역은 다음과 같습니다.</t>
    <phoneticPr fontId="232" type="noConversion"/>
  </si>
  <si>
    <t>유동</t>
    <phoneticPr fontId="232" type="noConversion"/>
  </si>
  <si>
    <t>비유동</t>
    <phoneticPr fontId="232" type="noConversion"/>
  </si>
  <si>
    <t>15. 종속기업투자 및 관계기업투자</t>
    <phoneticPr fontId="214" type="noConversion"/>
  </si>
  <si>
    <t>14. 무형자산</t>
    <phoneticPr fontId="214" type="noConversion"/>
  </si>
  <si>
    <t>13. 유형자산</t>
    <phoneticPr fontId="214" type="noConversion"/>
  </si>
  <si>
    <t>통화</t>
    <phoneticPr fontId="244" type="noConversion"/>
  </si>
  <si>
    <t>기말환율</t>
    <phoneticPr fontId="244" type="noConversion"/>
  </si>
  <si>
    <t>GBP</t>
  </si>
  <si>
    <t>CNY</t>
  </si>
  <si>
    <t>EUR</t>
    <phoneticPr fontId="6" type="noConversion"/>
  </si>
  <si>
    <t>JYP</t>
    <phoneticPr fontId="6" type="noConversion"/>
  </si>
  <si>
    <t>CNY</t>
    <phoneticPr fontId="6" type="noConversion"/>
  </si>
  <si>
    <t>22. 법인세비용</t>
    <phoneticPr fontId="214" type="noConversion"/>
  </si>
  <si>
    <t>23. 우발상황과 약정사항</t>
    <phoneticPr fontId="214" type="noConversion"/>
  </si>
  <si>
    <t>16. 매입채무및기타채무</t>
    <phoneticPr fontId="214" type="noConversion"/>
  </si>
  <si>
    <t>17. 기타부채</t>
    <phoneticPr fontId="214" type="noConversion"/>
  </si>
  <si>
    <t>18. 환불부채</t>
    <phoneticPr fontId="214" type="noConversion"/>
  </si>
  <si>
    <t>19. 장단기차입금</t>
    <phoneticPr fontId="214" type="noConversion"/>
  </si>
  <si>
    <t>20. 리스</t>
    <phoneticPr fontId="232" type="noConversion"/>
  </si>
  <si>
    <t>21. 확정급여부채</t>
    <phoneticPr fontId="232" type="noConversion"/>
  </si>
  <si>
    <t>건설중인자산</t>
  </si>
  <si>
    <t>감사 후 수정사항 반영</t>
    <phoneticPr fontId="232" type="noConversion"/>
  </si>
  <si>
    <t>대손충당금(매출채권)</t>
  </si>
  <si>
    <t>환불자산</t>
  </si>
  <si>
    <t>환불자산</t>
    <phoneticPr fontId="6" type="noConversion"/>
  </si>
  <si>
    <t>50100-1</t>
    <phoneticPr fontId="6" type="noConversion"/>
  </si>
  <si>
    <t>12400</t>
  </si>
  <si>
    <t>12400</t>
    <phoneticPr fontId="6" type="noConversion"/>
  </si>
  <si>
    <t>51100</t>
    <phoneticPr fontId="6" type="noConversion"/>
  </si>
  <si>
    <t>기타의대손상각비환입</t>
    <phoneticPr fontId="6" type="noConversion"/>
  </si>
  <si>
    <t>판매수수료</t>
    <phoneticPr fontId="232" type="noConversion"/>
  </si>
  <si>
    <t>12400</t>
    <phoneticPr fontId="232" type="noConversion"/>
  </si>
  <si>
    <t>주식매수선택권 대체</t>
    <phoneticPr fontId="232" type="noConversion"/>
  </si>
  <si>
    <t>기타의대손상각비환입</t>
  </si>
  <si>
    <t>환불자산</t>
    <phoneticPr fontId="214" type="noConversion"/>
  </si>
  <si>
    <t>환불자산</t>
    <phoneticPr fontId="17" type="noConversion"/>
  </si>
  <si>
    <t>소계</t>
    <phoneticPr fontId="214" type="noConversion"/>
  </si>
  <si>
    <t>손상및환입</t>
    <phoneticPr fontId="232" type="noConversion"/>
  </si>
  <si>
    <t>기타의대손상각비(환입)</t>
    <phoneticPr fontId="232" type="noConversion"/>
  </si>
  <si>
    <t>(3) 담보제공내역</t>
    <phoneticPr fontId="193" type="noConversion"/>
  </si>
  <si>
    <t>종류</t>
  </si>
  <si>
    <t>설정금액</t>
  </si>
  <si>
    <t>설정권자</t>
  </si>
  <si>
    <t>차입금</t>
    <phoneticPr fontId="193" type="noConversion"/>
  </si>
  <si>
    <t>재무활동현금흐름</t>
    <phoneticPr fontId="244" type="noConversion"/>
  </si>
  <si>
    <t>(4) 재무활동에서 발생하는 부채의 변동</t>
  </si>
  <si>
    <t>단기차입금</t>
    <phoneticPr fontId="232" type="noConversion"/>
  </si>
  <si>
    <t>유동성장기차입금</t>
    <phoneticPr fontId="232" type="noConversion"/>
  </si>
  <si>
    <t>장기차입금</t>
    <phoneticPr fontId="232" type="noConversion"/>
  </si>
  <si>
    <t>유동성리스부채</t>
    <phoneticPr fontId="232" type="noConversion"/>
  </si>
  <si>
    <t>리스부채</t>
    <phoneticPr fontId="232" type="noConversion"/>
  </si>
  <si>
    <t>&lt;당기&gt;</t>
    <phoneticPr fontId="232" type="noConversion"/>
  </si>
  <si>
    <t>&lt;전기&gt;</t>
    <phoneticPr fontId="232" type="noConversion"/>
  </si>
  <si>
    <t>기타의대손상각비(환입)</t>
    <phoneticPr fontId="232" type="noConversion"/>
  </si>
  <si>
    <t>(*) 유동성대체 및 현재가치할인차금 상각에 따른 이자비용 등이 포함되어 있습니다.</t>
    <phoneticPr fontId="232" type="noConversion"/>
  </si>
  <si>
    <t>기타(*)</t>
  </si>
  <si>
    <t>기타(*)</t>
    <phoneticPr fontId="232" type="noConversion"/>
  </si>
  <si>
    <t>&lt;유동성장기차입금 기타 내역은 대환건임</t>
    <phoneticPr fontId="232" type="noConversion"/>
  </si>
  <si>
    <t>차입금</t>
  </si>
  <si>
    <t>자산명(금형)</t>
  </si>
  <si>
    <t>취득일자</t>
  </si>
  <si>
    <t>양도일자</t>
  </si>
  <si>
    <t>기초가액</t>
  </si>
  <si>
    <t>당기증가</t>
  </si>
  <si>
    <t>당기감소</t>
  </si>
  <si>
    <t>기말잔액</t>
  </si>
  <si>
    <t>전기말상각      누계액</t>
  </si>
  <si>
    <t>상각대상금액</t>
  </si>
  <si>
    <t>년수</t>
  </si>
  <si>
    <t>상각률</t>
  </si>
  <si>
    <t>월수</t>
  </si>
  <si>
    <t>당기상각비</t>
  </si>
  <si>
    <t>당기양도
상각비</t>
  </si>
  <si>
    <t>당기말상각     누계액</t>
  </si>
  <si>
    <t>미상각잔액</t>
  </si>
  <si>
    <t>10-2017-0161178 연속반응을 이용한 생분해성 고분자 미세입자.</t>
  </si>
  <si>
    <t>(국내) 생분해성고분자미세입자의 제조 방법 및 이를 포함하는 주사제의제</t>
  </si>
  <si>
    <t>(국내) 필러용 생분해성고분자미세입자의 제조 방법 및 이를 포함하는주사제</t>
  </si>
  <si>
    <t>(국내) 생분해성 고분자 미세입자의 제조 방법 및 조직 수복용 생분해성재</t>
  </si>
  <si>
    <t>(국내) 필러용 생분해성 고분자 미세입자의 제조 방법, 및 이를 포함하는</t>
  </si>
  <si>
    <t>(국내) 필러용 생분해성 고분자 미세입자, 그 제조방법 및 이를 포함하는 동결건조체 및 필러용 주사제(선급금-&gt;특허권)</t>
  </si>
  <si>
    <t>(국내) 필러용 동결건조체, 그 제조방법 및 이를 포함하는 필러용 주사제(선급금-&gt;특허권)</t>
  </si>
  <si>
    <t>(국내) 필러용 생분해성 고분자 미세입자, 이를 포함한 필러용 동결건조체, 그 제조방법 및 상기 동결건조체를 포함하는 필러용 주사제(선급-&gt;특허</t>
  </si>
  <si>
    <t>(국내) 플라즈마 처리기술을 이용한 친수화된 표면을 갖는 생분해성 고분자</t>
  </si>
  <si>
    <t>(국내) 생분해성 고분자 미세입자가 함유된 히알루론산 기반 하이브리드 하</t>
  </si>
  <si>
    <t>10-2014-0090590 필러용 폴리디옥사논 
입자의 제조방법</t>
  </si>
  <si>
    <t>특허권</t>
    <phoneticPr fontId="193" type="noConversion"/>
  </si>
  <si>
    <t>관련 금액</t>
    <phoneticPr fontId="193" type="noConversion"/>
  </si>
  <si>
    <t>합계</t>
    <phoneticPr fontId="193" type="noConversion"/>
  </si>
  <si>
    <t xml:space="preserve">  종속기업합병</t>
    <phoneticPr fontId="232" type="noConversion"/>
  </si>
  <si>
    <t>이자율위험</t>
    <phoneticPr fontId="214" type="noConversion"/>
  </si>
  <si>
    <t>이자부담 금융부채(변동금리 부담)</t>
    <phoneticPr fontId="232" type="noConversion"/>
  </si>
  <si>
    <t>세전손익에 미치는 영향</t>
    <phoneticPr fontId="232" type="noConversion"/>
  </si>
  <si>
    <t>1% 상승</t>
  </si>
  <si>
    <t>1% 하락</t>
  </si>
  <si>
    <t>고정</t>
  </si>
  <si>
    <t>고정</t>
    <phoneticPr fontId="232" type="noConversion"/>
  </si>
  <si>
    <t>변동</t>
  </si>
  <si>
    <t>변동</t>
    <phoneticPr fontId="232" type="noConversion"/>
  </si>
  <si>
    <t>당기</t>
    <phoneticPr fontId="232" type="noConversion"/>
  </si>
  <si>
    <t>전기</t>
    <phoneticPr fontId="232" type="noConversion"/>
  </si>
  <si>
    <t>JPY</t>
  </si>
  <si>
    <t>보통주 희석이익:</t>
  </si>
  <si>
    <t> 보통주 희석주당 당기순이익</t>
  </si>
  <si>
    <t>조정: 주식선택권</t>
  </si>
  <si>
    <t>희석주당순이익:</t>
  </si>
  <si>
    <t> 희석주당순이익</t>
  </si>
  <si>
    <t>기타의대손상각비</t>
    <phoneticPr fontId="6" type="noConversion"/>
  </si>
  <si>
    <t>95400</t>
  </si>
  <si>
    <t>95400</t>
    <phoneticPr fontId="6" type="noConversion"/>
  </si>
  <si>
    <t>계정수정</t>
    <phoneticPr fontId="6" type="noConversion"/>
  </si>
  <si>
    <t>기타의대손상각비</t>
    <phoneticPr fontId="232" type="noConversion"/>
  </si>
  <si>
    <t>기타의대손상각비</t>
    <phoneticPr fontId="214" type="noConversion"/>
  </si>
  <si>
    <t>기타의대손상각비(환입)</t>
    <phoneticPr fontId="6" type="noConversion"/>
  </si>
  <si>
    <t>기타의대손상각비</t>
    <phoneticPr fontId="193" type="noConversion"/>
  </si>
  <si>
    <t>장부금액</t>
    <phoneticPr fontId="214" type="noConversion"/>
  </si>
  <si>
    <t>리스료</t>
    <phoneticPr fontId="232" type="noConversion"/>
  </si>
  <si>
    <t>남은기간</t>
    <phoneticPr fontId="232" type="noConversion"/>
  </si>
  <si>
    <t>부   문</t>
  </si>
  <si>
    <t>계약부채(*1)</t>
  </si>
  <si>
    <t>보고기간말 현재 회사가 인식하고 있는 계약자산과 계약부채는 다음와 같습니다.</t>
    <phoneticPr fontId="232" type="noConversion"/>
  </si>
  <si>
    <t xml:space="preserve"> 제품매출 등</t>
    <phoneticPr fontId="232" type="noConversion"/>
  </si>
  <si>
    <t>기초의 계약부채 잔액 중 당기에 인식한 수익</t>
  </si>
  <si>
    <t>회차별잔액</t>
  </si>
  <si>
    <t>1회차</t>
  </si>
  <si>
    <t>4회차</t>
  </si>
  <si>
    <t>5회차</t>
  </si>
  <si>
    <t>6회차</t>
  </si>
  <si>
    <t>7회차</t>
  </si>
  <si>
    <t>조건변경</t>
  </si>
  <si>
    <t>주식보상비용</t>
  </si>
  <si>
    <t xml:space="preserve">  조건변경</t>
  </si>
  <si>
    <t xml:space="preserve">  보상원가</t>
  </si>
  <si>
    <t>행사감소</t>
  </si>
  <si>
    <t>&lt;전기&gt;</t>
    <phoneticPr fontId="232" type="noConversion"/>
  </si>
  <si>
    <t>재고자산의 변동</t>
  </si>
  <si>
    <t>원재료 및 상품매입액</t>
  </si>
  <si>
    <t> 전기초</t>
  </si>
  <si>
    <t> 전기말</t>
  </si>
  <si>
    <t>기초</t>
    <phoneticPr fontId="193" type="noConversion"/>
  </si>
  <si>
    <t>비용인식</t>
    <phoneticPr fontId="193" type="noConversion"/>
  </si>
  <si>
    <t>행사</t>
    <phoneticPr fontId="193" type="noConversion"/>
  </si>
  <si>
    <t>기말</t>
    <phoneticPr fontId="193" type="noConversion"/>
  </si>
  <si>
    <t xml:space="preserve">당기와 전기 중 비용으로 인식한 주식기준보상은 각각XX백만원과 XX백만원이며, 전액 주식결제형 주식기준보상과 관련된 비용입니다. </t>
    <phoneticPr fontId="232" type="noConversion"/>
  </si>
  <si>
    <t>과  목</t>
  </si>
  <si>
    <t>제 14 (당)기</t>
  </si>
  <si>
    <t>제 13 (전)기</t>
  </si>
  <si>
    <t>금   액</t>
  </si>
  <si>
    <t xml:space="preserve">      [10100]현              금</t>
  </si>
  <si>
    <t xml:space="preserve">      [14000]환   불    자   산</t>
  </si>
  <si>
    <t xml:space="preserve">      [20200]건              물</t>
  </si>
  <si>
    <t xml:space="preserve">      [20300]감 가 상 각 누계액(건물)</t>
  </si>
  <si>
    <t xml:space="preserve">      [22400]감 가 상 각 누계액(사용권자산)</t>
  </si>
  <si>
    <t xml:space="preserve">      [18900]현 재 가치할인차금</t>
  </si>
  <si>
    <t xml:space="preserve">      [19500]당기손익-공정가치금융자산</t>
  </si>
  <si>
    <t xml:space="preserve">      [19600]이  연 법 인 세 차</t>
  </si>
  <si>
    <t>( 당 기 순 이 익 )</t>
  </si>
  <si>
    <t xml:space="preserve">      [85000]리      스      비</t>
  </si>
  <si>
    <t xml:space="preserve">      [90500]기타의대손상각비환입</t>
  </si>
  <si>
    <t xml:space="preserve">      [94900]보      상      비</t>
  </si>
  <si>
    <t xml:space="preserve">      [95000]유 형 자산처분손실</t>
  </si>
  <si>
    <t xml:space="preserve">      [95300]관계기업투자주식처분손실</t>
  </si>
  <si>
    <t xml:space="preserve">    [51300] 접      대      비</t>
  </si>
  <si>
    <t>14000</t>
  </si>
  <si>
    <t>14000</t>
    <phoneticPr fontId="6" type="noConversion"/>
  </si>
  <si>
    <t>건물</t>
    <phoneticPr fontId="6" type="noConversion"/>
  </si>
  <si>
    <t>감가상각누계액</t>
    <phoneticPr fontId="6" type="noConversion"/>
  </si>
  <si>
    <t>19600</t>
  </si>
  <si>
    <t>19600</t>
    <phoneticPr fontId="6" type="noConversion"/>
  </si>
  <si>
    <t>19500</t>
  </si>
  <si>
    <t>19500</t>
    <phoneticPr fontId="6" type="noConversion"/>
  </si>
  <si>
    <t>18900</t>
  </si>
  <si>
    <t>18900</t>
    <phoneticPr fontId="6" type="noConversion"/>
  </si>
  <si>
    <t>90500</t>
    <phoneticPr fontId="6" type="noConversion"/>
  </si>
  <si>
    <t>접대비</t>
    <phoneticPr fontId="6" type="noConversion"/>
  </si>
  <si>
    <t>리스비</t>
    <phoneticPr fontId="6" type="noConversion"/>
  </si>
  <si>
    <t>85000</t>
    <phoneticPr fontId="6" type="noConversion"/>
  </si>
  <si>
    <t>91400</t>
    <phoneticPr fontId="6" type="noConversion"/>
  </si>
  <si>
    <t>ⅩⅠ. 주    당   이   익</t>
  </si>
  <si>
    <t>기 본 주 당 순이익</t>
  </si>
  <si>
    <t>희 석 주 당 순이익</t>
  </si>
  <si>
    <t>90500</t>
  </si>
  <si>
    <t>91400</t>
  </si>
  <si>
    <t>*)1회차 행사</t>
  </si>
  <si>
    <t>총부여주식수중 유효분</t>
  </si>
  <si>
    <t>행사주식수</t>
  </si>
  <si>
    <t>유동성대체</t>
  </si>
  <si>
    <t>유동성대체</t>
    <phoneticPr fontId="17" type="noConversion"/>
  </si>
  <si>
    <t>주식매수선택권 내역 (연장)</t>
    <phoneticPr fontId="244" type="noConversion"/>
  </si>
  <si>
    <t>구분</t>
    <phoneticPr fontId="244" type="noConversion"/>
  </si>
  <si>
    <t>부여일</t>
    <phoneticPr fontId="244" type="noConversion"/>
  </si>
  <si>
    <t>직원명</t>
    <phoneticPr fontId="244" type="noConversion"/>
  </si>
  <si>
    <t>주식수</t>
    <phoneticPr fontId="244" type="noConversion"/>
  </si>
  <si>
    <t>1주당 가치</t>
    <phoneticPr fontId="244" type="noConversion"/>
  </si>
  <si>
    <t>잔여공정가치</t>
    <phoneticPr fontId="244" type="noConversion"/>
  </si>
  <si>
    <t>조건변경</t>
    <phoneticPr fontId="244" type="noConversion"/>
  </si>
  <si>
    <t>총가치</t>
    <phoneticPr fontId="244" type="noConversion"/>
  </si>
  <si>
    <t>행사소멸일</t>
    <phoneticPr fontId="244" type="noConversion"/>
  </si>
  <si>
    <t>행사소멸</t>
    <phoneticPr fontId="244" type="noConversion"/>
  </si>
  <si>
    <t>24년기말</t>
    <phoneticPr fontId="244" type="noConversion"/>
  </si>
  <si>
    <t>25년1Q</t>
    <phoneticPr fontId="244" type="noConversion"/>
  </si>
  <si>
    <t>1차</t>
    <phoneticPr fontId="244" type="noConversion"/>
  </si>
  <si>
    <t>신장식</t>
  </si>
  <si>
    <t>이준석</t>
  </si>
  <si>
    <t>김재민</t>
  </si>
  <si>
    <t>이미선</t>
  </si>
  <si>
    <t>장유원</t>
  </si>
  <si>
    <t>박태준</t>
  </si>
  <si>
    <t>김석현</t>
  </si>
  <si>
    <t>박현진</t>
  </si>
  <si>
    <t>4차</t>
    <phoneticPr fontId="244" type="noConversion"/>
  </si>
  <si>
    <t>윤원호</t>
  </si>
  <si>
    <t>신선영</t>
  </si>
  <si>
    <t>김승태</t>
  </si>
  <si>
    <t>심상혁</t>
  </si>
  <si>
    <t>이일규</t>
  </si>
  <si>
    <t>5차</t>
    <phoneticPr fontId="244" type="noConversion"/>
  </si>
  <si>
    <t>박상현</t>
    <phoneticPr fontId="244" type="noConversion"/>
  </si>
  <si>
    <t>장성문</t>
    <phoneticPr fontId="244" type="noConversion"/>
  </si>
  <si>
    <t>6차</t>
    <phoneticPr fontId="244" type="noConversion"/>
  </si>
  <si>
    <t>정지은</t>
  </si>
  <si>
    <t>6차</t>
  </si>
  <si>
    <t>함정율</t>
  </si>
  <si>
    <t>이정태</t>
  </si>
  <si>
    <t>정다운</t>
  </si>
  <si>
    <t>최규진</t>
  </si>
  <si>
    <t>7차</t>
    <phoneticPr fontId="244" type="noConversion"/>
  </si>
  <si>
    <t>7차</t>
  </si>
  <si>
    <t>BS</t>
    <phoneticPr fontId="244" type="noConversion"/>
  </si>
  <si>
    <t>합  계</t>
    <phoneticPr fontId="232" type="noConversion"/>
  </si>
  <si>
    <t>특허권-선급금 대체</t>
    <phoneticPr fontId="17" type="noConversion"/>
  </si>
  <si>
    <t>대체</t>
    <phoneticPr fontId="232" type="noConversion"/>
  </si>
  <si>
    <t>특허권-선급금 대체</t>
    <phoneticPr fontId="232" type="noConversion"/>
  </si>
  <si>
    <t>리스 종료</t>
    <phoneticPr fontId="232" type="noConversion"/>
  </si>
  <si>
    <t>건설중인자산 대체</t>
    <phoneticPr fontId="232" type="noConversion"/>
  </si>
  <si>
    <t>09614</t>
  </si>
  <si>
    <t>바이오사이언스</t>
  </si>
  <si>
    <t>건중대체</t>
    <phoneticPr fontId="17" type="noConversion"/>
  </si>
  <si>
    <t>유형자산 처분</t>
    <phoneticPr fontId="17" type="noConversion"/>
  </si>
  <si>
    <t>대손상각비(환입)</t>
    <phoneticPr fontId="17" type="noConversion"/>
  </si>
  <si>
    <t>제각</t>
    <phoneticPr fontId="17" type="noConversion"/>
  </si>
  <si>
    <t>유동성대체</t>
    <phoneticPr fontId="17" type="noConversion"/>
  </si>
  <si>
    <t>이원구</t>
  </si>
  <si>
    <t>이현문</t>
  </si>
  <si>
    <t>신경수</t>
  </si>
  <si>
    <t>구연주</t>
  </si>
  <si>
    <t>기초</t>
    <phoneticPr fontId="232" type="noConversion"/>
  </si>
  <si>
    <t>건물</t>
    <phoneticPr fontId="232" type="noConversion"/>
  </si>
  <si>
    <t>시설장치</t>
    <phoneticPr fontId="232" type="noConversion"/>
  </si>
  <si>
    <t>백만원 (전기: 평가손실</t>
    <phoneticPr fontId="214" type="noConversion"/>
  </si>
  <si>
    <t>레이밴</t>
  </si>
  <si>
    <t>레이밴2</t>
  </si>
  <si>
    <t>주식매수선택권 수량 변동</t>
    <phoneticPr fontId="232" type="noConversion"/>
  </si>
  <si>
    <t>주식선택권의 변동 내역은 다음과 같습니다.</t>
    <phoneticPr fontId="232" type="noConversion"/>
  </si>
  <si>
    <t>당분기</t>
    <phoneticPr fontId="214" type="noConversion"/>
  </si>
  <si>
    <t>ULTRA V (SG) PTE.LTD</t>
  </si>
  <si>
    <t>합병</t>
  </si>
  <si>
    <t>&lt;전분기&gt;</t>
    <phoneticPr fontId="232" type="noConversion"/>
  </si>
  <si>
    <t>차입원가자본화 및 건중대체</t>
    <phoneticPr fontId="17" type="noConversion"/>
  </si>
  <si>
    <t>24. 자본금과 자본잉여금</t>
    <phoneticPr fontId="214" type="noConversion"/>
  </si>
  <si>
    <t>25. 주식기준보상</t>
    <phoneticPr fontId="214" type="noConversion"/>
  </si>
  <si>
    <t>26. 이익잉여금(결손금)</t>
    <phoneticPr fontId="214" type="noConversion"/>
  </si>
  <si>
    <t>27. 고객과의 계약에서 생기는 수익</t>
    <phoneticPr fontId="214" type="noConversion"/>
  </si>
  <si>
    <t>28. 판매비와관리비</t>
    <phoneticPr fontId="214" type="noConversion"/>
  </si>
  <si>
    <t>29. 비용의 성격별 분류</t>
    <phoneticPr fontId="214" type="noConversion"/>
  </si>
  <si>
    <t>31. 기타수익과 기타비용</t>
    <phoneticPr fontId="214" type="noConversion"/>
  </si>
  <si>
    <t>32. 금융수익과 금융원가</t>
    <phoneticPr fontId="214" type="noConversion"/>
  </si>
  <si>
    <t xml:space="preserve">33. 주당순이익(손실) </t>
    <phoneticPr fontId="214" type="noConversion"/>
  </si>
  <si>
    <t>34. 현금흐름표</t>
    <phoneticPr fontId="214" type="noConversion"/>
  </si>
  <si>
    <t>35. 특수관계자 거래</t>
    <phoneticPr fontId="214" type="noConversion"/>
  </si>
  <si>
    <t>30. 정부보조금</t>
    <phoneticPr fontId="214" type="noConversion"/>
  </si>
  <si>
    <t>사업명</t>
    <phoneticPr fontId="232" type="noConversion"/>
  </si>
  <si>
    <t>배부처</t>
    <phoneticPr fontId="232" type="noConversion"/>
  </si>
  <si>
    <t>수행기간</t>
    <phoneticPr fontId="232" type="noConversion"/>
  </si>
  <si>
    <t>정부보조금 사용액(*1)</t>
    <phoneticPr fontId="232" type="noConversion"/>
  </si>
  <si>
    <t>전기</t>
    <phoneticPr fontId="232" type="noConversion"/>
  </si>
  <si>
    <t>글로벌 경쟁력을 갖춘 기능성
관절염 주사제 개발 및 사업화</t>
    <phoneticPr fontId="232" type="noConversion"/>
  </si>
  <si>
    <t>퇴행성 관절염 개선을 위한 혁신형
관절강 주사제제 기술개발</t>
    <phoneticPr fontId="232" type="noConversion"/>
  </si>
  <si>
    <t>2024/10 ~ 2028/09</t>
    <phoneticPr fontId="232" type="noConversion"/>
  </si>
  <si>
    <t>2024/10 ~ 2026/09</t>
    <phoneticPr fontId="232" type="noConversion"/>
  </si>
  <si>
    <t>36. 영업부문 정보</t>
    <phoneticPr fontId="214" type="noConversion"/>
  </si>
  <si>
    <t>2024년 2Q</t>
    <phoneticPr fontId="232" type="noConversion"/>
  </si>
  <si>
    <t>주석</t>
  </si>
  <si>
    <t>과      목 </t>
  </si>
  <si>
    <t>4,5,6,7</t>
  </si>
  <si>
    <t>　　매출채권및기타수취채권</t>
  </si>
  <si>
    <t>4,5,6,8,35</t>
  </si>
  <si>
    <t>　　기타유동금융자산</t>
  </si>
  <si>
    <t>4,5,6,8,11,35</t>
  </si>
  <si>
    <t>4,5,6,11</t>
  </si>
  <si>
    <t>　　당기손익-공정가치측정금융자산</t>
  </si>
  <si>
    <t>4,6,12</t>
  </si>
  <si>
    <t>      종속기업및관계기업투자</t>
  </si>
  <si>
    <t>15,35</t>
  </si>
  <si>
    <t>13,20,23</t>
  </si>
  <si>
    <t>　　이연법인세자산</t>
  </si>
  <si>
    <t>　자산총계</t>
  </si>
  <si>
    <t>4,5,6,16,35</t>
  </si>
  <si>
    <t>      단기차입금</t>
  </si>
  <si>
    <t>4,5,6,19,23,35</t>
  </si>
  <si>
    <t>      유동성리스부채</t>
  </si>
  <si>
    <t>4,5,6,20</t>
  </si>
  <si>
    <t>      기타유동부채</t>
  </si>
  <si>
    <t>17,18,27</t>
  </si>
  <si>
    <t>      확정급여부채</t>
  </si>
  <si>
    <t>　　기타비유동부채</t>
  </si>
  <si>
    <t>　부채총계</t>
  </si>
  <si>
    <t>1,24</t>
  </si>
  <si>
    <t>   결손금</t>
  </si>
  <si>
    <t>당반기말</t>
    <phoneticPr fontId="193" type="noConversion"/>
  </si>
  <si>
    <t>유형자산 처분</t>
  </si>
  <si>
    <t>건중대체+유형자산 처분</t>
    <phoneticPr fontId="17" type="noConversion"/>
  </si>
  <si>
    <t>리스부채 유동대체</t>
    <phoneticPr fontId="232" type="noConversion"/>
  </si>
  <si>
    <t>상환액: 선급리스료 포함</t>
    <phoneticPr fontId="17" type="noConversion"/>
  </si>
  <si>
    <t>법인세비용</t>
    <phoneticPr fontId="9" type="noConversion"/>
  </si>
  <si>
    <t>이자수익</t>
    <phoneticPr fontId="9" type="noConversion"/>
  </si>
  <si>
    <t>이자비용</t>
    <phoneticPr fontId="9" type="noConversion"/>
  </si>
  <si>
    <t>중소벤처기업진흥공단</t>
    <phoneticPr fontId="232" type="noConversion"/>
  </si>
  <si>
    <t>벤츠 E300</t>
  </si>
  <si>
    <t>지노피스</t>
    <phoneticPr fontId="232" type="noConversion"/>
  </si>
  <si>
    <t>  제품매출 등</t>
    <phoneticPr fontId="232" type="noConversion"/>
  </si>
  <si>
    <t>반품충당부채 설정(환입)</t>
    <phoneticPr fontId="6" type="noConversion"/>
  </si>
  <si>
    <t>&lt;전반기&gt;</t>
    <phoneticPr fontId="232" type="noConversion"/>
  </si>
  <si>
    <t>1차 권리행사분(당기 3개월)</t>
    <phoneticPr fontId="232" type="noConversion"/>
  </si>
  <si>
    <t xml:space="preserve">      [16300]상 품 ( 식 음 료 )</t>
  </si>
  <si>
    <t>당반기 및 전반기의 주당이익(손실)의 계산내용은 다음과 같습니다.</t>
    <phoneticPr fontId="193" type="noConversion"/>
  </si>
  <si>
    <t>영업이익(손실)</t>
    <phoneticPr fontId="232" type="noConversion"/>
  </si>
  <si>
    <t>당기순이익(손실)</t>
    <phoneticPr fontId="232" type="noConversion"/>
  </si>
  <si>
    <t>총포괄이익(손실)</t>
    <phoneticPr fontId="232" type="noConversion"/>
  </si>
  <si>
    <t>&lt;전기-3개월&gt;</t>
    <phoneticPr fontId="232" type="noConversion"/>
  </si>
  <si>
    <t>&lt;전기-누적&gt;</t>
    <phoneticPr fontId="232" type="noConversion"/>
  </si>
  <si>
    <t>주식매수선택권 행사</t>
  </si>
  <si>
    <t>유동성 대체</t>
    <phoneticPr fontId="17" type="noConversion"/>
  </si>
  <si>
    <t>에이스공인중개사사무소/일산행정사사무소</t>
  </si>
  <si>
    <t>백송법무사사무소</t>
  </si>
  <si>
    <t>(주)엠앤디솔루션</t>
  </si>
  <si>
    <t>디앤씨덕은 주식회사</t>
  </si>
  <si>
    <t>건중</t>
    <phoneticPr fontId="6" type="noConversion"/>
  </si>
  <si>
    <t>25년건중</t>
    <phoneticPr fontId="6" type="noConversion"/>
  </si>
  <si>
    <t>24년건중</t>
    <phoneticPr fontId="6" type="noConversion"/>
  </si>
  <si>
    <t>공급가액</t>
  </si>
  <si>
    <t>업체명</t>
    <phoneticPr fontId="6" type="noConversion"/>
  </si>
  <si>
    <t>토지</t>
  </si>
  <si>
    <t>25년 건중잔액</t>
    <phoneticPr fontId="9" type="noConversion"/>
  </si>
  <si>
    <t xml:space="preserve">25년 본계정 </t>
    <phoneticPr fontId="9" type="noConversion"/>
  </si>
  <si>
    <t>24년 토지건물 건중</t>
    <phoneticPr fontId="9" type="noConversion"/>
  </si>
  <si>
    <t>914호</t>
  </si>
  <si>
    <t>913호</t>
  </si>
  <si>
    <t>내역</t>
  </si>
  <si>
    <t>본사잔금</t>
    <phoneticPr fontId="6" type="noConversion"/>
  </si>
  <si>
    <t>은행대출금</t>
    <phoneticPr fontId="6" type="noConversion"/>
  </si>
  <si>
    <t>계약금 10%</t>
    <phoneticPr fontId="6" type="noConversion"/>
  </si>
  <si>
    <t>건물VAT</t>
    <phoneticPr fontId="6" type="noConversion"/>
  </si>
  <si>
    <t>건물대금</t>
    <phoneticPr fontId="6" type="noConversion"/>
  </si>
  <si>
    <t>토지대금</t>
    <phoneticPr fontId="6" type="noConversion"/>
  </si>
  <si>
    <t>총합계</t>
    <phoneticPr fontId="6" type="noConversion"/>
  </si>
  <si>
    <t>건물부가세</t>
    <phoneticPr fontId="6" type="noConversion"/>
  </si>
  <si>
    <t>매매대금</t>
    <phoneticPr fontId="6" type="noConversion"/>
  </si>
  <si>
    <t>매매금액</t>
    <phoneticPr fontId="6" type="noConversion"/>
  </si>
  <si>
    <t>914호</t>
    <phoneticPr fontId="6" type="noConversion"/>
  </si>
  <si>
    <t>913호</t>
    <phoneticPr fontId="6" type="noConversion"/>
  </si>
  <si>
    <t>내역</t>
    <phoneticPr fontId="6" type="noConversion"/>
  </si>
  <si>
    <t>엠앤다솔루션</t>
    <phoneticPr fontId="6" type="noConversion"/>
  </si>
  <si>
    <t>디앤씨덕은</t>
    <phoneticPr fontId="6" type="noConversion"/>
  </si>
  <si>
    <t>차액</t>
    <phoneticPr fontId="9" type="noConversion"/>
  </si>
  <si>
    <t>토지</t>
    <phoneticPr fontId="193" type="noConversion"/>
  </si>
  <si>
    <t>건물</t>
    <phoneticPr fontId="193" type="noConversion"/>
  </si>
  <si>
    <t>퇴직급여</t>
    <phoneticPr fontId="232" type="noConversion"/>
  </si>
  <si>
    <t>원가</t>
    <phoneticPr fontId="232" type="noConversion"/>
  </si>
  <si>
    <t>판관비</t>
    <phoneticPr fontId="232" type="noConversion"/>
  </si>
  <si>
    <t>경상연구개발비</t>
    <phoneticPr fontId="232" type="noConversion"/>
  </si>
  <si>
    <t>전분기</t>
  </si>
  <si>
    <t>제품 및 재공품의 변동</t>
  </si>
  <si>
    <t>원재료 및 소모품사용</t>
  </si>
  <si>
    <t>대출잔액</t>
  </si>
  <si>
    <t>대출처</t>
    <phoneticPr fontId="244" type="noConversion"/>
  </si>
  <si>
    <t>약정이율</t>
    <phoneticPr fontId="244" type="noConversion"/>
  </si>
  <si>
    <t>만기일자</t>
    <phoneticPr fontId="244" type="noConversion"/>
  </si>
  <si>
    <t>월이자금액</t>
    <phoneticPr fontId="244" type="noConversion"/>
  </si>
  <si>
    <t>&lt;이자산정&gt;</t>
    <phoneticPr fontId="214" type="noConversion"/>
  </si>
  <si>
    <t xml:space="preserve">      [93600]유 형 자산처분손실</t>
  </si>
  <si>
    <t>2024년 3Q</t>
    <phoneticPr fontId="232" type="noConversion"/>
  </si>
  <si>
    <t>24년 3Q</t>
    <phoneticPr fontId="232" type="noConversion"/>
  </si>
  <si>
    <t xml:space="preserve">      [22400]감가상각누계액(사용권자산)</t>
  </si>
  <si>
    <t xml:space="preserve"> ( 당 기 순 손 실 )</t>
  </si>
  <si>
    <t xml:space="preserve">   당기 :        214,627,211</t>
  </si>
  <si>
    <t xml:space="preserve">   전기 :      2,177,818,377</t>
  </si>
  <si>
    <t>주임종단기채권</t>
    <phoneticPr fontId="17" type="noConversion"/>
  </si>
  <si>
    <t xml:space="preserve">      [82301]경상연구개발비(직원급여)</t>
  </si>
  <si>
    <t xml:space="preserve">      [82302]경상연구개발비(상여금)</t>
  </si>
  <si>
    <t xml:space="preserve">      [82303]경상연구개발비(퇴직급여)</t>
  </si>
  <si>
    <t xml:space="preserve">      [82304]경상연구개발비(복리후생비)</t>
  </si>
  <si>
    <t xml:space="preserve">      [82305]경상연구개발비(여비교통비)</t>
  </si>
  <si>
    <t xml:space="preserve">      [82306]경상연구개발비(접대비)</t>
  </si>
  <si>
    <t xml:space="preserve">      [82307]경상연구개발비(통신비)</t>
  </si>
  <si>
    <t xml:space="preserve">      [82308]경상연구개발비(수도광열비)</t>
  </si>
  <si>
    <t xml:space="preserve">      [82309]경상연구개발비(전력비)</t>
  </si>
  <si>
    <t xml:space="preserve">      [82310]경상연구개발비(세금과공과금)</t>
  </si>
  <si>
    <t xml:space="preserve">      [82311]경상연구개발비(감가상각비)</t>
  </si>
  <si>
    <t xml:space="preserve">      [82312]경상연구개발비(지급임차료)</t>
  </si>
  <si>
    <t xml:space="preserve">      [82313]경상연구개발비(수선비)</t>
  </si>
  <si>
    <t xml:space="preserve">      [82314]경상연구개발비(보험료)</t>
  </si>
  <si>
    <t xml:space="preserve">      [82315]경상연구개발비(차량유지비)</t>
  </si>
  <si>
    <t xml:space="preserve">      [82316]경상연구개발비(운반비)</t>
  </si>
  <si>
    <t xml:space="preserve">      [82317]경상연구개발비(교육훈련비)</t>
  </si>
  <si>
    <t xml:space="preserve">      [82318]경상연구개발비(도서인쇄비)</t>
  </si>
  <si>
    <t xml:space="preserve">      [82321]경상연구개발비(사무용품비)</t>
  </si>
  <si>
    <t xml:space="preserve">      [82322]경상연구개발비(소모품비)</t>
  </si>
  <si>
    <t xml:space="preserve">      [82323]경상연구개발비(지급수수료)</t>
  </si>
  <si>
    <t xml:space="preserve">      [82329]경상연구개발비(건물관리비)</t>
  </si>
  <si>
    <t>전3분기공시</t>
    <phoneticPr fontId="232" type="noConversion"/>
  </si>
  <si>
    <t>당분기</t>
    <phoneticPr fontId="232" type="noConversion"/>
  </si>
  <si>
    <t>//전분기: 공시 기준</t>
    <phoneticPr fontId="232" type="noConversion"/>
  </si>
  <si>
    <t xml:space="preserve">        [14600]재고 자산 평가손실</t>
  </si>
  <si>
    <t xml:space="preserve">        [15200] 재 료 평 가 환 입</t>
  </si>
  <si>
    <t>Ⅴ  . 결      손      금</t>
    <phoneticPr fontId="232" type="noConversion"/>
  </si>
  <si>
    <t>과       목</t>
  </si>
  <si>
    <t>27,35</t>
  </si>
  <si>
    <t>29,35</t>
  </si>
  <si>
    <t>  판매비와관리비 </t>
  </si>
  <si>
    <t>14,28,29,35</t>
  </si>
  <si>
    <t>Ⅳ. 영업이익</t>
  </si>
  <si>
    <t>  기타수익 </t>
  </si>
  <si>
    <t>  기타비용 </t>
  </si>
  <si>
    <t>  금융수익 </t>
  </si>
  <si>
    <t>6,32,35</t>
  </si>
  <si>
    <t>  금융비용 </t>
  </si>
  <si>
    <t>6,32</t>
  </si>
  <si>
    <t>Ⅴ. 법인세비용차감전순이익</t>
  </si>
  <si>
    <t>  법인세비용(수익) </t>
  </si>
  <si>
    <t>21,26</t>
  </si>
  <si>
    <t>Ⅷ. 총포괄이익</t>
  </si>
  <si>
    <t>Ⅸ. 주당손익</t>
  </si>
  <si>
    <t>재고자산 폐기</t>
    <phoneticPr fontId="232" type="noConversion"/>
  </si>
  <si>
    <t>(1) 당기 중 사용권자산의 장부금액과 변동내역은 다음과 같습니다.</t>
    <phoneticPr fontId="232" type="noConversion"/>
  </si>
  <si>
    <t>법인세비용(수익)</t>
    <phoneticPr fontId="6" type="noConversion"/>
  </si>
  <si>
    <t>결산 수정사항</t>
    <phoneticPr fontId="232" type="noConversion"/>
  </si>
  <si>
    <t>당기손익-공정가치측정금융자산평가손실</t>
  </si>
  <si>
    <t>93800</t>
  </si>
  <si>
    <t>93800</t>
    <phoneticPr fontId="6" type="noConversion"/>
  </si>
  <si>
    <t>FVPL평가손실</t>
    <phoneticPr fontId="17" type="noConversion"/>
  </si>
  <si>
    <t>유상증자</t>
    <phoneticPr fontId="6" type="noConversion"/>
  </si>
  <si>
    <t>㈜리브사이언스</t>
    <phoneticPr fontId="193" type="noConversion"/>
  </si>
  <si>
    <t>최대주주</t>
    <phoneticPr fontId="214" type="noConversion"/>
  </si>
  <si>
    <t>제조경비</t>
  </si>
  <si>
    <t>(주)에이티지씨</t>
  </si>
  <si>
    <t>(주)에이티지씨</t>
    <phoneticPr fontId="193" type="noConversion"/>
  </si>
  <si>
    <t xml:space="preserve"> 의학 및 약학 연구개발업</t>
    <phoneticPr fontId="193" type="noConversion"/>
  </si>
  <si>
    <t>(3) 종속기업 및 관계기업에 대한 요약 재무정보는 아래와 같습니다.</t>
    <phoneticPr fontId="193" type="noConversion"/>
  </si>
  <si>
    <t>남영디지털타워 8층2호(25년 갱신)</t>
  </si>
  <si>
    <t>신한IT타워 8층,2층,지하1층</t>
  </si>
  <si>
    <t>울트라브이 카페</t>
  </si>
  <si>
    <t>공정가치 측정</t>
    <phoneticPr fontId="214" type="noConversion"/>
  </si>
  <si>
    <t>제 16(당) 기</t>
  </si>
  <si>
    <t>제 15(전) 기</t>
  </si>
  <si>
    <t>  현금및현금성자산</t>
  </si>
  <si>
    <t>  재고자산</t>
  </si>
  <si>
    <t>  당기법인세자산</t>
  </si>
  <si>
    <t>  기타유동금융자산</t>
  </si>
  <si>
    <t>4,5,6,9</t>
  </si>
  <si>
    <t>  기타유동자산</t>
  </si>
  <si>
    <t>  유형자산</t>
  </si>
  <si>
    <t>  무형자산</t>
  </si>
  <si>
    <t>  사용권자산</t>
  </si>
  <si>
    <t>  기타비유동금융자산</t>
  </si>
  <si>
    <t>  기타비유동자산</t>
  </si>
  <si>
    <t>자산 총계</t>
  </si>
  <si>
    <t>  리스부채</t>
  </si>
  <si>
    <t>  당기손익인식지정금융부채</t>
  </si>
  <si>
    <t>4,5,6,15</t>
  </si>
  <si>
    <t>  기타유동금융부채</t>
  </si>
  <si>
    <t>4,5,6,14</t>
  </si>
  <si>
    <t>  기타유동부채</t>
  </si>
  <si>
    <t>16,22</t>
  </si>
  <si>
    <t>  비유동리스부채</t>
  </si>
  <si>
    <t>  충당부채</t>
  </si>
  <si>
    <t>  기타비유동금융부채</t>
  </si>
  <si>
    <t>  자본금</t>
  </si>
  <si>
    <t>1,19</t>
  </si>
  <si>
    <t>  자본잉여금</t>
  </si>
  <si>
    <t>  기타자본</t>
  </si>
  <si>
    <t>19,21</t>
  </si>
  <si>
    <t>  결손금</t>
  </si>
  <si>
    <t>자본과 부채 총계</t>
  </si>
  <si>
    <t>HKD</t>
  </si>
  <si>
    <t>SGD</t>
  </si>
  <si>
    <t> 1년미만 </t>
    <phoneticPr fontId="193" type="noConversion"/>
  </si>
  <si>
    <t>1년~2년미만</t>
    <phoneticPr fontId="193" type="noConversion"/>
  </si>
  <si>
    <t>2년~5년미만</t>
    <phoneticPr fontId="193" type="noConversion"/>
  </si>
  <si>
    <t>ref. 울트라브이퇴직급여계리평가보고서2512v3</t>
    <phoneticPr fontId="232" type="noConversion"/>
  </si>
  <si>
    <t>제 15 (당)기</t>
    <phoneticPr fontId="232" type="noConversion"/>
  </si>
  <si>
    <t>제 14 (전)기</t>
    <phoneticPr fontId="232" type="noConversion"/>
  </si>
  <si>
    <t xml:space="preserve">      해    고   급   여</t>
  </si>
  <si>
    <t xml:space="preserve">      당기손익-공정가치금융자산처분손실</t>
  </si>
  <si>
    <t>해고급여</t>
    <phoneticPr fontId="6" type="noConversion"/>
  </si>
  <si>
    <t>85200</t>
  </si>
  <si>
    <t>85200</t>
    <phoneticPr fontId="6" type="noConversion"/>
  </si>
  <si>
    <t>54100</t>
    <phoneticPr fontId="6" type="noConversion"/>
  </si>
  <si>
    <t>2026.01.01(당기초)</t>
    <phoneticPr fontId="6" type="noConversion"/>
  </si>
  <si>
    <t>2025. 12</t>
  </si>
  <si>
    <t>2026-03-01</t>
  </si>
  <si>
    <t>4</t>
  </si>
  <si>
    <t>[2010000]토지</t>
  </si>
  <si>
    <t>향동 공장매매 913호914호</t>
  </si>
  <si>
    <t>14898</t>
  </si>
  <si>
    <t>14897</t>
  </si>
  <si>
    <t>15054</t>
  </si>
  <si>
    <t>15056</t>
  </si>
  <si>
    <t>[2020000]건물</t>
  </si>
  <si>
    <t>[2210000]시설장치</t>
  </si>
  <si>
    <t>향동 건축물 해체공사 감리</t>
  </si>
  <si>
    <t>15825</t>
  </si>
  <si>
    <t>건축사사무소제이엔에스</t>
  </si>
  <si>
    <t>[2060000]기계장치</t>
  </si>
  <si>
    <t xml:space="preserve">GMP 캡핑기 </t>
  </si>
  <si>
    <t>15652</t>
  </si>
  <si>
    <t>금강엠씨티</t>
  </si>
  <si>
    <t>[2120000]비품</t>
  </si>
  <si>
    <t>실험대</t>
  </si>
  <si>
    <t>15806</t>
  </si>
  <si>
    <t>금광라이프사이언스</t>
  </si>
  <si>
    <t xml:space="preserve"> 클린룸 환경 모니터링 배지 </t>
  </si>
  <si>
    <t>16499</t>
  </si>
  <si>
    <t>기산바이오(주)</t>
  </si>
  <si>
    <t>입도분석기</t>
  </si>
  <si>
    <t>07431</t>
  </si>
  <si>
    <t>나노포스</t>
  </si>
  <si>
    <t>온습도기</t>
  </si>
  <si>
    <t>16032</t>
  </si>
  <si>
    <t>(주)네오툴</t>
  </si>
  <si>
    <t>배양기(인큐베이터)</t>
  </si>
  <si>
    <t>05696</t>
  </si>
  <si>
    <t>대한과학</t>
  </si>
  <si>
    <t xml:space="preserve"> 향온수조 </t>
  </si>
  <si>
    <t>인쇄기</t>
  </si>
  <si>
    <t>UDI인쇄기</t>
  </si>
  <si>
    <t>냉동고</t>
  </si>
  <si>
    <t>16191</t>
  </si>
  <si>
    <t>디엠 프리저</t>
  </si>
  <si>
    <t>호모믹서</t>
  </si>
  <si>
    <t>13046</t>
  </si>
  <si>
    <t>주식회사 레보록스</t>
  </si>
  <si>
    <t>동결건조기</t>
  </si>
  <si>
    <t>대차카트</t>
  </si>
  <si>
    <t>고압증기멸균기</t>
  </si>
  <si>
    <t>초저온냉동고</t>
  </si>
  <si>
    <t>에어샘플러</t>
  </si>
  <si>
    <t>04073</t>
  </si>
  <si>
    <t>(주)바이오시스텍</t>
  </si>
  <si>
    <t>크린룸 공사, 전기 증설, 이전 설비 훅업, 초순수시스템, 클린부스 설치공사</t>
  </si>
  <si>
    <t>15330</t>
  </si>
  <si>
    <t>비씨티에스</t>
  </si>
  <si>
    <t>유틸리티실 발코니 내부벽 시공</t>
  </si>
  <si>
    <t>발코니 배기팬 외 소방 공사</t>
  </si>
  <si>
    <t xml:space="preserve"> T.A.B 추가 및 PAO, 기류, 리커버리 시험 </t>
  </si>
  <si>
    <t>쓰리롤밀</t>
  </si>
  <si>
    <t>16034</t>
  </si>
  <si>
    <t>주식회사 비엔씨코리아</t>
  </si>
  <si>
    <t>발 접착기</t>
  </si>
  <si>
    <t>16193</t>
  </si>
  <si>
    <t>삼보테크</t>
  </si>
  <si>
    <t>SUS 기자재</t>
  </si>
  <si>
    <t>15805</t>
  </si>
  <si>
    <t>주식회사 아이투아이</t>
  </si>
  <si>
    <t xml:space="preserve"> 초순수 제조장치 밸리데이션  </t>
  </si>
  <si>
    <t>16500</t>
  </si>
  <si>
    <t>(주)에쓰테크</t>
  </si>
  <si>
    <t>기체크로마토그래피</t>
  </si>
  <si>
    <t>15807</t>
  </si>
  <si>
    <t>영인크로매스(주)</t>
  </si>
  <si>
    <t>15329</t>
  </si>
  <si>
    <t>오프닝</t>
  </si>
  <si>
    <t>마이크로피펫 5종 외</t>
  </si>
  <si>
    <t>16031</t>
  </si>
  <si>
    <t>(주)올포랩</t>
  </si>
  <si>
    <t xml:space="preserve"> 발코니 양면 암막 방염 롤스크린 시공 </t>
  </si>
  <si>
    <t>16303</t>
  </si>
  <si>
    <t>은성</t>
  </si>
  <si>
    <t>철제 옷장, 신발장</t>
  </si>
  <si>
    <t>15808</t>
  </si>
  <si>
    <t>인천 사무용 가구</t>
  </si>
  <si>
    <t>정밀전자저울</t>
  </si>
  <si>
    <t>15341</t>
  </si>
  <si>
    <t>(주)정일사이언스</t>
  </si>
  <si>
    <t>인큐베이터수리 및 광학현미경</t>
  </si>
  <si>
    <t>라벨부착기</t>
  </si>
  <si>
    <t>04338</t>
  </si>
  <si>
    <t>(주)제이원TnM</t>
  </si>
  <si>
    <t>엔도톡신, 카트리지</t>
  </si>
  <si>
    <t>02502</t>
  </si>
  <si>
    <t>찰스리버래보래토리즈코리아 주식회사</t>
  </si>
  <si>
    <t>엔도톡신 측정기 밸리데이션</t>
  </si>
  <si>
    <t>크린룸 의자</t>
  </si>
  <si>
    <t>15804</t>
  </si>
  <si>
    <t>체어본</t>
  </si>
  <si>
    <t>인장압축기</t>
  </si>
  <si>
    <t>14553</t>
  </si>
  <si>
    <t>(주)충북테크</t>
  </si>
  <si>
    <t>카스 정밀저울</t>
  </si>
  <si>
    <t>05846</t>
  </si>
  <si>
    <t>네이버파이낸셜 주식회사</t>
  </si>
  <si>
    <t>고압증기멸균기, 냉동고, 건조기</t>
  </si>
  <si>
    <t>15809</t>
  </si>
  <si>
    <t>(주)컨비젼</t>
  </si>
  <si>
    <t>바닥면 에폭시 스크레치 보수 시공</t>
  </si>
  <si>
    <t>16213</t>
  </si>
  <si>
    <t>케이나인</t>
  </si>
  <si>
    <t>냉장냉동고</t>
  </si>
  <si>
    <t>16036</t>
  </si>
  <si>
    <t>주식회사 키스템</t>
  </si>
  <si>
    <t>PLANETARY</t>
  </si>
  <si>
    <t>02425</t>
  </si>
  <si>
    <t>주식회사 태인에프앤씨</t>
  </si>
  <si>
    <t>서측루버설치</t>
  </si>
  <si>
    <t>15824</t>
  </si>
  <si>
    <t>(주)하원</t>
  </si>
  <si>
    <t>2조 싱크대</t>
  </si>
  <si>
    <t>16302</t>
  </si>
  <si>
    <t>(주)한강주방물류</t>
  </si>
  <si>
    <t>초음파세척기, 정량이송펌프</t>
  </si>
  <si>
    <t>07251</t>
  </si>
  <si>
    <t>한국과학상사</t>
  </si>
  <si>
    <t>설비 일부 선 검교정</t>
  </si>
  <si>
    <t>02722</t>
  </si>
  <si>
    <t>(주)한국교정기술원</t>
  </si>
  <si>
    <t>사무용 가구</t>
  </si>
  <si>
    <t>16050</t>
  </si>
  <si>
    <t>(주)현대오에이퍼니처</t>
  </si>
  <si>
    <t>삼투압즉정기</t>
  </si>
  <si>
    <t>15070</t>
  </si>
  <si>
    <t>화신기계상사</t>
  </si>
  <si>
    <t>회전식 점도계</t>
  </si>
  <si>
    <t>냉각기</t>
  </si>
  <si>
    <t>16033</t>
  </si>
  <si>
    <t>주식회사 화신테크</t>
  </si>
  <si>
    <t>전도도미터</t>
  </si>
  <si>
    <t>16994</t>
  </si>
  <si>
    <t>써모피셔 사이언티픽 솔루션스 유한회사</t>
  </si>
  <si>
    <t>초저온냉동고 온도센서</t>
  </si>
  <si>
    <t>17299</t>
  </si>
  <si>
    <t>주식회사 이엠솔루션</t>
  </si>
  <si>
    <t>[2140000]건설중인자산</t>
  </si>
  <si>
    <t>건설중인자산 본계정 전환</t>
  </si>
  <si>
    <t>5</t>
  </si>
  <si>
    <t>1인용 크린벤치</t>
  </si>
  <si>
    <t>스타휠 캡핑기</t>
  </si>
  <si>
    <t>열화상카메라</t>
  </si>
  <si>
    <t>01683</t>
  </si>
  <si>
    <t>(주)에스원 동부</t>
  </si>
  <si>
    <t>스테인레스 테이블 리프트</t>
  </si>
  <si>
    <t>12810</t>
  </si>
  <si>
    <t>(주)나비엠알오</t>
  </si>
  <si>
    <t>크린룸 청소기</t>
  </si>
  <si>
    <t>16035</t>
  </si>
  <si>
    <t>금호전자</t>
  </si>
  <si>
    <t>경,중량랙</t>
  </si>
  <si>
    <t>15650</t>
  </si>
  <si>
    <t>영진앵글 주식회사</t>
  </si>
  <si>
    <t>기자재 소모품 보관함</t>
  </si>
  <si>
    <t>15895</t>
  </si>
  <si>
    <t>유한씨앤씨</t>
  </si>
  <si>
    <t>KGMP, ISO 22723 인증, CGMP(공장 구조 자문) 컨설팅, 시험, 밸리데이션</t>
  </si>
  <si>
    <t>13186</t>
  </si>
  <si>
    <t>(주)에스엠지코리아</t>
  </si>
  <si>
    <t>출입 방화문 대수선 해체/행정처리비</t>
  </si>
  <si>
    <t>크린룸 공사, 전기 증설, 이전 설비 훅업</t>
  </si>
  <si>
    <t>초순수시스템, 클린부스 설치공사 추가</t>
  </si>
  <si>
    <t>복층 공사</t>
  </si>
  <si>
    <t>차입원가자본화 건설중인자산 본계정 전환</t>
  </si>
  <si>
    <t>05177</t>
  </si>
  <si>
    <t>공통(계정대체)</t>
  </si>
  <si>
    <t>6</t>
  </si>
  <si>
    <t>승인일</t>
  </si>
  <si>
    <t>승인번호</t>
  </si>
  <si>
    <t>차변금액</t>
  </si>
  <si>
    <t>차변계정과목</t>
  </si>
  <si>
    <t>대변계정과목</t>
  </si>
  <si>
    <t>대변금액</t>
  </si>
  <si>
    <t>적요</t>
  </si>
  <si>
    <t>거래처코드</t>
  </si>
  <si>
    <t>거래처명</t>
  </si>
  <si>
    <t>작성일</t>
  </si>
  <si>
    <t>유형자산처분손실</t>
    <phoneticPr fontId="17" type="noConversion"/>
  </si>
  <si>
    <t>유형자산 폐기</t>
    <phoneticPr fontId="17" type="noConversion"/>
  </si>
  <si>
    <t>기계장치 반품</t>
    <phoneticPr fontId="17" type="noConversion"/>
  </si>
  <si>
    <t>대체</t>
  </si>
  <si>
    <t>시설장치</t>
  </si>
  <si>
    <t>소멸</t>
    <phoneticPr fontId="232" type="noConversion"/>
  </si>
  <si>
    <t>해고급여</t>
  </si>
  <si>
    <t>제 14(당) 기</t>
  </si>
  <si>
    <t>제 13(전) 기</t>
  </si>
  <si>
    <t>2026-03-18</t>
  </si>
  <si>
    <t>2026-03-17</t>
  </si>
  <si>
    <t>2026-03-09</t>
  </si>
  <si>
    <t>2026-03-03</t>
  </si>
  <si>
    <t>2026-02-27</t>
  </si>
  <si>
    <t>2026-02-20</t>
  </si>
  <si>
    <t>2026-02-19</t>
  </si>
  <si>
    <t>2026-02-13</t>
  </si>
  <si>
    <t>2026-02-10</t>
  </si>
  <si>
    <t>2026-02-09</t>
  </si>
  <si>
    <t>2026-02-05</t>
  </si>
  <si>
    <t>2026-02-04</t>
  </si>
  <si>
    <t>2026-02-02</t>
  </si>
  <si>
    <t>2026-01-30</t>
  </si>
  <si>
    <t>2026-01-29</t>
  </si>
  <si>
    <t>2026-01-28</t>
  </si>
  <si>
    <t>2026-01-23</t>
  </si>
  <si>
    <t>2026-01-20</t>
  </si>
  <si>
    <t>2026-01-19</t>
  </si>
  <si>
    <t>2026-01-15</t>
  </si>
  <si>
    <t>2026-01-08</t>
  </si>
  <si>
    <t>2026-01-02</t>
  </si>
  <si>
    <t>(미국)15/308,291 필러용 폴리디옥사논 입자의 
제조방법</t>
  </si>
  <si>
    <t>(중국) 201580011454.1 필러용폴리디옥사논 
입자의 제조방법</t>
  </si>
  <si>
    <t>(유럽) EP-14P-0090590 필러용폴리디옥사논 입자의 제조방법</t>
  </si>
  <si>
    <t>(국내) 생분해성 고분자 소재의 제조방법, 생분해성 고분자 소재 및 이를 이용하여 제조한 뼈 조직 고정용 제품 2080000231</t>
  </si>
  <si>
    <t>(국내) 친수성 고분자 및 소수성 고분자를 포함하는 하이드로젤 입자 및 그의 제조방법 2080000232</t>
  </si>
  <si>
    <t>(국내) 범용전기수술기</t>
  </si>
  <si>
    <t>(국내) 하이브리드 하이드로젤 제조 방법</t>
  </si>
  <si>
    <t>(국내) 의료용 조합 자극기</t>
  </si>
  <si>
    <t>(국내) 의료용 핸드피스</t>
  </si>
  <si>
    <t>(국내) 필러용 유무기 복합 미세입자의 제조 방법, 및 이를 포함하는 주</t>
  </si>
  <si>
    <t>(일본)2016-549751 필러용 폴리디옥사논 
입자의 제조방법</t>
  </si>
  <si>
    <t>(국내) 필러용 생분해성 고분자 미세입자, 그 제조방법 및 이를 포함하는 동결건조체 및 필러용 주사제(선급금-&gt;특허권)</t>
    <phoneticPr fontId="193" type="noConversion"/>
  </si>
  <si>
    <t>(국내) 의료용 조합자극기 및 그 제어방법 특허 등록료</t>
  </si>
  <si>
    <t>(일본) 필러용 생분해성 고분자 미세입자, 이를 포함한 필러용 동결건조체</t>
  </si>
  <si>
    <t>(일본) 필러용 생분해성 고분자 미세입자, 그 제조방법 및 이를 포함하는</t>
  </si>
  <si>
    <t>(미국) 필러용 생분해성 고분자 미세입자, 그 제조방법 및 이를 포함하는</t>
  </si>
  <si>
    <t>(국내) 성형용 필러 조성물의 제조방법</t>
  </si>
  <si>
    <t>(국내) 성형용 복합바늘 출원</t>
  </si>
  <si>
    <t>(국내) 탈모방지 또는 발모촉진을 위한 조성물 및 이의 제조방법</t>
  </si>
  <si>
    <t>생분해성 고분자 미세입자의 혼합물로 구성된 성형용 필러 조성물의 제조 방법</t>
  </si>
  <si>
    <t>화장료 조성물 및 이의 제조방법</t>
  </si>
  <si>
    <t>2액 혼합용기 및 그 충전방법</t>
  </si>
  <si>
    <t>연골세포 분화능 및 콜라겐 활성을 위한 필러 조성물 및 이의 제조방법</t>
  </si>
  <si>
    <t>(국내) 향균안면조직고정용실 비용</t>
  </si>
  <si>
    <t>(국내) 의료용 조합 자극기 비용</t>
  </si>
  <si>
    <t>(브라질) 필러용 생분해성 고분자 미세입자의 제조 방법, 및 이를 포함하는 주사제의 제조 방법</t>
  </si>
  <si>
    <t>(독일)필러용 생분해성 고분자 미세입자, 그 제조방법 및 이를 포함하는 동결건조체 및 필러용 주사제</t>
  </si>
  <si>
    <t>(독일)필러용 생분해성 고분자 미세입자, 이를 포함한 필러용 동결건조체, 그 제조방법 및 상기 동결건조체를 포함하는 필러용 주사제</t>
  </si>
  <si>
    <t>(브라질) 필러용 생분해성 고분자 미세입자의 제조 방법, 및 이를 포함하는 주사제의 제조 방법(선급금-&gt;특허권)</t>
  </si>
  <si>
    <t>공시기준 dsd수치로 참고</t>
    <phoneticPr fontId="232" type="noConversion"/>
  </si>
  <si>
    <t>26_2Q_재무제표</t>
    <phoneticPr fontId="232" type="noConversion"/>
  </si>
  <si>
    <t xml:space="preserve">   당기 :   779,752,791</t>
  </si>
  <si>
    <t xml:space="preserve">   전기 :   -955,837,892</t>
  </si>
  <si>
    <t>2026. 06</t>
    <phoneticPr fontId="14" type="noConversion"/>
  </si>
  <si>
    <t>당반기</t>
    <phoneticPr fontId="6" type="noConversion"/>
  </si>
  <si>
    <t>전반기</t>
    <phoneticPr fontId="6" type="noConversion"/>
  </si>
  <si>
    <t>제 14(당)기 반기</t>
  </si>
  <si>
    <t>제 13(전)기 반기</t>
  </si>
  <si>
    <t>Ⅵ. 반기순이익</t>
  </si>
  <si>
    <t>　기본주당이익</t>
  </si>
  <si>
    <t>　희석주당이익</t>
  </si>
  <si>
    <t>제 15 기 1분기</t>
  </si>
  <si>
    <t>제 14 기 1분기</t>
  </si>
  <si>
    <t>매출</t>
  </si>
  <si>
    <t>기타수익</t>
  </si>
  <si>
    <t>법인세비용차감전순이익(손실)</t>
  </si>
  <si>
    <t>법인세비용(수익)</t>
  </si>
  <si>
    <t>　후속적으로 당기손익으로 재분류되지 않은 기타포괄손익</t>
  </si>
  <si>
    <t>　　순확정급여부채 재측정요소</t>
  </si>
  <si>
    <t>주당이익</t>
  </si>
  <si>
    <t>　기본주당이익(손실) (단위 : 원)</t>
  </si>
  <si>
    <t>　희석주당이익(손실) (단위 : 원)</t>
  </si>
  <si>
    <t>2025.01.01(전기초)</t>
    <phoneticPr fontId="6" type="noConversion"/>
  </si>
  <si>
    <t>2025.06.30(전반기말)</t>
    <phoneticPr fontId="6" type="noConversion"/>
  </si>
  <si>
    <t>25년 2분기말 잔액</t>
    <phoneticPr fontId="6" type="noConversion"/>
  </si>
  <si>
    <t>2026.06.30(당기말)</t>
    <phoneticPr fontId="6" type="noConversion"/>
  </si>
  <si>
    <t>사용권자산 처분</t>
    <phoneticPr fontId="17" type="noConversion"/>
  </si>
  <si>
    <t>사용권자산 취득</t>
    <phoneticPr fontId="17" type="noConversion"/>
  </si>
  <si>
    <t>취득가액</t>
    <phoneticPr fontId="17" type="noConversion"/>
  </si>
  <si>
    <t>감누액</t>
    <phoneticPr fontId="17" type="noConversion"/>
  </si>
  <si>
    <t>종속기업투자주식</t>
    <phoneticPr fontId="232" type="noConversion"/>
  </si>
  <si>
    <t>관계기업투자주식</t>
    <phoneticPr fontId="232" type="noConversion"/>
  </si>
  <si>
    <t>종속기업 대체</t>
    <phoneticPr fontId="232" type="noConversion"/>
  </si>
  <si>
    <t>관계-&gt;종속</t>
    <phoneticPr fontId="17" type="noConversion"/>
  </si>
  <si>
    <t>리스부채(비유동)</t>
    <phoneticPr fontId="17" type="noConversion"/>
  </si>
  <si>
    <t>리스부채(유동)</t>
    <phoneticPr fontId="17" type="noConversion"/>
  </si>
  <si>
    <t>신규리스, 리스처분</t>
    <phoneticPr fontId="17" type="noConversion"/>
  </si>
  <si>
    <t>25.2q반기 공시 내역</t>
    <phoneticPr fontId="232" type="noConversion"/>
  </si>
  <si>
    <t>당분기</t>
  </si>
  <si>
    <t>26.1q 분기 공시 내역</t>
    <phoneticPr fontId="232" type="noConversion"/>
  </si>
  <si>
    <t>대손상각비</t>
    <phoneticPr fontId="232" type="noConversion"/>
  </si>
  <si>
    <t>Ref. 26_2Q_매출대손v1</t>
    <phoneticPr fontId="214" type="noConversion"/>
  </si>
  <si>
    <t>26.1Q 공시</t>
  </si>
  <si>
    <t>26.1Q 공시</t>
    <phoneticPr fontId="193" type="noConversion"/>
  </si>
  <si>
    <t>기타의대손상각비</t>
  </si>
  <si>
    <t>보상비</t>
  </si>
  <si>
    <t>&lt;1분기 공시&gt;</t>
    <phoneticPr fontId="232" type="noConversion"/>
  </si>
  <si>
    <t>26'2Q_판관비 분석_v1</t>
    <phoneticPr fontId="232" type="noConversion"/>
  </si>
  <si>
    <t xml:space="preserve">      직    원   급   여</t>
  </si>
  <si>
    <t xml:space="preserve">      상     여     금</t>
  </si>
  <si>
    <t xml:space="preserve">      퇴    직   급   여</t>
  </si>
  <si>
    <t xml:space="preserve">      주  식  보  상  비</t>
  </si>
  <si>
    <t xml:space="preserve">      복  리  후  생  비</t>
  </si>
  <si>
    <t xml:space="preserve">      여  비  교  통  비</t>
  </si>
  <si>
    <t xml:space="preserve">      접      대      비</t>
  </si>
  <si>
    <t xml:space="preserve">      통      신      비</t>
  </si>
  <si>
    <t xml:space="preserve">      가  스  수  도  료</t>
  </si>
  <si>
    <t xml:space="preserve">      수  도  광  열  비</t>
  </si>
  <si>
    <t xml:space="preserve">      전      력      비</t>
  </si>
  <si>
    <t xml:space="preserve">      세  금 과 공 과 금</t>
  </si>
  <si>
    <t xml:space="preserve">      감  가  상  각  비</t>
  </si>
  <si>
    <t xml:space="preserve">      지  급  임  차  료</t>
  </si>
  <si>
    <t xml:space="preserve">      수      선      비</t>
  </si>
  <si>
    <t xml:space="preserve">      보      험      료</t>
  </si>
  <si>
    <t xml:space="preserve">      차  량  유  지  비</t>
  </si>
  <si>
    <t xml:space="preserve">      경 상 연 구 개발비</t>
  </si>
  <si>
    <t xml:space="preserve">      운      반      비</t>
  </si>
  <si>
    <t xml:space="preserve">      교  육  훈  련  비</t>
  </si>
  <si>
    <t xml:space="preserve">      도  서  인  쇄  비</t>
  </si>
  <si>
    <t xml:space="preserve">      사  무  용  품  비</t>
  </si>
  <si>
    <t xml:space="preserve">      소    모   품   비</t>
  </si>
  <si>
    <t xml:space="preserve">      지  급  수  수  료</t>
  </si>
  <si>
    <t xml:space="preserve">      외  주  가  공  비</t>
  </si>
  <si>
    <t xml:space="preserve">      광  고  선  전  비</t>
  </si>
  <si>
    <t xml:space="preserve">      대  손  상  각  비</t>
  </si>
  <si>
    <t xml:space="preserve">      건  물  관  리  비</t>
  </si>
  <si>
    <t xml:space="preserve">      수  출  제  비  용</t>
  </si>
  <si>
    <t xml:space="preserve">      판  매  수  수  료</t>
  </si>
  <si>
    <t xml:space="preserve">      무 형 고정자산상각</t>
  </si>
  <si>
    <t xml:space="preserve">      인  력  개  발  비</t>
  </si>
  <si>
    <t xml:space="preserve"> 의학 및 약학 연구개발업</t>
  </si>
  <si>
    <t>익산 본점</t>
  </si>
  <si>
    <t>(국내)의료용조합자극기(1028898760000)</t>
  </si>
  <si>
    <t>1분기 공시</t>
    <phoneticPr fontId="232" type="noConversion"/>
  </si>
  <si>
    <t>- 당분기</t>
  </si>
  <si>
    <t>- 전분기</t>
  </si>
  <si>
    <t>//ref. 26'2Q_기초의계약부채잔액중당분기에인식한수익_v1</t>
    <phoneticPr fontId="232" type="noConversion"/>
  </si>
  <si>
    <t>2026-04-28</t>
  </si>
  <si>
    <t>Npay 비상장</t>
  </si>
  <si>
    <t>2026-04-27</t>
  </si>
  <si>
    <t>2026-04-08</t>
  </si>
  <si>
    <t>감사 수정사항</t>
    <phoneticPr fontId="232" type="noConversion"/>
  </si>
  <si>
    <t>차입원가 자본화 수정</t>
    <phoneticPr fontId="232" type="noConversion"/>
  </si>
  <si>
    <t>이자비용</t>
    <phoneticPr fontId="232" type="noConversion"/>
  </si>
  <si>
    <t>종속기업투자주식의 증가</t>
    <phoneticPr fontId="6" type="noConversion"/>
  </si>
  <si>
    <t>전반기</t>
    <phoneticPr fontId="193" type="noConversion"/>
  </si>
  <si>
    <t>ULTRA V HONGKONG 
LIMITED</t>
    <phoneticPr fontId="193" type="noConversion"/>
  </si>
  <si>
    <t>ULTRA V SHANGHAI 
LIMITED</t>
    <phoneticPr fontId="193" type="noConversion"/>
  </si>
  <si>
    <t>ULTRA V (SG)
PTE.LTD</t>
    <phoneticPr fontId="232" type="noConversion"/>
  </si>
  <si>
    <t>(4) 종속기업 및 관계기업의 현재 요약 경영성과는 다음과 같습니다.</t>
    <phoneticPr fontId="193" type="noConversion"/>
  </si>
  <si>
    <t>함정율 외 2인</t>
    <phoneticPr fontId="19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</si>
</sst>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1">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
    <numFmt numFmtId="177" formatCode="#,##0_);\(#,##0\);&quot;-&quot;\ "/>
    <numFmt numFmtId="178" formatCode="0.0%"/>
    <numFmt numFmtId="179" formatCode="#,##0.00000000_);\(#,##0.00000000\);&quot;-&quot;\ "/>
    <numFmt numFmtId="180" formatCode="_ * #,##0_ ;_ * \-#,##0_ ;_ * &quot;-&quot;_ ;_ @_ "/>
    <numFmt numFmtId="181" formatCode="0_ "/>
    <numFmt numFmtId="182" formatCode="&quot;113-&quot;@"/>
    <numFmt numFmtId="183" formatCode=";;"/>
    <numFmt numFmtId="184" formatCode=";;;"/>
    <numFmt numFmtId="185" formatCode="_(&quot;$&quot;* #,##0.00_);_(&quot;$&quot;* \(#,##0.00\);_(&quot;$&quot;* &quot;-&quot;??_);_(@_)"/>
    <numFmt numFmtId="186" formatCode="#."/>
    <numFmt numFmtId="187" formatCode="h\:mm\:ss\ AM/PM"/>
    <numFmt numFmtId="188" formatCode="_ * #,##0.00_ ;_ * \-#,##0.00_ ;_ * &quot;-&quot;??_ ;_ @_ "/>
    <numFmt numFmtId="189" formatCode="0.0"/>
    <numFmt numFmtId="190" formatCode="_(&quot;￡&quot;* #,##0_);_(&quot;￡&quot;* \(#,##0\);_(&quot;￡&quot;* &quot;-&quot;_);_(@_)"/>
    <numFmt numFmtId="191" formatCode="_(&quot;￡&quot;* #,##0.0_);_(&quot;￡&quot;* \(#,##0.0\);_(&quot;￡&quot;* &quot;-&quot;_);_(@_)"/>
    <numFmt numFmtId="192" formatCode="_(&quot;￡&quot;* #,##0.00_);_(&quot;￡&quot;* \(#,##0.00\);_(&quot;￡&quot;* &quot;-&quot;_);_(@_)"/>
    <numFmt numFmtId="193" formatCode="_(* #,##0\p_);_(* \(#,##0\p\);_(* &quot;-&quot;\ \p_);_(@_)"/>
    <numFmt numFmtId="194" formatCode="_(* #,##0.00\p_);_(* \(#,##0.00\p\);_(* &quot;-&quot;\ \p_);_(@_)"/>
    <numFmt numFmtId="195" formatCode="&quot;￡&quot;#,##0.00"/>
    <numFmt numFmtId="196" formatCode="#,##0_-;&quot;△&quot;#,##0_-;\-"/>
    <numFmt numFmtId="197" formatCode="#.00"/>
    <numFmt numFmtId="198" formatCode="#,##0.0"/>
    <numFmt numFmtId="199" formatCode="_-&quot;$&quot;* #,##0_-;\-&quot;$&quot;* #,##0_-;_-&quot;$&quot;* &quot;-&quot;_-;_-@_-"/>
    <numFmt numFmtId="200" formatCode="0.0000\ "/>
    <numFmt numFmtId="201" formatCode="&quot;$&quot;#,##0.0_);\(&quot;$&quot;#,##0.0\)"/>
    <numFmt numFmtId="202" formatCode="0.0000000"/>
    <numFmt numFmtId="203" formatCode="&quot;₩&quot;#,##0.00;[Red]&quot;₩&quot;\-#,##0.00"/>
    <numFmt numFmtId="204" formatCode="_ &quot;₩&quot;* #,##0_ ;_ &quot;₩&quot;* \-#,##0_ ;_ &quot;₩&quot;* &quot;-&quot;_ ;_ @_ "/>
    <numFmt numFmtId="205" formatCode="_-&quot;W&quot;* #,##0_-;\-&quot;W&quot;* #,##0_-;_-&quot;W&quot;* &quot;-&quot;_-;_-@_-"/>
    <numFmt numFmtId="206" formatCode="&quot;₩&quot;#,##0;[Red]&quot;₩&quot;\-#,##0"/>
    <numFmt numFmtId="207" formatCode="_ &quot;₩&quot;* #,##0.00_ ;_ &quot;₩&quot;* \-#,##0.00_ ;_ &quot;₩&quot;* &quot;-&quot;??_ ;_ @_ "/>
    <numFmt numFmtId="208" formatCode="_-&quot;W&quot;* #,##0.00_-;\-&quot;W&quot;* #,##0.00_-;_-&quot;W&quot;* &quot;-&quot;??_-;_-@_-"/>
    <numFmt numFmtId="209" formatCode="_(&quot;$&quot;* #,##0_);_(&quot;$&quot;* \(#,##0\);_(&quot;$&quot;* &quot;-&quot;_);_(@_)"/>
    <numFmt numFmtId="210" formatCode="%#.00"/>
    <numFmt numFmtId="211" formatCode="\(#,##0\)"/>
    <numFmt numFmtId="212" formatCode="\&lt;#,##0\&gt;"/>
    <numFmt numFmtId="213" formatCode="#,##0%;\-#,##0%;\-\%"/>
    <numFmt numFmtId="214" formatCode="#,##0.0%;\-#,##0.0%;\-\%"/>
    <numFmt numFmtId="215" formatCode="#,##0.00%;\-#,##0.00%;\-\%"/>
    <numFmt numFmtId="216" formatCode="#,##0;\-#,##0;\-\ "/>
    <numFmt numFmtId="217" formatCode="#,##0.00;\-#,##0.00;\-\ "/>
    <numFmt numFmtId="218" formatCode="#,##0.000;\-#,##0.000;\-\ "/>
    <numFmt numFmtId="219" formatCode="#,##0;[Red]&quot;-&quot;#,##0"/>
    <numFmt numFmtId="220" formatCode="#,##0.00;[Red]&quot;-&quot;#,##0.00"/>
    <numFmt numFmtId="221" formatCode="#,##0."/>
    <numFmt numFmtId="222" formatCode="#,##0;\-#,##0;&quot;-&quot;"/>
    <numFmt numFmtId="223" formatCode="#,##0.0_);\(#,##0.0\)"/>
    <numFmt numFmtId="224" formatCode="_(* #,##0.0000_);_(* \(#,##0.0000\);_(* &quot;-&quot;??_);_(@_)"/>
    <numFmt numFmtId="225" formatCode="0.0%;[Red]\(0.0%\)"/>
    <numFmt numFmtId="226" formatCode="\(0.0\)"/>
    <numFmt numFmtId="227" formatCode="0.0%;\(0.0%\)"/>
    <numFmt numFmtId="228" formatCode="0.000_)"/>
    <numFmt numFmtId="229" formatCode="_(* #,##0.0_);_(* \(#,##0.0\);_(* &quot;-&quot;??_);_(@_)"/>
    <numFmt numFmtId="230" formatCode="d/m/yy\ h:mm"/>
    <numFmt numFmtId="231" formatCode="&quot;SFr.&quot;#,##0.00;[Red]&quot;SFr.&quot;\-#,##0.00"/>
    <numFmt numFmtId="232" formatCode="_(* #,##0_);_(* \(#,##0\);_(* &quot;-&quot;??_);_(@_)"/>
    <numFmt numFmtId="233" formatCode="&quot;SFr.&quot;\ #,##0;[Red]&quot;SFr.&quot;\ \-#,##0"/>
    <numFmt numFmtId="234" formatCode="_(&quot;$&quot;* #,##0.0_);_(&quot;$&quot;* \(#,##0.0\);_(&quot;$&quot;* &quot;-&quot;_);_(@_)"/>
    <numFmt numFmtId="235" formatCode="\$#,##0.00"/>
    <numFmt numFmtId="236" formatCode="_-&quot;$&quot;* #,##0.00_-;\-&quot;$&quot;* #,##0.00_-;_-&quot;$&quot;* &quot;-&quot;??_-;_-@_-"/>
    <numFmt numFmtId="237" formatCode="#,##0,&quot;₩&quot;\!\+000"/>
    <numFmt numFmtId="238" formatCode="_-* #,##0\ _D_M_-;\-* #,##0\ _D_M_-;_-* &quot;-&quot;\ _D_M_-;_-@_-"/>
    <numFmt numFmtId="239" formatCode="_-* #,##0.00\ _D_M_-;\-* #,##0.00\ _D_M_-;_-* &quot;-&quot;??\ _D_M_-;_-@_-"/>
    <numFmt numFmtId="240" formatCode="d\-mmm\-yy;;\-\ "/>
    <numFmt numFmtId="241" formatCode="0.0000&quot;  &quot;"/>
    <numFmt numFmtId="242" formatCode="&quot;$&quot;#,##0.00"/>
    <numFmt numFmtId="243" formatCode="_-* #,##0\ _P_t_s_-;\-* #,##0\ _P_t_s_-;_-* &quot;-&quot;\ _P_t_s_-;_-@_-"/>
    <numFmt numFmtId="244" formatCode="_-* #,##0.00\ _P_t_s_-;\-* #,##0.00\ _P_t_s_-;_-* &quot;-&quot;??\ _P_t_s_-;_-@_-"/>
    <numFmt numFmtId="245" formatCode="\$#.00"/>
    <numFmt numFmtId="246" formatCode="\$#."/>
    <numFmt numFmtId="247" formatCode="_-[$€-2]* #,##0.00_-;\-[$€-2]* #,##0.00_-;_-[$€-2]* &quot;-&quot;??_-"/>
    <numFmt numFmtId="248" formatCode="#,&quot;천원&quot;"/>
    <numFmt numFmtId="249" formatCode="&quot;SFr.&quot;#,##0.00;&quot;SFr.&quot;\-#,##0.00"/>
    <numFmt numFmtId="250" formatCode="&quot;$&quot;#,##0.00_);\(&quot;$&quot;#,##0.00\)"/>
    <numFmt numFmtId="251" formatCode="#,##0.0_);&quot;₩&quot;&quot;₩&quot;&quot;₩&quot;\!\!\!\(#,##0.0&quot;₩&quot;&quot;₩&quot;&quot;₩&quot;\!\!\!\)"/>
    <numFmt numFmtId="252" formatCode="#,##0&quot;Cr$&quot;_);[Red]\(#,##0&quot;Cr$&quot;\)"/>
    <numFmt numFmtId="253" formatCode="#,##0.00&quot;Cr$&quot;_);\(#,##0.00&quot;Cr$&quot;\)"/>
    <numFmt numFmtId="254" formatCode="#,##0.0;[Red]\-#,##0.0"/>
    <numFmt numFmtId="255" formatCode="yyyy\-mm\-dd\ hh:mm:ss\.ss"/>
    <numFmt numFmtId="256" formatCode="_-* #,##0\ &quot;Pts&quot;_-;\-* #,##0\ &quot;Pts&quot;_-;_-* &quot;-&quot;\ &quot;Pts&quot;_-;_-@_-"/>
    <numFmt numFmtId="257" formatCode="_-* #,##0.00\ &quot;Pts&quot;_-;\-* #,##0.00\ &quot;Pts&quot;_-;_-* &quot;-&quot;??\ &quot;Pts&quot;_-;_-@_-"/>
    <numFmt numFmtId="258" formatCode="#,##0\ &quot;F&quot;;[Red]\-#,##0\ &quot;F&quot;"/>
    <numFmt numFmtId="259" formatCode="#,##0.00\ &quot;F&quot;;[Red]\-#,##0.00\ &quot;F&quot;"/>
    <numFmt numFmtId="260" formatCode="0.0\x"/>
    <numFmt numFmtId="261" formatCode="_(* #,##0\ \x_);_(* \(#,##0\ \x\);_(* &quot;-&quot;??_);_(@_)"/>
    <numFmt numFmtId="262" formatCode="_(* #,##0.0\ \x_);_(* \(#,##0.0\ \x\);_(* &quot;-&quot;??_);_(@_)"/>
    <numFmt numFmtId="263" formatCode="0.00000000"/>
    <numFmt numFmtId="264" formatCode="&quot;(&quot;#,##0&quot;)&quot;;&quot;(&quot;&quot;-&quot;&quot;)&quot;&quot;(&quot;#,##0&quot;)&quot;"/>
    <numFmt numFmtId="265" formatCode="#,##0;#,##0"/>
    <numFmt numFmtId="266" formatCode="&quot;(&quot;#,##0&quot;)&quot;;&quot;(&quot;#,##0&quot;)&quot;"/>
    <numFmt numFmtId="267" formatCode="0%_);\(0%\)"/>
    <numFmt numFmtId="268" formatCode="yyyy&quot;/&quot;m&quot;/&quot;d"/>
    <numFmt numFmtId="269" formatCode="&quot;$&quot;#,##0;&quot;₩&quot;&quot;₩&quot;&quot;₩&quot;\!\!\!\-&quot;$&quot;#,##0"/>
    <numFmt numFmtId="270" formatCode="#,##0.0\x;\-#,##0.0\x;\-\ "/>
    <numFmt numFmtId="271" formatCode="#,##0.00\x;\-#,##0.00\x;\-\ "/>
    <numFmt numFmtId="272" formatCode="#,##0\ &quot;R$&quot;;\-#,##0\ &quot;R$&quot;"/>
    <numFmt numFmtId="273" formatCode="#,##0.00\ &quot;R$&quot;;\-#,##0.00\ &quot;R$&quot;"/>
    <numFmt numFmtId="274" formatCode="\(\-0.0\)"/>
    <numFmt numFmtId="275" formatCode="\(\-\-0.0\)"/>
    <numFmt numFmtId="276" formatCode="_-* #,##0.00\ _E_s_c_._-;\-* #,##0.00\ _E_s_c_._-;_-* &quot;-&quot;??\ _E_s_c_._-;_-@_-"/>
    <numFmt numFmtId="277" formatCode="_-* #,##0\ &quot;DM&quot;_-;\-* #,##0\ &quot;DM&quot;_-;_-* &quot;-&quot;\ &quot;DM&quot;_-;_-@_-"/>
    <numFmt numFmtId="278" formatCode="_-* #,##0.00\ &quot;DM&quot;_-;\-* #,##0.00\ &quot;DM&quot;_-;_-* &quot;-&quot;??\ &quot;DM&quot;_-;_-@_-"/>
    <numFmt numFmtId="279" formatCode="#,##0\ &quot;DM&quot;;[Red]\-#,##0\ &quot;DM&quot;"/>
    <numFmt numFmtId="280" formatCode="#,##0.00\ &quot;DM&quot;;[Red]\-#,##0.00\ &quot;DM&quot;"/>
    <numFmt numFmtId="281" formatCode="yyyy"/>
    <numFmt numFmtId="282" formatCode="&quot;₩&quot;#,##0_);&quot;₩&quot;&quot;₩&quot;\(&quot;₩&quot;#,##0&quot;₩&quot;&quot;₩&quot;\)"/>
    <numFmt numFmtId="283" formatCode="_ * #,##0.0_ ;_ * \-#,##0.0_ ;_ * &quot;-&quot;_ ;_ @_ "/>
    <numFmt numFmtId="284" formatCode="_-* #,##0_-;_-* \(\-\)#,##0_-;_-* &quot;-&quot;_-;_-@_-"/>
    <numFmt numFmtId="285" formatCode="#,##0;\(\-\)#,##0;\-"/>
    <numFmt numFmtId="286" formatCode="#,##0&quot;명&quot;"/>
    <numFmt numFmtId="287" formatCode="\(#,##0\);\(&quot;△&quot;#,##0\)"/>
    <numFmt numFmtId="288" formatCode="yyyy&quot;년&quot;\ m&quot;월&quot;\ d&quot;일&quot;"/>
    <numFmt numFmtId="289" formatCode="#,##0.000000;&quot;△&quot;#,##0.000000"/>
    <numFmt numFmtId="290" formatCode="&quot;PG1130&quot;@&quot;01&quot;"/>
    <numFmt numFmtId="291" formatCode="yyyy/m/d"/>
    <numFmt numFmtId="292" formatCode="&quot;RM&quot;#,##0_);[Red]\(&quot;RM&quot;#,##0\)"/>
    <numFmt numFmtId="293" formatCode="&quot;₩&quot;#,##0;[Red]&quot;₩&quot;\!\-&quot;₩&quot;#,##0"/>
    <numFmt numFmtId="294" formatCode="&quot;￦ &quot;#,##0_);\(&quot;￦ &quot;#,##0\);&quot;￦ &quot;\-_)"/>
    <numFmt numFmtId="295" formatCode="mm&quot;월&quot;\ dd&quot;일&quot;"/>
    <numFmt numFmtId="296" formatCode="&quot;₩&quot;\!\(0\!.0%&quot;₩&quot;\!\)"/>
    <numFmt numFmtId="297" formatCode="#,##0_ ;[Red]\-#,##0\ "/>
    <numFmt numFmtId="298" formatCode="#,##0.0_ "/>
    <numFmt numFmtId="299" formatCode="###,##0"/>
    <numFmt numFmtId="300" formatCode="#,##0_);[Red]\(#,##0\)"/>
    <numFmt numFmtId="301" formatCode="#,##0;[Red]\(#,##0\);\-"/>
    <numFmt numFmtId="302" formatCode="#,##0;[Red]\(#,##0\);&quot;-&quot;"/>
    <numFmt numFmtId="303" formatCode="_(* #,##0.00_);_(* \(#,##0.00\);_(* &quot;-&quot;??_);_(@_)"/>
    <numFmt numFmtId="304" formatCode="#,##0.0000_);\(#,##0.0000\);&quot;-&quot;\ "/>
    <numFmt numFmtId="305" formatCode="_(* #,##0_);_(* \(#,##0\);_(* &quot;-&quot;_);_(@_)"/>
    <numFmt numFmtId="306" formatCode="#,##0.00;[Red]\(#,##0.00\);\-"/>
    <numFmt numFmtId="307" formatCode="#,##0.00&quot;년&quot;;[Red]\(#,##0.00\);\-"/>
    <numFmt numFmtId="308" formatCode="#,##0.00000;[Red]\(#,##0.00000\);\-"/>
    <numFmt numFmtId="309" formatCode="#,##0&quot;주&quot;;[Red]\-#,##0"/>
    <numFmt numFmtId="310" formatCode="#,##0.00000;[Red]\(#,##0.00000\);&quot;-&quot;"/>
    <numFmt numFmtId="311" formatCode="#,###"/>
    <numFmt numFmtId="312" formatCode="#,##0;\(#,##0\);\-"/>
    <numFmt numFmtId="313" formatCode="#,##0_);[Red]\(#,##0\);\-_)"/>
    <numFmt numFmtId="314" formatCode="_-* #,##0.00_-;\-* #,##0.00_-;_-* &quot;-&quot;_-;_-@_-"/>
    <numFmt numFmtId="315" formatCode="#,##0.0000000;[Red]\(#,##0.0000000\);&quot;-&quot;"/>
    <numFmt numFmtId="316" formatCode="#,##0,,;[Red]\(#,##0\);&quot;-&quot;"/>
    <numFmt numFmtId="317" formatCode="0.000%"/>
    <numFmt numFmtId="318" formatCode="0_);[Red]\(0\)"/>
    <numFmt numFmtId="319" formatCode="yyyy-mm-dd"/>
    <numFmt numFmtId="320" formatCode="#,###;\(#,###\);\-"/>
    <numFmt numFmtId="321" formatCode="0;-0"/>
  </numFmts>
  <fonts count="286">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10"/>
      <name val="Arial"/>
      <family val="2"/>
    </font>
    <font>
      <sz val="11"/>
      <name val="돋움"/>
      <family val="3"/>
      <charset val="129"/>
    </font>
    <font>
      <sz val="8"/>
      <name val="돋움"/>
      <family val="3"/>
      <charset val="129"/>
    </font>
    <font>
      <b/>
      <sz val="10"/>
      <name val="맑은 고딕"/>
      <family val="3"/>
      <charset val="129"/>
    </font>
    <font>
      <sz val="10"/>
      <name val="맑은 고딕"/>
      <family val="3"/>
      <charset val="129"/>
    </font>
    <font>
      <b/>
      <sz val="9"/>
      <name val="맑은 고딕"/>
      <family val="3"/>
      <charset val="129"/>
    </font>
    <font>
      <sz val="9"/>
      <name val="맑은 고딕"/>
      <family val="3"/>
      <charset val="129"/>
    </font>
    <font>
      <sz val="8"/>
      <name val="굴림체"/>
      <family val="3"/>
      <charset val="129"/>
    </font>
    <font>
      <u/>
      <sz val="18"/>
      <name val="Times New Roman"/>
      <family val="1"/>
    </font>
    <font>
      <sz val="9"/>
      <name val="굴림체"/>
      <family val="3"/>
      <charset val="129"/>
    </font>
    <font>
      <sz val="8"/>
      <name val="맑은 고딕"/>
      <family val="3"/>
      <charset val="129"/>
    </font>
    <font>
      <sz val="10"/>
      <name val="굴림"/>
      <family val="3"/>
      <charset val="129"/>
    </font>
    <font>
      <sz val="10"/>
      <name val="Times New Roman"/>
      <family val="1"/>
    </font>
    <font>
      <sz val="12"/>
      <name val="바탕체"/>
      <family val="1"/>
      <charset val="129"/>
    </font>
    <font>
      <sz val="10"/>
      <name val="바탕체"/>
      <family val="1"/>
      <charset val="129"/>
    </font>
    <font>
      <sz val="12"/>
      <name val="돋움체"/>
      <family val="3"/>
      <charset val="129"/>
    </font>
    <font>
      <b/>
      <sz val="10"/>
      <name val="MS Sans Serif"/>
      <family val="2"/>
    </font>
    <font>
      <sz val="10"/>
      <name val="굴림체"/>
      <family val="3"/>
      <charset val="129"/>
    </font>
    <font>
      <sz val="10"/>
      <name val="MS Sans Serif"/>
      <family val="2"/>
    </font>
    <font>
      <sz val="1"/>
      <color indexed="8"/>
      <name val="Courier"/>
      <family val="3"/>
    </font>
    <font>
      <sz val="10"/>
      <name val="¹UAAA¼"/>
      <family val="3"/>
      <charset val="129"/>
    </font>
    <font>
      <sz val="12"/>
      <name val="Times New Roman"/>
      <family val="1"/>
    </font>
    <font>
      <i/>
      <sz val="12"/>
      <name val="바탕체"/>
      <family val="1"/>
      <charset val="129"/>
    </font>
    <font>
      <sz val="10"/>
      <color indexed="12"/>
      <name val="Helv"/>
      <family val="2"/>
    </font>
    <font>
      <sz val="12"/>
      <name val="???"/>
      <family val="1"/>
    </font>
    <font>
      <sz val="12"/>
      <name val="굴림체"/>
      <family val="3"/>
      <charset val="129"/>
    </font>
    <font>
      <u/>
      <sz val="11"/>
      <color indexed="36"/>
      <name val="굃굍 굊긕긘긞긏"/>
      <family val="3"/>
      <charset val="129"/>
    </font>
    <font>
      <sz val="10"/>
      <name val="Helv"/>
      <family val="2"/>
    </font>
    <font>
      <b/>
      <sz val="12"/>
      <name val="¹UAAA¼"/>
      <family val="3"/>
      <charset val="129"/>
    </font>
    <font>
      <sz val="10"/>
      <color indexed="8"/>
      <name val="Geneva"/>
      <family val="2"/>
    </font>
    <font>
      <sz val="10"/>
      <name val="Geneva"/>
      <family val="2"/>
    </font>
    <font>
      <sz val="11"/>
      <name val="돋움체"/>
      <family val="3"/>
      <charset val="129"/>
    </font>
    <font>
      <sz val="12"/>
      <name val="명조"/>
      <family val="3"/>
      <charset val="129"/>
    </font>
    <font>
      <sz val="12"/>
      <name val="¹UAAA¼"/>
      <family val="3"/>
      <charset val="129"/>
    </font>
    <font>
      <sz val="8"/>
      <color indexed="8"/>
      <name val="Times New Roman"/>
      <family val="1"/>
    </font>
    <font>
      <sz val="8"/>
      <color indexed="14"/>
      <name val="Times New Roman"/>
      <family val="1"/>
    </font>
    <font>
      <sz val="6"/>
      <name val="굴림"/>
      <family val="3"/>
      <charset val="129"/>
    </font>
    <font>
      <sz val="10"/>
      <name val="Arial Narrow"/>
      <family val="2"/>
    </font>
    <font>
      <sz val="10"/>
      <name val="Arial"/>
      <family val="2"/>
      <charset val="204"/>
    </font>
    <font>
      <b/>
      <sz val="1"/>
      <color indexed="8"/>
      <name val="Courier"/>
      <family val="3"/>
    </font>
    <font>
      <sz val="10"/>
      <name val="‚l‚r ƒSƒVƒbƒN"/>
      <family val="3"/>
    </font>
    <font>
      <sz val="1"/>
      <color indexed="18"/>
      <name val="Courier"/>
      <family val="3"/>
    </font>
    <font>
      <b/>
      <sz val="12"/>
      <name val="돋움체"/>
      <family val="3"/>
      <charset val="129"/>
    </font>
    <font>
      <u/>
      <sz val="12"/>
      <name val="MS Sans Serif"/>
      <family val="2"/>
    </font>
    <font>
      <sz val="7"/>
      <name val="바탕체"/>
      <family val="1"/>
      <charset val="129"/>
    </font>
    <font>
      <sz val="1"/>
      <color indexed="0"/>
      <name val="Courier"/>
      <family val="3"/>
    </font>
    <font>
      <sz val="12"/>
      <name val="¹ÙÅÁÃ¼"/>
      <family val="1"/>
      <charset val="129"/>
    </font>
    <font>
      <sz val="11"/>
      <color indexed="8"/>
      <name val="돋움"/>
      <family val="3"/>
      <charset val="129"/>
    </font>
    <font>
      <sz val="11"/>
      <color indexed="9"/>
      <name val="돋움"/>
      <family val="3"/>
      <charset val="129"/>
    </font>
    <font>
      <sz val="12"/>
      <name val="¨ÏoUAAA¡§u"/>
      <family val="1"/>
      <charset val="129"/>
    </font>
    <font>
      <sz val="11"/>
      <name val="??????o"/>
      <family val="3"/>
    </font>
    <font>
      <sz val="12"/>
      <name val="ⓒoUAAA¨u"/>
      <family val="1"/>
      <charset val="129"/>
    </font>
    <font>
      <sz val="11"/>
      <name val="¥ì¢¬¢¯o"/>
      <family val="3"/>
    </font>
    <font>
      <sz val="12"/>
      <name val="￠RERERIi￠RERERE￠RERER¡ER￠R"/>
      <family val="3"/>
      <charset val="129"/>
    </font>
    <font>
      <sz val="8"/>
      <name val="Arial"/>
      <family val="2"/>
    </font>
    <font>
      <sz val="10"/>
      <name val="¹ÙÅÁÃ¼"/>
      <family val="1"/>
      <charset val="129"/>
    </font>
    <font>
      <sz val="12"/>
      <name val="μ¸¿oA¼"/>
      <family val="3"/>
      <charset val="129"/>
    </font>
    <font>
      <b/>
      <sz val="11"/>
      <color indexed="9"/>
      <name val="돋움체"/>
      <family val="3"/>
      <charset val="129"/>
    </font>
    <font>
      <sz val="8"/>
      <name val="Times New Roman"/>
      <family val="1"/>
    </font>
    <font>
      <sz val="10"/>
      <name val="±¼¸²Ã¼"/>
      <family val="1"/>
      <charset val="129"/>
    </font>
    <font>
      <sz val="11"/>
      <name val="μ¸¿o"/>
      <family val="3"/>
      <charset val="129"/>
    </font>
    <font>
      <sz val="10"/>
      <name val="¡ERERER¡ERER￠RER¡ER¡E?u￠R"/>
      <family val="3"/>
      <charset val="129"/>
    </font>
    <font>
      <sz val="11"/>
      <name val="￥i￠￢￠?o"/>
      <family val="3"/>
      <charset val="129"/>
    </font>
    <font>
      <sz val="12"/>
      <name val="©öUAAA¨ù"/>
      <family val="1"/>
    </font>
    <font>
      <sz val="10"/>
      <name val="±¼¸²A¼"/>
      <family val="3"/>
      <charset val="129"/>
    </font>
    <font>
      <sz val="11"/>
      <name val="µ¸¿ò"/>
      <family val="3"/>
      <charset val="129"/>
    </font>
    <font>
      <sz val="11"/>
      <name val="µ¸¿òÃ¼"/>
      <family val="3"/>
      <charset val="129"/>
    </font>
    <font>
      <sz val="12"/>
      <name val="System"/>
      <family val="2"/>
      <charset val="129"/>
    </font>
    <font>
      <sz val="12"/>
      <name val="¹ÙÅÁÃ¼"/>
      <family val="1"/>
    </font>
    <font>
      <sz val="10"/>
      <name val="±¼¸²Ã¼"/>
      <family val="3"/>
    </font>
    <font>
      <sz val="10"/>
      <color indexed="8"/>
      <name val="Arial"/>
      <family val="2"/>
    </font>
    <font>
      <b/>
      <sz val="10"/>
      <name val="Helv"/>
      <family val="2"/>
    </font>
    <font>
      <sz val="10"/>
      <color indexed="10"/>
      <name val="Helv"/>
      <family val="2"/>
    </font>
    <font>
      <b/>
      <sz val="8"/>
      <name val="Arial"/>
      <family val="2"/>
    </font>
    <font>
      <sz val="11"/>
      <name val="Tms Rmn"/>
      <family val="1"/>
    </font>
    <font>
      <sz val="10"/>
      <name val="돋움"/>
      <family val="3"/>
      <charset val="129"/>
    </font>
    <font>
      <sz val="8"/>
      <color indexed="12"/>
      <name val="Times New Roman"/>
      <family val="1"/>
    </font>
    <font>
      <sz val="12"/>
      <name val="TIMES"/>
      <family val="1"/>
    </font>
    <font>
      <sz val="6"/>
      <name val="Arial"/>
      <family val="2"/>
    </font>
    <font>
      <sz val="10"/>
      <name val="MS Serif"/>
      <family val="1"/>
    </font>
    <font>
      <sz val="10"/>
      <name val="Courier"/>
      <family val="3"/>
    </font>
    <font>
      <b/>
      <sz val="9"/>
      <name val="Helv"/>
      <family val="2"/>
    </font>
    <font>
      <sz val="8"/>
      <name val="Helv"/>
      <family val="2"/>
    </font>
    <font>
      <b/>
      <sz val="12"/>
      <name val="Helv"/>
      <family val="2"/>
    </font>
    <font>
      <sz val="10"/>
      <name val="Lucida Bright"/>
      <family val="1"/>
    </font>
    <font>
      <sz val="9"/>
      <name val="Arial"/>
      <family val="2"/>
    </font>
    <font>
      <sz val="10"/>
      <color indexed="16"/>
      <name val="MS Serif"/>
      <family val="1"/>
    </font>
    <font>
      <b/>
      <i/>
      <sz val="11"/>
      <color indexed="10"/>
      <name val="Arial"/>
      <family val="2"/>
    </font>
    <font>
      <sz val="10"/>
      <color indexed="14"/>
      <name val="Helv"/>
      <family val="2"/>
    </font>
    <font>
      <i/>
      <sz val="1"/>
      <color indexed="8"/>
      <name val="Courier"/>
      <family val="3"/>
    </font>
    <font>
      <u/>
      <sz val="7.5"/>
      <color indexed="36"/>
      <name val="Arial"/>
      <family val="2"/>
    </font>
    <font>
      <i/>
      <sz val="6"/>
      <name val="Times New Roman"/>
      <family val="1"/>
    </font>
    <font>
      <sz val="11"/>
      <name val="–¾’©"/>
      <family val="3"/>
      <charset val="129"/>
    </font>
    <font>
      <b/>
      <sz val="24"/>
      <name val="Arial"/>
      <family val="2"/>
    </font>
    <font>
      <b/>
      <sz val="10"/>
      <name val="Arial"/>
      <family val="2"/>
    </font>
    <font>
      <b/>
      <i/>
      <sz val="16"/>
      <name val="Times New Roman"/>
      <family val="1"/>
    </font>
    <font>
      <b/>
      <sz val="12"/>
      <name val="Arial"/>
      <family val="2"/>
    </font>
    <font>
      <b/>
      <sz val="12"/>
      <name val="Tms Rmn"/>
      <family val="1"/>
    </font>
    <font>
      <u/>
      <sz val="10"/>
      <color indexed="12"/>
      <name val="Arial"/>
      <family val="2"/>
    </font>
    <font>
      <u/>
      <sz val="10"/>
      <color indexed="36"/>
      <name val="Arial"/>
      <family val="2"/>
    </font>
    <font>
      <u/>
      <sz val="10"/>
      <color indexed="12"/>
      <name val="MS Sans Serif"/>
      <family val="2"/>
    </font>
    <font>
      <sz val="12"/>
      <name val="Helv"/>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12"/>
      <color indexed="9"/>
      <name val="Helv"/>
      <family val="2"/>
    </font>
    <font>
      <sz val="9"/>
      <name val="신그래픽체"/>
      <family val="3"/>
      <charset val="129"/>
    </font>
    <font>
      <b/>
      <sz val="11"/>
      <name val="Helv"/>
      <family val="2"/>
    </font>
    <font>
      <sz val="10"/>
      <name val="Palatino"/>
      <family val="1"/>
    </font>
    <font>
      <sz val="9"/>
      <name val="Times New Roman"/>
      <family val="1"/>
    </font>
    <font>
      <sz val="7"/>
      <name val="Small Fonts"/>
      <family val="2"/>
    </font>
    <font>
      <sz val="12"/>
      <name val="Arial"/>
      <family val="2"/>
    </font>
    <font>
      <sz val="12"/>
      <color indexed="12"/>
      <name val="Times New Roman"/>
      <family val="1"/>
    </font>
    <font>
      <b/>
      <sz val="12"/>
      <name val="Times New Roman"/>
      <family val="1"/>
    </font>
    <font>
      <sz val="10"/>
      <name val="Arial CE"/>
      <family val="2"/>
    </font>
    <font>
      <i/>
      <sz val="9"/>
      <color indexed="12"/>
      <name val="Helv"/>
      <family val="2"/>
    </font>
    <font>
      <b/>
      <i/>
      <sz val="10"/>
      <color indexed="9"/>
      <name val="Arial"/>
      <family val="2"/>
    </font>
    <font>
      <b/>
      <sz val="10"/>
      <color indexed="9"/>
      <name val="Arial"/>
      <family val="2"/>
    </font>
    <font>
      <b/>
      <sz val="10"/>
      <color indexed="30"/>
      <name val="Arial"/>
      <family val="2"/>
    </font>
    <font>
      <b/>
      <sz val="22"/>
      <color indexed="54"/>
      <name val="Times New Roman"/>
      <family val="1"/>
    </font>
    <font>
      <sz val="10"/>
      <color indexed="8"/>
      <name val="Helv"/>
      <family val="2"/>
    </font>
    <font>
      <sz val="10"/>
      <name val="Arial MT"/>
      <family val="2"/>
    </font>
    <font>
      <sz val="10"/>
      <name val="Tms Rmn"/>
      <family val="1"/>
    </font>
    <font>
      <b/>
      <sz val="11"/>
      <color indexed="16"/>
      <name val="Times New Roman"/>
      <family val="1"/>
    </font>
    <font>
      <b/>
      <u/>
      <sz val="12"/>
      <name val="Helv"/>
      <family val="2"/>
    </font>
    <font>
      <b/>
      <sz val="10"/>
      <color indexed="8"/>
      <name val="Arial"/>
      <family val="2"/>
    </font>
    <font>
      <b/>
      <sz val="10"/>
      <color indexed="18"/>
      <name val="Arial"/>
      <family val="2"/>
    </font>
    <font>
      <b/>
      <sz val="10"/>
      <color indexed="12"/>
      <name val="Arial"/>
      <family val="2"/>
    </font>
    <font>
      <b/>
      <sz val="12"/>
      <name val="MS Sans Serif"/>
      <family val="2"/>
    </font>
    <font>
      <sz val="12"/>
      <name val="MS Sans Serif"/>
      <family val="2"/>
    </font>
    <font>
      <b/>
      <sz val="8"/>
      <color indexed="8"/>
      <name val="Helv"/>
      <family val="2"/>
    </font>
    <font>
      <b/>
      <sz val="10"/>
      <color indexed="12"/>
      <name val="Monotype Sorts"/>
      <charset val="2"/>
    </font>
    <font>
      <b/>
      <sz val="10"/>
      <color indexed="10"/>
      <name val="Arial"/>
      <family val="2"/>
    </font>
    <font>
      <b/>
      <sz val="6"/>
      <name val="Times New Roman"/>
      <family val="1"/>
    </font>
    <font>
      <b/>
      <u/>
      <sz val="13"/>
      <name val="굴림체"/>
      <family val="3"/>
      <charset val="129"/>
    </font>
    <font>
      <sz val="11"/>
      <color indexed="12"/>
      <name val="Times New Roman"/>
      <family val="1"/>
    </font>
    <font>
      <b/>
      <sz val="9"/>
      <name val="Arial"/>
      <family val="2"/>
    </font>
    <font>
      <u/>
      <sz val="9"/>
      <color indexed="12"/>
      <name val="Arial"/>
      <family val="2"/>
    </font>
    <font>
      <sz val="11"/>
      <name val=" "/>
      <family val="1"/>
    </font>
    <font>
      <sz val="11"/>
      <color indexed="10"/>
      <name val="돋움"/>
      <family val="3"/>
      <charset val="129"/>
    </font>
    <font>
      <b/>
      <sz val="11"/>
      <color indexed="52"/>
      <name val="돋움"/>
      <family val="3"/>
      <charset val="129"/>
    </font>
    <font>
      <sz val="11"/>
      <name val="바탕체"/>
      <family val="1"/>
      <charset val="129"/>
    </font>
    <font>
      <sz val="11"/>
      <name val="Arial"/>
      <family val="2"/>
    </font>
    <font>
      <sz val="10"/>
      <name val="PragmaticaCTT"/>
      <family val="1"/>
      <charset val="2"/>
    </font>
    <font>
      <u/>
      <sz val="11"/>
      <color indexed="12"/>
      <name val="굃굍 굊긕긘긞긏"/>
      <family val="3"/>
      <charset val="129"/>
    </font>
    <font>
      <sz val="11"/>
      <color indexed="20"/>
      <name val="돋움"/>
      <family val="3"/>
      <charset val="129"/>
    </font>
    <font>
      <u/>
      <sz val="10"/>
      <color indexed="36"/>
      <name val="굴림체"/>
      <family val="3"/>
      <charset val="129"/>
    </font>
    <font>
      <sz val="14"/>
      <name val="뼥?ⓒ"/>
      <family val="3"/>
      <charset val="129"/>
    </font>
    <font>
      <sz val="14"/>
      <name val="뼞?￠RERER¡ERER￠RER￠RE?I"/>
      <family val="1"/>
      <charset val="129"/>
    </font>
    <font>
      <b/>
      <sz val="11"/>
      <name val="돋움"/>
      <family val="3"/>
      <charset val="129"/>
    </font>
    <font>
      <sz val="11"/>
      <name val="굴림체"/>
      <family val="3"/>
      <charset val="129"/>
    </font>
    <font>
      <sz val="11"/>
      <color indexed="60"/>
      <name val="돋움"/>
      <family val="3"/>
      <charset val="129"/>
    </font>
    <font>
      <sz val="11"/>
      <name val="굃굍 긕긘긞긏"/>
      <family val="3"/>
      <charset val="129"/>
    </font>
    <font>
      <sz val="14"/>
      <name val="뼻뮝"/>
      <family val="3"/>
      <charset val="129"/>
    </font>
    <font>
      <sz val="12"/>
      <name val="宋体"/>
      <family val="3"/>
      <charset val="255"/>
    </font>
    <font>
      <sz val="10"/>
      <name val="돋움체"/>
      <family val="3"/>
      <charset val="129"/>
    </font>
    <font>
      <b/>
      <sz val="10"/>
      <name val="바탕체"/>
      <family val="1"/>
      <charset val="129"/>
    </font>
    <font>
      <b/>
      <sz val="18"/>
      <name val="바탕체"/>
      <family val="1"/>
      <charset val="129"/>
    </font>
    <font>
      <b/>
      <sz val="12"/>
      <name val="바탕체"/>
      <family val="1"/>
      <charset val="129"/>
    </font>
    <font>
      <i/>
      <sz val="11"/>
      <color indexed="23"/>
      <name val="돋움"/>
      <family val="3"/>
      <charset val="129"/>
    </font>
    <font>
      <b/>
      <sz val="11"/>
      <color indexed="9"/>
      <name val="돋움"/>
      <family val="3"/>
      <charset val="129"/>
    </font>
    <font>
      <sz val="14"/>
      <name val="돋움"/>
      <family val="3"/>
      <charset val="129"/>
    </font>
    <font>
      <sz val="9"/>
      <color indexed="8"/>
      <name val="굴림체"/>
      <family val="3"/>
      <charset val="129"/>
    </font>
    <font>
      <sz val="10"/>
      <name val="명조"/>
      <family val="3"/>
      <charset val="129"/>
    </font>
    <font>
      <sz val="11"/>
      <color indexed="52"/>
      <name val="돋움"/>
      <family val="3"/>
      <charset val="129"/>
    </font>
    <font>
      <b/>
      <sz val="11"/>
      <color indexed="8"/>
      <name val="돋움"/>
      <family val="3"/>
      <charset val="129"/>
    </font>
    <font>
      <b/>
      <i/>
      <sz val="12"/>
      <name val="돋움체"/>
      <family val="3"/>
      <charset val="129"/>
    </font>
    <font>
      <sz val="11"/>
      <color indexed="62"/>
      <name val="돋움"/>
      <family val="3"/>
      <charset val="129"/>
    </font>
    <font>
      <b/>
      <sz val="15"/>
      <color indexed="56"/>
      <name val="돋움"/>
      <family val="3"/>
      <charset val="129"/>
    </font>
    <font>
      <b/>
      <sz val="13"/>
      <color indexed="56"/>
      <name val="돋움"/>
      <family val="3"/>
      <charset val="129"/>
    </font>
    <font>
      <b/>
      <sz val="11"/>
      <color indexed="56"/>
      <name val="돋움"/>
      <family val="3"/>
      <charset val="129"/>
    </font>
    <font>
      <b/>
      <sz val="18"/>
      <color indexed="56"/>
      <name val="맑은 고딕"/>
      <family val="3"/>
      <charset val="129"/>
    </font>
    <font>
      <u/>
      <sz val="9"/>
      <color indexed="10"/>
      <name val="돋움체"/>
      <family val="3"/>
      <charset val="129"/>
    </font>
    <font>
      <sz val="11"/>
      <color indexed="17"/>
      <name val="돋움"/>
      <family val="3"/>
      <charset val="129"/>
    </font>
    <font>
      <sz val="9"/>
      <name val="돋움체"/>
      <family val="3"/>
      <charset val="129"/>
    </font>
    <font>
      <b/>
      <sz val="11"/>
      <color indexed="63"/>
      <name val="돋움"/>
      <family val="3"/>
      <charset val="129"/>
    </font>
    <font>
      <sz val="11"/>
      <name val="바탕"/>
      <family val="1"/>
      <charset val="129"/>
    </font>
    <font>
      <b/>
      <sz val="10"/>
      <color indexed="62"/>
      <name val="돋움체"/>
      <family val="3"/>
      <charset val="129"/>
    </font>
    <font>
      <u/>
      <sz val="9"/>
      <color indexed="36"/>
      <name val="Arial"/>
      <family val="2"/>
    </font>
    <font>
      <sz val="11"/>
      <name val="ＭＳ Ｐゴシック"/>
      <family val="3"/>
      <charset val="255"/>
    </font>
    <font>
      <u/>
      <sz val="8.8000000000000007"/>
      <color indexed="12"/>
      <name val="돋움"/>
      <family val="3"/>
      <charset val="129"/>
    </font>
    <font>
      <b/>
      <sz val="11"/>
      <color indexed="9"/>
      <name val="새굴림"/>
      <family val="1"/>
      <charset val="129"/>
    </font>
    <font>
      <sz val="14"/>
      <name val="바탕체"/>
      <family val="1"/>
      <charset val="129"/>
    </font>
    <font>
      <sz val="9"/>
      <color indexed="63"/>
      <name val="굴림체"/>
      <family val="3"/>
      <charset val="129"/>
    </font>
    <font>
      <sz val="8"/>
      <name val="맑은 고딕"/>
      <family val="3"/>
      <charset val="129"/>
    </font>
    <font>
      <sz val="8"/>
      <name val="맑은 고딕"/>
      <family val="3"/>
      <charset val="129"/>
    </font>
    <font>
      <b/>
      <sz val="10"/>
      <color indexed="8"/>
      <name val="맑은 고딕"/>
      <family val="3"/>
      <charset val="129"/>
    </font>
    <font>
      <sz val="9"/>
      <color indexed="81"/>
      <name val="Tahoma"/>
      <family val="2"/>
    </font>
    <font>
      <b/>
      <sz val="9"/>
      <color indexed="81"/>
      <name val="Tahoma"/>
      <family val="2"/>
    </font>
    <font>
      <sz val="9"/>
      <color indexed="81"/>
      <name val="돋움"/>
      <family val="3"/>
      <charset val="129"/>
    </font>
    <font>
      <sz val="11"/>
      <color indexed="8"/>
      <name val="맑은 고딕"/>
      <family val="3"/>
      <charset val="129"/>
    </font>
    <font>
      <sz val="10"/>
      <color indexed="8"/>
      <name val="맑은 고딕"/>
      <family val="3"/>
      <charset val="129"/>
    </font>
    <font>
      <b/>
      <sz val="10"/>
      <color indexed="8"/>
      <name val="맑은 고딕"/>
      <family val="3"/>
      <charset val="129"/>
    </font>
    <font>
      <b/>
      <sz val="10"/>
      <color indexed="9"/>
      <name val="맑은 고딕"/>
      <family val="3"/>
      <charset val="129"/>
    </font>
    <font>
      <b/>
      <sz val="10"/>
      <color indexed="8"/>
      <name val="맑은 고딕"/>
      <family val="3"/>
      <charset val="129"/>
    </font>
    <font>
      <sz val="10"/>
      <color indexed="8"/>
      <name val="맑은 고딕"/>
      <family val="3"/>
      <charset val="129"/>
    </font>
    <font>
      <sz val="10"/>
      <name val="맑은 고딕"/>
      <family val="3"/>
      <charset val="129"/>
    </font>
    <font>
      <sz val="9"/>
      <color indexed="8"/>
      <name val="맑은 고딕"/>
      <family val="3"/>
      <charset val="129"/>
    </font>
    <font>
      <sz val="10"/>
      <color indexed="10"/>
      <name val="맑은 고딕"/>
      <family val="3"/>
      <charset val="129"/>
    </font>
    <font>
      <sz val="10"/>
      <color indexed="8"/>
      <name val="굴림"/>
      <family val="3"/>
      <charset val="129"/>
    </font>
    <font>
      <b/>
      <sz val="9"/>
      <color indexed="81"/>
      <name val="돋움"/>
      <family val="3"/>
      <charset val="129"/>
    </font>
    <font>
      <sz val="10"/>
      <color indexed="8"/>
      <name val="맑은 고딕"/>
      <family val="3"/>
      <charset val="129"/>
    </font>
    <font>
      <sz val="8"/>
      <name val="맑은 고딕"/>
      <family val="3"/>
      <charset val="129"/>
    </font>
    <font>
      <sz val="8"/>
      <name val="맑은 고딕"/>
      <family val="3"/>
      <charset val="129"/>
    </font>
    <font>
      <sz val="8"/>
      <name val="맑은 고딕"/>
      <family val="3"/>
      <charset val="129"/>
    </font>
    <font>
      <sz val="8"/>
      <name val="맑은 고딕"/>
      <family val="3"/>
      <charset val="129"/>
    </font>
    <font>
      <sz val="11"/>
      <color theme="1"/>
      <name val="맑은 고딕"/>
      <family val="3"/>
      <charset val="129"/>
      <scheme val="minor"/>
    </font>
    <font>
      <sz val="11"/>
      <color rgb="FF9C0006"/>
      <name val="맑은 고딕"/>
      <family val="3"/>
      <charset val="129"/>
      <scheme val="minor"/>
    </font>
    <font>
      <sz val="10"/>
      <color indexed="9"/>
      <name val="맑은 고딕"/>
      <family val="3"/>
      <charset val="129"/>
      <scheme val="major"/>
    </font>
    <font>
      <sz val="10"/>
      <color rgb="FFFF0000"/>
      <name val="맑은 고딕"/>
      <family val="3"/>
      <charset val="129"/>
    </font>
    <font>
      <sz val="10"/>
      <name val="맑은 고딕"/>
      <family val="3"/>
      <charset val="129"/>
      <scheme val="major"/>
    </font>
    <font>
      <b/>
      <sz val="10"/>
      <name val="맑은 고딕"/>
      <family val="3"/>
      <charset val="129"/>
      <scheme val="major"/>
    </font>
    <font>
      <sz val="10"/>
      <color indexed="63"/>
      <name val="맑은 고딕"/>
      <family val="3"/>
      <charset val="129"/>
      <scheme val="major"/>
    </font>
    <font>
      <sz val="10"/>
      <color rgb="FFFF0000"/>
      <name val="맑은 고딕"/>
      <family val="3"/>
      <charset val="129"/>
      <scheme val="major"/>
    </font>
    <font>
      <sz val="10"/>
      <color theme="1"/>
      <name val="맑은 고딕"/>
      <family val="3"/>
      <charset val="129"/>
      <scheme val="minor"/>
    </font>
    <font>
      <b/>
      <sz val="10"/>
      <color theme="1"/>
      <name val="맑은 고딕"/>
      <family val="3"/>
      <charset val="129"/>
      <scheme val="minor"/>
    </font>
    <font>
      <b/>
      <sz val="10"/>
      <color rgb="FFFF0000"/>
      <name val="맑은 고딕"/>
      <family val="3"/>
      <charset val="129"/>
      <scheme val="minor"/>
    </font>
    <font>
      <sz val="10"/>
      <color rgb="FF000000"/>
      <name val="맑은 고딕"/>
      <family val="3"/>
      <charset val="129"/>
      <scheme val="major"/>
    </font>
    <font>
      <b/>
      <sz val="10"/>
      <color rgb="FF000000"/>
      <name val="바탕"/>
      <family val="1"/>
      <charset val="129"/>
    </font>
    <font>
      <b/>
      <sz val="10"/>
      <color rgb="FF000000"/>
      <name val="맑은 고딕"/>
      <family val="3"/>
      <charset val="129"/>
      <scheme val="major"/>
    </font>
    <font>
      <b/>
      <sz val="10"/>
      <color indexed="8"/>
      <name val="맑은 고딕"/>
      <family val="3"/>
      <charset val="129"/>
      <scheme val="major"/>
    </font>
    <font>
      <sz val="10"/>
      <color indexed="8"/>
      <name val="맑은 고딕"/>
      <family val="3"/>
      <charset val="129"/>
      <scheme val="major"/>
    </font>
    <font>
      <b/>
      <sz val="9"/>
      <color theme="0"/>
      <name val="맑은 고딕"/>
      <family val="3"/>
      <charset val="129"/>
    </font>
    <font>
      <sz val="8"/>
      <name val="맑은 고딕"/>
      <family val="3"/>
      <charset val="129"/>
      <scheme val="minor"/>
    </font>
    <font>
      <sz val="10"/>
      <color indexed="8"/>
      <name val="맑은 고딕"/>
      <family val="3"/>
      <charset val="129"/>
      <scheme val="minor"/>
    </font>
    <font>
      <b/>
      <sz val="10"/>
      <color indexed="8"/>
      <name val="맑은 고딕"/>
      <family val="3"/>
      <charset val="129"/>
      <scheme val="minor"/>
    </font>
    <font>
      <sz val="10"/>
      <color theme="1"/>
      <name val="맑은 고딕"/>
      <family val="3"/>
      <charset val="129"/>
    </font>
    <font>
      <sz val="10"/>
      <name val="맑은 고딕"/>
      <family val="3"/>
      <charset val="129"/>
      <scheme val="minor"/>
    </font>
    <font>
      <sz val="10"/>
      <color theme="1"/>
      <name val="맑은 고딕"/>
      <family val="3"/>
      <charset val="129"/>
      <scheme val="major"/>
    </font>
    <font>
      <sz val="11"/>
      <color theme="1"/>
      <name val="맑은 고딕"/>
      <family val="2"/>
      <scheme val="minor"/>
    </font>
    <font>
      <b/>
      <sz val="10"/>
      <name val="맑은 고딕"/>
      <family val="3"/>
      <charset val="129"/>
      <scheme val="minor"/>
    </font>
    <font>
      <u/>
      <sz val="11"/>
      <color theme="10"/>
      <name val="맑은 고딕"/>
      <family val="3"/>
      <charset val="129"/>
      <scheme val="minor"/>
    </font>
    <font>
      <sz val="9"/>
      <color theme="1"/>
      <name val="맑은 고딕"/>
      <family val="3"/>
      <charset val="129"/>
      <scheme val="major"/>
    </font>
    <font>
      <sz val="9"/>
      <color theme="1"/>
      <name val="맑은 고딕"/>
      <family val="3"/>
      <charset val="129"/>
      <scheme val="minor"/>
    </font>
    <font>
      <u/>
      <sz val="9"/>
      <color theme="10"/>
      <name val="맑은 고딕"/>
      <family val="3"/>
      <charset val="129"/>
      <scheme val="minor"/>
    </font>
    <font>
      <sz val="8"/>
      <name val="맑은 고딕"/>
      <family val="2"/>
      <charset val="129"/>
      <scheme val="minor"/>
    </font>
    <font>
      <b/>
      <sz val="10"/>
      <color theme="0"/>
      <name val="맑은 고딕"/>
      <family val="3"/>
      <charset val="129"/>
      <scheme val="major"/>
    </font>
    <font>
      <b/>
      <sz val="10"/>
      <color theme="1"/>
      <name val="맑은 고딕"/>
      <family val="3"/>
      <charset val="129"/>
    </font>
    <font>
      <sz val="9"/>
      <color rgb="FFFF0000"/>
      <name val="맑은 고딕"/>
      <family val="3"/>
      <charset val="129"/>
    </font>
    <font>
      <b/>
      <sz val="10"/>
      <color rgb="FFFF0000"/>
      <name val="맑은 고딕"/>
      <family val="3"/>
      <charset val="129"/>
    </font>
    <font>
      <sz val="9"/>
      <color indexed="8"/>
      <name val="맑은 고딕"/>
      <family val="3"/>
      <charset val="129"/>
      <scheme val="major"/>
    </font>
    <font>
      <b/>
      <sz val="10"/>
      <color theme="1"/>
      <name val="맑은 고딕"/>
      <family val="3"/>
      <charset val="129"/>
      <scheme val="major"/>
    </font>
    <font>
      <sz val="9"/>
      <color indexed="9"/>
      <name val="굴림체"/>
      <family val="3"/>
      <charset val="129"/>
    </font>
    <font>
      <sz val="10"/>
      <color theme="1"/>
      <name val="맑은 고딕"/>
      <family val="2"/>
      <charset val="129"/>
    </font>
    <font>
      <sz val="10"/>
      <color theme="1"/>
      <name val="Arial"/>
      <family val="2"/>
    </font>
    <font>
      <b/>
      <sz val="10"/>
      <color theme="0"/>
      <name val="맑은 고딕"/>
      <family val="3"/>
      <charset val="129"/>
    </font>
    <font>
      <b/>
      <sz val="10"/>
      <color rgb="FFFF0000"/>
      <name val="맑은 고딕"/>
      <family val="3"/>
      <charset val="129"/>
      <scheme val="major"/>
    </font>
    <font>
      <sz val="11"/>
      <color rgb="FF000000"/>
      <name val="굴림"/>
      <family val="3"/>
      <charset val="129"/>
    </font>
    <font>
      <sz val="10"/>
      <color rgb="FF000000"/>
      <name val="맑은 고딕"/>
      <family val="3"/>
      <charset val="129"/>
      <scheme val="minor"/>
    </font>
    <font>
      <sz val="10"/>
      <color theme="1"/>
      <name val="맑은 고딕"/>
      <family val="2"/>
      <scheme val="major"/>
    </font>
    <font>
      <u/>
      <sz val="10"/>
      <name val="맑은 고딕"/>
      <family val="3"/>
      <charset val="129"/>
      <scheme val="minor"/>
    </font>
    <font>
      <b/>
      <sz val="12"/>
      <color theme="1"/>
      <name val="맑은 고딕"/>
      <family val="3"/>
      <charset val="129"/>
      <scheme val="minor"/>
    </font>
    <font>
      <sz val="14"/>
      <color theme="1"/>
      <name val="맑은 고딕"/>
      <family val="2"/>
      <charset val="129"/>
      <scheme val="minor"/>
    </font>
    <font>
      <b/>
      <sz val="9"/>
      <color theme="1"/>
      <name val="맑은 고딕"/>
      <family val="3"/>
      <charset val="129"/>
      <scheme val="minor"/>
    </font>
    <font>
      <sz val="9"/>
      <color theme="1"/>
      <name val="맑은 고딕"/>
      <family val="2"/>
      <charset val="129"/>
      <scheme val="minor"/>
    </font>
    <font>
      <sz val="9"/>
      <color indexed="63"/>
      <name val="맑은 고딕"/>
      <family val="3"/>
      <charset val="129"/>
      <scheme val="major"/>
    </font>
    <font>
      <sz val="9"/>
      <color indexed="9"/>
      <name val="맑은 고딕"/>
      <family val="3"/>
      <charset val="129"/>
      <scheme val="major"/>
    </font>
    <font>
      <sz val="9"/>
      <color indexed="8"/>
      <name val="맑은 고딕"/>
      <family val="3"/>
      <charset val="129"/>
      <scheme val="minor"/>
    </font>
    <font>
      <sz val="9"/>
      <color rgb="FF000000"/>
      <name val="맑은 고딕"/>
      <family val="3"/>
      <charset val="129"/>
      <scheme val="minor"/>
    </font>
    <font>
      <b/>
      <sz val="11"/>
      <color rgb="FF000000"/>
      <name val="굴림"/>
      <family val="3"/>
      <charset val="129"/>
    </font>
    <font>
      <sz val="12"/>
      <color rgb="FF000000"/>
      <name val="굴림"/>
      <family val="3"/>
      <charset val="129"/>
    </font>
    <font>
      <b/>
      <sz val="12"/>
      <color rgb="FF000000"/>
      <name val="굴림"/>
      <family val="3"/>
      <charset val="129"/>
    </font>
    <font>
      <b/>
      <sz val="10"/>
      <color rgb="FFFFFFFF"/>
      <name val="맑은 고딕"/>
      <family val="3"/>
      <charset val="129"/>
      <scheme val="major"/>
    </font>
    <font>
      <sz val="10"/>
      <color rgb="FF222530"/>
      <name val="맑은 고딕"/>
      <family val="3"/>
      <charset val="129"/>
      <scheme val="major"/>
    </font>
    <font>
      <sz val="10"/>
      <color rgb="FFFF0000"/>
      <name val="맑은 고딕"/>
      <family val="3"/>
      <charset val="129"/>
      <scheme val="minor"/>
    </font>
    <font>
      <sz val="11"/>
      <color rgb="FF000000"/>
      <name val="맑은 고딕"/>
      <family val="3"/>
      <charset val="129"/>
    </font>
    <font>
      <name val="맑은 고딕"/>
      <charset val="129"/>
      <family val="3"/>
      <color theme="1"/>
      <sz val="11"/>
      <scheme val="minor"/>
    </font>
    <font>
      <name val="맑은 고딕"/>
      <b val="1"/>
      <color rgb="00000000"/>
      <sz val="14"/>
    </font>
    <font>
      <name val="맑은 고딕"/>
      <i val="1"/>
      <color rgb="00595959"/>
      <sz val="9"/>
    </font>
    <font>
      <name val="맑은 고딕"/>
      <b val="1"/>
      <color rgb="00000000"/>
      <sz val="10"/>
    </font>
    <font>
      <name val="맑은 고딕"/>
      <color rgb="00000000"/>
      <sz val="10"/>
    </font>
    <font>
      <name val="맑은 고딕"/>
      <b val="1"/>
      <color rgb="00C00000"/>
      <sz val="10"/>
    </font>
    <font>
      <name val="맑은 고딕"/>
      <color rgb="000000FF"/>
      <sz val="10"/>
    </font>
    <font>
      <name val="맑은 고딕"/>
      <i val="1"/>
      <color rgb="00000000"/>
      <sz val="10"/>
    </font>
    <font>
      <name val="맑은 고딕"/>
      <i val="1"/>
      <color rgb="00808080"/>
      <sz val="9"/>
    </font>
    <font>
      <name val="맑은 고딕"/>
      <i val="1"/>
      <color rgb="00000000"/>
      <sz val="9"/>
    </font>
    <font>
      <name val="맑은 고딕"/>
      <color rgb="00000000"/>
      <sz val="9"/>
    </font>
  </fonts>
  <fills count="77">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7"/>
      </patternFill>
    </fill>
    <fill>
      <patternFill patternType="solid">
        <fgColor indexed="52"/>
      </patternFill>
    </fill>
    <fill>
      <patternFill patternType="solid">
        <fgColor indexed="43"/>
        <bgColor indexed="64"/>
      </patternFill>
    </fill>
    <fill>
      <patternFill patternType="solid">
        <fgColor indexed="32"/>
        <bgColor indexed="64"/>
      </patternFill>
    </fill>
    <fill>
      <patternFill patternType="solid">
        <fgColor indexed="42"/>
        <bgColor indexed="64"/>
      </patternFill>
    </fill>
    <fill>
      <patternFill patternType="solid">
        <fgColor indexed="22"/>
        <bgColor indexed="64"/>
      </patternFill>
    </fill>
    <fill>
      <patternFill patternType="solid">
        <fgColor indexed="9"/>
        <bgColor indexed="64"/>
      </patternFill>
    </fill>
    <fill>
      <patternFill patternType="gray125">
        <fgColor indexed="8"/>
      </patternFill>
    </fill>
    <fill>
      <patternFill patternType="solid">
        <fgColor indexed="27"/>
        <bgColor indexed="64"/>
      </patternFill>
    </fill>
    <fill>
      <patternFill patternType="solid">
        <fgColor indexed="15"/>
      </patternFill>
    </fill>
    <fill>
      <patternFill patternType="solid">
        <fgColor indexed="12"/>
      </patternFill>
    </fill>
    <fill>
      <patternFill patternType="solid">
        <fgColor indexed="54"/>
        <bgColor indexed="64"/>
      </patternFill>
    </fill>
    <fill>
      <patternFill patternType="solid">
        <fgColor indexed="30"/>
        <bgColor indexed="64"/>
      </patternFill>
    </fill>
    <fill>
      <patternFill patternType="mediumGray">
        <fgColor indexed="22"/>
      </patternFill>
    </fill>
    <fill>
      <patternFill patternType="solid">
        <fgColor indexed="9"/>
        <bgColor indexed="9"/>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33"/>
        <bgColor indexed="64"/>
      </patternFill>
    </fill>
    <fill>
      <patternFill patternType="solid">
        <fgColor indexed="12"/>
        <bgColor indexed="64"/>
      </patternFill>
    </fill>
    <fill>
      <patternFill patternType="solid">
        <fgColor indexed="23"/>
        <bgColor indexed="64"/>
      </patternFill>
    </fill>
    <fill>
      <patternFill patternType="solid">
        <fgColor indexed="13"/>
        <bgColor indexed="64"/>
      </patternFill>
    </fill>
    <fill>
      <patternFill patternType="solid">
        <fgColor indexed="55"/>
        <bgColor indexed="64"/>
      </patternFill>
    </fill>
    <fill>
      <patternFill patternType="solid">
        <fgColor rgb="FFFFC7CE"/>
      </patternFill>
    </fill>
    <fill>
      <patternFill patternType="solid">
        <fgColor rgb="FFFFFF00"/>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3"/>
        <bgColor indexed="64"/>
      </patternFill>
    </fill>
    <fill>
      <patternFill patternType="solid">
        <fgColor theme="5"/>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theme="4"/>
        <bgColor indexed="64"/>
      </patternFill>
    </fill>
    <fill>
      <patternFill patternType="solid">
        <fgColor theme="6" tint="0.79998168889431442"/>
        <bgColor indexed="64"/>
      </patternFill>
    </fill>
    <fill>
      <patternFill patternType="solid">
        <fgColor rgb="FFDCDCDC"/>
        <bgColor indexed="64"/>
      </patternFill>
    </fill>
    <fill>
      <patternFill patternType="solid">
        <fgColor theme="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2F2F2"/>
        <bgColor indexed="64"/>
      </patternFill>
    </fill>
    <fill>
      <patternFill patternType="solid">
        <fgColor rgb="FFFFFFFF"/>
      </patternFill>
    </fill>
    <fill>
      <patternFill patternType="solid">
        <fgColor rgb="FF46B8FF" tint="0.89999084444715716"/>
        <bgColor indexed="65"/>
      </patternFill>
    </fill>
    <fill>
      <patternFill patternType="solid">
        <fgColor rgb="FF969696"/>
      </patternFill>
    </fill>
    <fill>
      <patternFill patternType="solid">
        <fgColor theme="7" tint="0.79998168889431442"/>
        <bgColor indexed="64"/>
      </patternFill>
    </fill>
    <fill>
      <patternFill/>
    </fill>
    <fill>
      <patternFill patternType="solid">
        <fgColor rgb="00D9E1F2"/>
      </patternFill>
    </fill>
    <fill>
      <patternFill patternType="solid">
        <fgColor rgb="00DDEBF7"/>
      </patternFill>
    </fill>
    <fill>
      <patternFill patternType="solid">
        <fgColor rgb="00F2F2F2"/>
      </patternFill>
    </fill>
    <fill>
      <patternFill patternType="solid">
        <fgColor rgb="00FFFF99"/>
      </patternFill>
    </fill>
  </fills>
  <borders count="219">
    <border>
      <left/>
      <right/>
      <top/>
      <bottom/>
      <diagonal/>
    </border>
    <border>
      <left/>
      <right style="dotted">
        <color indexed="64"/>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8"/>
      </left>
      <right/>
      <top style="thin">
        <color indexed="8"/>
      </top>
      <bottom/>
      <diagonal/>
    </border>
    <border>
      <left style="thick">
        <color indexed="9"/>
      </left>
      <right style="thick">
        <color indexed="9"/>
      </right>
      <top style="thick">
        <color indexed="9"/>
      </top>
      <bottom style="thick">
        <color indexed="9"/>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hair">
        <color indexed="64"/>
      </top>
      <bottom style="hair">
        <color indexed="64"/>
      </bottom>
      <diagonal/>
    </border>
    <border>
      <left/>
      <right/>
      <top style="medium">
        <color indexed="64"/>
      </top>
      <bottom/>
      <diagonal/>
    </border>
    <border>
      <left style="thin">
        <color indexed="8"/>
      </left>
      <right style="thin">
        <color indexed="8"/>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style="thin">
        <color indexed="64"/>
      </right>
      <top/>
      <bottom/>
      <diagonal/>
    </border>
    <border>
      <left style="thin">
        <color indexed="63"/>
      </left>
      <right style="thin">
        <color indexed="63"/>
      </right>
      <top style="thin">
        <color indexed="63"/>
      </top>
      <bottom style="thin">
        <color indexed="63"/>
      </bottom>
      <diagonal/>
    </border>
    <border>
      <left/>
      <right/>
      <top style="thin">
        <color indexed="22"/>
      </top>
      <bottom style="thin">
        <color indexed="64"/>
      </bottom>
      <diagonal/>
    </border>
    <border>
      <left/>
      <right style="thin">
        <color indexed="8"/>
      </right>
      <top/>
      <bottom/>
      <diagonal/>
    </border>
    <border>
      <left/>
      <right/>
      <top style="thin">
        <color indexed="64"/>
      </top>
      <bottom/>
      <diagonal/>
    </border>
    <border>
      <left style="thin">
        <color indexed="64"/>
      </left>
      <right style="thin">
        <color indexed="64"/>
      </right>
      <top/>
      <bottom/>
      <diagonal/>
    </border>
    <border>
      <left style="medium">
        <color indexed="64"/>
      </left>
      <right style="medium">
        <color indexed="64"/>
      </right>
      <top/>
      <bottom/>
      <diagonal/>
    </border>
    <border>
      <left style="thin">
        <color indexed="8"/>
      </left>
      <right/>
      <top/>
      <bottom style="thin">
        <color indexed="8"/>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top/>
      <bottom style="double">
        <color indexed="52"/>
      </bottom>
      <diagonal/>
    </border>
    <border>
      <left/>
      <right/>
      <top style="thin">
        <color indexed="62"/>
      </top>
      <bottom style="double">
        <color indexed="62"/>
      </bottom>
      <diagonal/>
    </border>
    <border>
      <left/>
      <right/>
      <top style="thin">
        <color indexed="23"/>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style="medium">
        <color indexed="64"/>
      </top>
      <bottom/>
      <diagonal/>
    </border>
    <border>
      <left style="thin">
        <color indexed="55"/>
      </left>
      <right style="thin">
        <color indexed="55"/>
      </right>
      <top style="thin">
        <color indexed="55"/>
      </top>
      <bottom style="thin">
        <color indexed="55"/>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style="thin">
        <color indexed="64"/>
      </left>
      <right style="thin">
        <color indexed="23"/>
      </right>
      <top style="thin">
        <color indexed="23"/>
      </top>
      <bottom style="thin">
        <color indexed="23"/>
      </bottom>
      <diagonal/>
    </border>
    <border>
      <left style="thin">
        <color indexed="8"/>
      </left>
      <right style="thin">
        <color indexed="23"/>
      </right>
      <top style="thin">
        <color indexed="23"/>
      </top>
      <bottom style="thin">
        <color indexed="23"/>
      </bottom>
      <diagonal/>
    </border>
    <border>
      <left style="thin">
        <color indexed="23"/>
      </left>
      <right style="thin">
        <color indexed="8"/>
      </right>
      <top style="thin">
        <color indexed="23"/>
      </top>
      <bottom style="thin">
        <color indexed="23"/>
      </bottom>
      <diagonal/>
    </border>
    <border>
      <left style="thin">
        <color indexed="23"/>
      </left>
      <right style="thin">
        <color indexed="23"/>
      </right>
      <top style="thin">
        <color indexed="23"/>
      </top>
      <bottom style="thin">
        <color indexed="8"/>
      </bottom>
      <diagonal/>
    </border>
    <border>
      <left/>
      <right style="thin">
        <color indexed="23"/>
      </right>
      <top style="thin">
        <color indexed="23"/>
      </top>
      <bottom style="thin">
        <color indexed="23"/>
      </bottom>
      <diagonal/>
    </border>
    <border>
      <left style="thin">
        <color indexed="8"/>
      </left>
      <right style="thin">
        <color indexed="23"/>
      </right>
      <top style="thin">
        <color indexed="23"/>
      </top>
      <bottom style="thin">
        <color indexed="8"/>
      </bottom>
      <diagonal/>
    </border>
    <border>
      <left style="thin">
        <color indexed="23"/>
      </left>
      <right style="thin">
        <color indexed="8"/>
      </right>
      <top style="thin">
        <color indexed="23"/>
      </top>
      <bottom style="thin">
        <color indexed="8"/>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8"/>
      </left>
      <right style="thin">
        <color indexed="23"/>
      </right>
      <top style="thin">
        <color indexed="8"/>
      </top>
      <bottom style="thin">
        <color indexed="23"/>
      </bottom>
      <diagonal/>
    </border>
    <border>
      <left style="thin">
        <color indexed="23"/>
      </left>
      <right style="thin">
        <color indexed="23"/>
      </right>
      <top style="thin">
        <color indexed="8"/>
      </top>
      <bottom style="thin">
        <color indexed="23"/>
      </bottom>
      <diagonal/>
    </border>
    <border>
      <left style="thin">
        <color indexed="23"/>
      </left>
      <right style="thin">
        <color indexed="8"/>
      </right>
      <top style="thin">
        <color indexed="8"/>
      </top>
      <bottom style="thin">
        <color indexed="23"/>
      </bottom>
      <diagonal/>
    </border>
    <border>
      <left style="thin">
        <color indexed="23"/>
      </left>
      <right/>
      <top style="thin">
        <color indexed="8"/>
      </top>
      <bottom style="thin">
        <color indexed="23"/>
      </bottom>
      <diagonal/>
    </border>
    <border>
      <left style="thin">
        <color indexed="8"/>
      </left>
      <right style="thin">
        <color indexed="23"/>
      </right>
      <top style="thin">
        <color indexed="23"/>
      </top>
      <bottom/>
      <diagonal/>
    </border>
    <border>
      <left style="thin">
        <color indexed="23"/>
      </left>
      <right style="thin">
        <color indexed="23"/>
      </right>
      <top style="thin">
        <color indexed="23"/>
      </top>
      <bottom/>
      <diagonal/>
    </border>
    <border>
      <left style="thin">
        <color indexed="23"/>
      </left>
      <right style="thin">
        <color indexed="64"/>
      </right>
      <top style="thin">
        <color indexed="23"/>
      </top>
      <bottom style="thin">
        <color indexed="23"/>
      </bottom>
      <diagonal/>
    </border>
    <border>
      <left style="thin">
        <color indexed="64"/>
      </left>
      <right style="thin">
        <color indexed="23"/>
      </right>
      <top style="thin">
        <color indexed="23"/>
      </top>
      <bottom/>
      <diagonal/>
    </border>
    <border>
      <left style="thin">
        <color indexed="64"/>
      </left>
      <right style="thin">
        <color indexed="23"/>
      </right>
      <top style="thin">
        <color indexed="23"/>
      </top>
      <bottom style="thin">
        <color indexed="64"/>
      </bottom>
      <diagonal/>
    </border>
    <border>
      <left style="thin">
        <color indexed="23"/>
      </left>
      <right style="thin">
        <color indexed="23"/>
      </right>
      <top style="thin">
        <color indexed="23"/>
      </top>
      <bottom style="thin">
        <color indexed="64"/>
      </bottom>
      <diagonal/>
    </border>
    <border>
      <left style="thin">
        <color indexed="23"/>
      </left>
      <right style="thin">
        <color indexed="23"/>
      </right>
      <top style="thin">
        <color indexed="8"/>
      </top>
      <bottom/>
      <diagonal/>
    </border>
    <border>
      <left style="thin">
        <color indexed="23"/>
      </left>
      <right style="thin">
        <color indexed="23"/>
      </right>
      <top/>
      <bottom style="thin">
        <color indexed="8"/>
      </bottom>
      <diagonal/>
    </border>
    <border>
      <left style="thin">
        <color indexed="23"/>
      </left>
      <right/>
      <top style="thin">
        <color indexed="23"/>
      </top>
      <bottom style="thin">
        <color indexed="8"/>
      </bottom>
      <diagonal/>
    </border>
    <border>
      <left style="thin">
        <color indexed="23"/>
      </left>
      <right style="thin">
        <color indexed="64"/>
      </right>
      <top style="thin">
        <color indexed="23"/>
      </top>
      <bottom style="thin">
        <color indexed="64"/>
      </bottom>
      <diagonal/>
    </border>
    <border>
      <left style="thin">
        <color indexed="64"/>
      </left>
      <right style="thin">
        <color indexed="23"/>
      </right>
      <top style="thin">
        <color indexed="64"/>
      </top>
      <bottom style="thin">
        <color indexed="23"/>
      </bottom>
      <diagonal/>
    </border>
    <border>
      <left style="thin">
        <color indexed="23"/>
      </left>
      <right style="thin">
        <color indexed="23"/>
      </right>
      <top style="thin">
        <color indexed="64"/>
      </top>
      <bottom style="thin">
        <color indexed="23"/>
      </bottom>
      <diagonal/>
    </border>
    <border>
      <left style="thin">
        <color indexed="23"/>
      </left>
      <right style="thin">
        <color indexed="64"/>
      </right>
      <top style="thin">
        <color indexed="64"/>
      </top>
      <bottom style="thin">
        <color indexed="23"/>
      </bottom>
      <diagonal/>
    </border>
    <border>
      <left style="thin">
        <color indexed="8"/>
      </left>
      <right/>
      <top style="thin">
        <color indexed="23"/>
      </top>
      <bottom style="thin">
        <color indexed="23"/>
      </bottom>
      <diagonal/>
    </border>
    <border>
      <left style="medium">
        <color indexed="64"/>
      </left>
      <right style="medium">
        <color indexed="64"/>
      </right>
      <top style="medium">
        <color indexed="64"/>
      </top>
      <bottom style="thin">
        <color indexed="23"/>
      </bottom>
      <diagonal/>
    </border>
    <border>
      <left style="medium">
        <color indexed="64"/>
      </left>
      <right style="medium">
        <color indexed="64"/>
      </right>
      <top style="thin">
        <color indexed="23"/>
      </top>
      <bottom style="medium">
        <color indexed="64"/>
      </bottom>
      <diagonal/>
    </border>
    <border>
      <left style="medium">
        <color indexed="64"/>
      </left>
      <right/>
      <top/>
      <bottom/>
      <diagonal/>
    </border>
    <border>
      <left/>
      <right style="medium">
        <color indexed="64"/>
      </right>
      <top/>
      <bottom/>
      <diagonal/>
    </border>
    <border>
      <left/>
      <right style="thin">
        <color indexed="23"/>
      </right>
      <top style="thin">
        <color indexed="23"/>
      </top>
      <bottom style="thin">
        <color indexed="8"/>
      </bottom>
      <diagonal/>
    </border>
    <border>
      <left style="thin">
        <color indexed="8"/>
      </left>
      <right/>
      <top style="thin">
        <color indexed="23"/>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23"/>
      </left>
      <right/>
      <top style="thin">
        <color indexed="64"/>
      </top>
      <bottom style="thin">
        <color indexed="23"/>
      </bottom>
      <diagonal/>
    </border>
    <border>
      <left/>
      <right/>
      <top style="thin">
        <color indexed="64"/>
      </top>
      <bottom style="thin">
        <color indexed="23"/>
      </bottom>
      <diagonal/>
    </border>
    <border>
      <left/>
      <right style="thin">
        <color indexed="8"/>
      </right>
      <top style="thin">
        <color indexed="23"/>
      </top>
      <bottom style="thin">
        <color indexed="23"/>
      </bottom>
      <diagonal/>
    </border>
    <border>
      <left/>
      <right style="thin">
        <color indexed="8"/>
      </right>
      <top style="thin">
        <color indexed="8"/>
      </top>
      <bottom style="thin">
        <color indexed="23"/>
      </bottom>
      <diagonal/>
    </border>
    <border>
      <left style="thin">
        <color indexed="8"/>
      </left>
      <right style="thin">
        <color indexed="23"/>
      </right>
      <top/>
      <bottom style="thin">
        <color indexed="23"/>
      </bottom>
      <diagonal/>
    </border>
    <border>
      <left style="thin">
        <color indexed="64"/>
      </left>
      <right style="thin">
        <color indexed="23"/>
      </right>
      <top style="thin">
        <color indexed="64"/>
      </top>
      <bottom/>
      <diagonal/>
    </border>
    <border>
      <left style="thin">
        <color indexed="64"/>
      </left>
      <right style="thin">
        <color indexed="23"/>
      </right>
      <top/>
      <bottom style="thin">
        <color indexed="23"/>
      </bottom>
      <diagonal/>
    </border>
    <border>
      <left style="thin">
        <color indexed="8"/>
      </left>
      <right style="thin">
        <color indexed="23"/>
      </right>
      <top style="thin">
        <color indexed="8"/>
      </top>
      <bottom/>
      <diagonal/>
    </border>
    <border>
      <left/>
      <right style="thin">
        <color indexed="23"/>
      </right>
      <top style="thin">
        <color indexed="64"/>
      </top>
      <bottom style="thin">
        <color indexed="23"/>
      </bottom>
      <diagonal/>
    </border>
    <border>
      <left style="thin">
        <color indexed="23"/>
      </left>
      <right style="thin">
        <color indexed="8"/>
      </right>
      <top style="thin">
        <color indexed="8"/>
      </top>
      <bottom/>
      <diagonal/>
    </border>
    <border>
      <left style="thin">
        <color indexed="23"/>
      </left>
      <right style="thin">
        <color indexed="8"/>
      </right>
      <top/>
      <bottom style="thin">
        <color indexed="23"/>
      </bottom>
      <diagonal/>
    </border>
    <border>
      <left/>
      <right/>
      <top style="thin">
        <color indexed="23"/>
      </top>
      <bottom style="thin">
        <color indexed="23"/>
      </bottom>
      <diagonal/>
    </border>
    <border>
      <left/>
      <right style="thin">
        <color indexed="8"/>
      </right>
      <top style="thin">
        <color indexed="23"/>
      </top>
      <bottom/>
      <diagonal/>
    </border>
    <border>
      <left/>
      <right/>
      <top style="thin">
        <color indexed="23"/>
      </top>
      <bottom style="thin">
        <color indexed="8"/>
      </bottom>
      <diagonal/>
    </border>
    <border>
      <left/>
      <right/>
      <top style="thin">
        <color indexed="8"/>
      </top>
      <bottom style="thin">
        <color indexed="23"/>
      </bottom>
      <diagonal/>
    </border>
    <border>
      <left/>
      <right style="thin">
        <color indexed="23"/>
      </right>
      <top style="thin">
        <color indexed="8"/>
      </top>
      <bottom style="thin">
        <color indexed="23"/>
      </bottom>
      <diagonal/>
    </border>
    <border>
      <left style="thin">
        <color indexed="8"/>
      </left>
      <right/>
      <top style="thin">
        <color indexed="23"/>
      </top>
      <bottom/>
      <diagonal/>
    </border>
    <border>
      <left style="thin">
        <color rgb="FF00000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000000"/>
      </left>
      <right style="thin">
        <color rgb="FF808080"/>
      </right>
      <top style="thin">
        <color rgb="FF808080"/>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000000"/>
      </right>
      <top style="thin">
        <color rgb="FF808080"/>
      </top>
      <bottom style="thin">
        <color rgb="FF808080"/>
      </bottom>
      <diagonal/>
    </border>
    <border>
      <left style="thin">
        <color rgb="FF000000"/>
      </left>
      <right style="thin">
        <color rgb="FF808080"/>
      </right>
      <top/>
      <bottom/>
      <diagonal/>
    </border>
    <border>
      <left style="thin">
        <color rgb="FF000000"/>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auto="1"/>
      </left>
      <right style="thin">
        <color auto="1"/>
      </right>
      <top/>
      <bottom/>
      <diagonal/>
    </border>
    <border>
      <left style="thin">
        <color indexed="64"/>
      </left>
      <right/>
      <top/>
      <bottom/>
      <diagonal/>
    </border>
    <border>
      <left style="thin">
        <color indexed="23"/>
      </left>
      <right style="thin">
        <color indexed="64"/>
      </right>
      <top style="thin">
        <color indexed="23"/>
      </top>
      <bottom style="thin">
        <color indexed="8"/>
      </bottom>
      <diagonal/>
    </border>
    <border>
      <left style="thin">
        <color indexed="23"/>
      </left>
      <right style="thin">
        <color indexed="8"/>
      </right>
      <top style="thin">
        <color indexed="23"/>
      </top>
      <bottom/>
      <diagonal/>
    </border>
    <border>
      <left/>
      <right style="thin">
        <color indexed="8"/>
      </right>
      <top/>
      <bottom style="thin">
        <color indexed="23"/>
      </bottom>
      <diagonal/>
    </border>
    <border>
      <left style="thin">
        <color indexed="8"/>
      </left>
      <right/>
      <top/>
      <bottom style="thin">
        <color indexed="64"/>
      </bottom>
      <diagonal/>
    </border>
    <border>
      <left style="thin">
        <color indexed="8"/>
      </left>
      <right/>
      <top style="thin">
        <color indexed="8"/>
      </top>
      <bottom style="thin">
        <color indexed="23"/>
      </bottom>
      <diagonal/>
    </border>
    <border>
      <left style="thin">
        <color indexed="23"/>
      </left>
      <right style="thin">
        <color indexed="64"/>
      </right>
      <top/>
      <bottom style="thin">
        <color indexed="23"/>
      </bottom>
      <diagonal/>
    </border>
    <border>
      <left style="thin">
        <color rgb="FF808080"/>
      </left>
      <right style="thin">
        <color rgb="FF808080"/>
      </right>
      <top style="thin">
        <color rgb="FF808080"/>
      </top>
      <bottom style="thin">
        <color rgb="FF808080"/>
      </bottom>
      <diagonal/>
    </border>
    <border>
      <left style="thin">
        <color rgb="FF000000"/>
      </left>
      <right/>
      <top style="thin">
        <color rgb="FF808080"/>
      </top>
      <bottom style="thin">
        <color rgb="FF808080"/>
      </bottom>
      <diagonal/>
    </border>
    <border>
      <left style="thin">
        <color rgb="FF000000"/>
      </left>
      <right/>
      <top style="thin">
        <color rgb="FF808080"/>
      </top>
      <bottom style="thin">
        <color rgb="FF000000"/>
      </bottom>
      <diagonal/>
    </border>
    <border>
      <left/>
      <right/>
      <top style="thin">
        <color rgb="FF808080"/>
      </top>
      <bottom style="thin">
        <color rgb="FF000000"/>
      </bottom>
      <diagonal/>
    </border>
    <border>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thin">
        <color auto="1"/>
      </top>
      <bottom style="double">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808080"/>
      </left>
      <right style="thin">
        <color rgb="FF000000"/>
      </right>
      <top style="thin">
        <color rgb="FF808080"/>
      </top>
      <bottom style="thin">
        <color rgb="FF808080"/>
      </bottom>
      <diagonal/>
    </border>
    <border>
      <left/>
      <right style="thin">
        <color indexed="22"/>
      </right>
      <top style="thin">
        <color indexed="22"/>
      </top>
      <bottom style="thin">
        <color indexed="22"/>
      </bottom>
      <diagonal/>
    </border>
    <border>
      <left style="thin">
        <color rgb="FF000000"/>
      </left>
      <right style="thin">
        <color rgb="FF808080"/>
      </right>
      <top style="thin">
        <color rgb="FF000000"/>
      </top>
      <bottom/>
      <diagonal/>
    </border>
    <border>
      <left style="thin">
        <color rgb="FF808080"/>
      </left>
      <right/>
      <top style="thin">
        <color rgb="FF000000"/>
      </top>
      <bottom style="thin">
        <color rgb="FF808080"/>
      </bottom>
      <diagonal/>
    </border>
    <border>
      <left/>
      <right style="thin">
        <color rgb="FF808080"/>
      </right>
      <top style="thin">
        <color rgb="FF000000"/>
      </top>
      <bottom style="thin">
        <color rgb="FF808080"/>
      </bottom>
      <diagonal/>
    </border>
    <border>
      <left/>
      <right style="thin">
        <color rgb="FF000000"/>
      </right>
      <top style="thin">
        <color rgb="FF000000"/>
      </top>
      <bottom style="thin">
        <color rgb="FF808080"/>
      </bottom>
      <diagonal/>
    </border>
    <border>
      <left style="thin">
        <color indexed="8"/>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style="thin">
        <color indexed="64"/>
      </left>
      <right style="thin">
        <color indexed="23"/>
      </right>
      <top style="thin">
        <color indexed="23"/>
      </top>
      <bottom/>
      <diagonal/>
    </border>
    <border>
      <left style="thin">
        <color indexed="23"/>
      </left>
      <right style="thin">
        <color indexed="23"/>
      </right>
      <top style="thin">
        <color indexed="23"/>
      </top>
      <bottom/>
      <diagonal/>
    </border>
    <border>
      <left style="thin">
        <color indexed="8"/>
      </left>
      <right style="thin">
        <color indexed="23"/>
      </right>
      <top style="thin">
        <color indexed="23"/>
      </top>
      <bottom/>
      <diagonal/>
    </border>
    <border>
      <left style="thin">
        <color indexed="23"/>
      </left>
      <right style="thin">
        <color indexed="23"/>
      </right>
      <top/>
      <bottom/>
      <diagonal/>
    </border>
    <border>
      <left style="thin">
        <color indexed="8"/>
      </left>
      <right/>
      <top style="thin">
        <color indexed="23"/>
      </top>
      <bottom/>
      <diagonal/>
    </border>
    <border>
      <left style="thin">
        <color indexed="8"/>
      </left>
      <right/>
      <top style="thin">
        <color indexed="23"/>
      </top>
      <bottom style="thin">
        <color indexed="23"/>
      </bottom>
      <diagonal/>
    </border>
    <border>
      <left style="thin">
        <color indexed="23"/>
      </left>
      <right/>
      <top style="thin">
        <color indexed="23"/>
      </top>
      <bottom style="thin">
        <color indexed="23"/>
      </bottom>
      <diagonal/>
    </border>
    <border>
      <left style="thin">
        <color indexed="8"/>
      </left>
      <right style="thin">
        <color indexed="64"/>
      </right>
      <top style="thin">
        <color indexed="8"/>
      </top>
      <bottom/>
      <diagonal/>
    </border>
    <border>
      <left style="thin">
        <color indexed="8"/>
      </left>
      <right style="thin">
        <color indexed="64"/>
      </right>
      <top/>
      <bottom style="thin">
        <color indexed="23"/>
      </bottom>
      <diagonal/>
    </border>
    <border>
      <left style="thin">
        <color indexed="8"/>
      </left>
      <right style="thin">
        <color indexed="8"/>
      </right>
      <top style="thin">
        <color indexed="8"/>
      </top>
      <bottom style="thin">
        <color indexed="8"/>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64"/>
      </left>
      <right/>
      <top style="medium">
        <color indexed="64"/>
      </top>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indexed="64"/>
      </left>
      <right/>
      <top/>
      <bottom/>
      <diagonal/>
    </border>
    <border>
      <left/>
      <right/>
      <top/>
      <bottom style="thin">
        <color auto="1"/>
      </bottom>
      <diagonal/>
    </border>
    <border>
      <left style="thin">
        <color auto="1"/>
      </left>
      <right style="thin">
        <color auto="1"/>
      </right>
      <top/>
      <bottom/>
      <diagonal/>
    </border>
    <border>
      <left style="thin">
        <color indexed="23"/>
      </left>
      <right style="thin">
        <color indexed="23"/>
      </right>
      <top style="thin">
        <color indexed="8"/>
      </top>
      <bottom/>
      <diagonal/>
    </border>
    <border>
      <left style="thin">
        <color indexed="23"/>
      </left>
      <right/>
      <top style="thin">
        <color indexed="23"/>
      </top>
      <bottom/>
      <diagonal/>
    </border>
    <border>
      <left style="thin">
        <color auto="1"/>
      </left>
      <right style="thin">
        <color auto="1"/>
      </right>
      <top style="thin">
        <color auto="1"/>
      </top>
      <bottom style="thin">
        <color auto="1"/>
      </bottom>
      <diagonal/>
    </border>
    <border>
      <left style="thin">
        <color indexed="8"/>
      </left>
      <right style="thin">
        <color indexed="23"/>
      </right>
      <top style="thin">
        <color indexed="23"/>
      </top>
      <bottom/>
      <diagonal/>
    </border>
    <border>
      <left style="thin">
        <color indexed="8"/>
      </left>
      <right style="thin">
        <color indexed="23"/>
      </right>
      <top style="thin">
        <color indexed="23"/>
      </top>
      <bottom/>
      <diagonal/>
    </border>
    <border>
      <left style="thin">
        <color indexed="23"/>
      </left>
      <right style="thin">
        <color indexed="23"/>
      </right>
      <top style="thin">
        <color indexed="23"/>
      </top>
      <bottom/>
      <diagonal/>
    </border>
    <border>
      <left style="thin">
        <color indexed="64"/>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style="thin">
        <color indexed="64"/>
      </right>
      <top style="thin">
        <color indexed="23"/>
      </top>
      <bottom style="thin">
        <color indexed="23"/>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rgb="FF808080"/>
      </bottom>
      <diagonal/>
    </border>
    <border>
      <left style="thin">
        <color rgb="FF808080"/>
      </left>
      <right style="thin">
        <color rgb="FF000000"/>
      </right>
      <top style="thin">
        <color rgb="FF000000"/>
      </top>
      <bottom style="thin">
        <color rgb="FF80808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thin">
        <color indexed="8"/>
      </left>
      <right/>
      <top style="thin">
        <color indexed="23"/>
      </top>
      <bottom style="thin">
        <color indexed="8"/>
      </bottom>
      <diagonal/>
    </border>
    <border>
      <left/>
      <right/>
      <top style="thin">
        <color indexed="23"/>
      </top>
      <bottom style="thin">
        <color indexed="8"/>
      </bottom>
      <diagonal/>
    </border>
    <border>
      <left/>
      <right style="thin">
        <color indexed="23"/>
      </right>
      <top style="thin">
        <color indexed="23"/>
      </top>
      <bottom style="thin">
        <color indexed="8"/>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auto="1"/>
      </right>
      <top/>
      <bottom style="thin">
        <color auto="1"/>
      </bottom>
      <diagonal/>
    </border>
    <border>
      <left style="thin">
        <color indexed="8"/>
      </left>
      <right style="thin">
        <color auto="1"/>
      </right>
      <top style="thin">
        <color indexed="8"/>
      </top>
      <bottom/>
      <diagonal/>
    </border>
    <border>
      <left style="thin">
        <color indexed="8"/>
      </left>
      <right style="thin">
        <color auto="1"/>
      </right>
      <top/>
      <bottom style="thin">
        <color indexed="23"/>
      </bottom>
      <diagonal/>
    </border>
    <border>
      <left style="thin">
        <color indexed="8"/>
      </left>
      <right style="thin">
        <color indexed="23"/>
      </right>
      <top/>
      <bottom/>
      <diagonal/>
    </border>
    <border>
      <left style="thin">
        <color indexed="8"/>
      </left>
      <right style="thin">
        <color indexed="8"/>
      </right>
      <top style="thin">
        <color indexed="8"/>
      </top>
      <bottom style="thin">
        <color indexed="8"/>
      </bottom>
      <diagonal/>
    </border>
    <border>
      <left style="thin">
        <color indexed="23"/>
      </left>
      <right style="thin">
        <color indexed="8"/>
      </right>
      <top style="thin">
        <color indexed="23"/>
      </top>
      <bottom style="thin">
        <color indexed="23"/>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23"/>
      </right>
      <top style="thin">
        <color indexed="8"/>
      </top>
      <bottom/>
      <diagonal/>
    </border>
    <border>
      <left style="thin">
        <color indexed="8"/>
      </left>
      <right style="thin">
        <color indexed="23"/>
      </right>
      <top/>
      <bottom style="thin">
        <color indexed="23"/>
      </bottom>
      <diagonal/>
    </border>
    <border>
      <left style="thin">
        <color rgb="FFB3B3B3"/>
      </left>
      <right style="thin">
        <color rgb="FFB3B3B3"/>
      </right>
      <top style="thin">
        <color rgb="FFB3B3B3"/>
      </top>
      <bottom style="thin">
        <color rgb="FFB3B3B3"/>
      </bottom>
      <diagonal/>
    </border>
    <border>
      <left style="thin">
        <color indexed="8"/>
      </left>
      <right style="thin">
        <color indexed="23"/>
      </right>
      <top style="thin">
        <color indexed="23"/>
      </top>
      <bottom style="thin">
        <color indexed="8"/>
      </bottom>
      <diagonal/>
    </border>
    <border>
      <left/>
      <right style="thin">
        <color indexed="64"/>
      </right>
      <top style="thin">
        <color indexed="64"/>
      </top>
      <bottom style="thin">
        <color indexed="64"/>
      </bottom>
      <diagonal/>
    </border>
    <border>
      <left style="thin">
        <color rgb="FF808080"/>
      </left>
      <right style="thin">
        <color rgb="FF808080"/>
      </right>
      <top style="thin">
        <color rgb="FF000000"/>
      </top>
      <bottom/>
      <diagonal/>
    </border>
    <border>
      <left style="thin">
        <color indexed="8"/>
      </left>
      <right style="thin">
        <color indexed="8"/>
      </right>
      <top style="thin">
        <color indexed="8"/>
      </top>
      <bottom style="thin">
        <color indexed="8"/>
      </bottom>
      <diagonal/>
    </border>
    <border>
      <left style="thin">
        <color auto="1"/>
      </left>
      <right style="thin">
        <color auto="1"/>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top style="medium">
        <color rgb="00000000"/>
      </top>
      <bottom style="medium">
        <color rgb="00000000"/>
      </bottom>
    </border>
    <border>
      <top style="thin">
        <color rgb="00999999"/>
      </top>
    </border>
    <border>
      <top style="thin">
        <color rgb="00999999"/>
      </top>
      <bottom style="thin">
        <color rgb="00000000"/>
      </bottom>
    </border>
    <border>
      <top style="thin">
        <color rgb="00999999"/>
      </top>
      <bottom style="double">
        <color rgb="00000000"/>
      </bottom>
    </border>
  </borders>
  <cellStyleXfs count="2046">
    <xf numFmtId="0" fontId="0" fillId="0" borderId="0">
      <alignment vertical="center"/>
    </xf>
    <xf numFmtId="0" fontId="7" fillId="0" borderId="0"/>
    <xf numFmtId="41" fontId="8" fillId="0" borderId="0"/>
    <xf numFmtId="0" fontId="7" fillId="0" borderId="0"/>
    <xf numFmtId="0" fontId="21" fillId="0" borderId="0"/>
    <xf numFmtId="0" fontId="7" fillId="0" borderId="0"/>
    <xf numFmtId="41" fontId="8" fillId="0" borderId="0"/>
    <xf numFmtId="44" fontId="22" fillId="0" borderId="0" applyFont="0" applyFill="0" applyBorder="0" applyAlignment="0" applyProtection="0"/>
    <xf numFmtId="0" fontId="23" fillId="0" borderId="0" applyNumberFormat="0" applyFill="0" applyBorder="0" applyAlignment="0" applyProtection="0"/>
    <xf numFmtId="49" fontId="24" fillId="0" borderId="1">
      <alignment horizontal="center" vertical="center"/>
    </xf>
    <xf numFmtId="49" fontId="24" fillId="0" borderId="1">
      <alignment horizontal="center" vertical="center"/>
    </xf>
    <xf numFmtId="41" fontId="8" fillId="0" borderId="0"/>
    <xf numFmtId="41" fontId="8" fillId="0" borderId="0"/>
    <xf numFmtId="24" fontId="25" fillId="0" borderId="0" applyFont="0" applyFill="0" applyBorder="0" applyAlignment="0" applyProtection="0"/>
    <xf numFmtId="181" fontId="8" fillId="0" borderId="0" applyNumberFormat="0" applyFont="0" applyFill="0" applyBorder="0" applyAlignment="0" applyProtection="0"/>
    <xf numFmtId="181" fontId="8" fillId="0" borderId="0" applyNumberFormat="0" applyFont="0" applyFill="0" applyBorder="0" applyAlignment="0" applyProtection="0"/>
    <xf numFmtId="182" fontId="8" fillId="0" borderId="0" applyNumberFormat="0" applyFont="0" applyFill="0" applyBorder="0" applyAlignment="0" applyProtection="0"/>
    <xf numFmtId="180" fontId="20" fillId="0" borderId="0" applyFont="0" applyFill="0" applyBorder="0" applyAlignment="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84" fontId="19" fillId="0" borderId="0" applyFont="0" applyFill="0" applyBorder="0" applyAlignment="0"/>
    <xf numFmtId="0" fontId="27" fillId="0" borderId="0"/>
    <xf numFmtId="0" fontId="27" fillId="0" borderId="0"/>
    <xf numFmtId="185" fontId="28" fillId="0" borderId="0" applyFont="0" applyFill="0" applyBorder="0" applyAlignment="0" applyProtection="0"/>
    <xf numFmtId="41" fontId="7" fillId="0" borderId="0" applyFont="0" applyFill="0" applyBorder="0" applyAlignment="0" applyProtection="0"/>
    <xf numFmtId="186" fontId="26" fillId="0" borderId="2">
      <protection locked="0"/>
    </xf>
    <xf numFmtId="0" fontId="20" fillId="0" borderId="0"/>
    <xf numFmtId="0" fontId="20" fillId="0" borderId="0"/>
    <xf numFmtId="0" fontId="20" fillId="0" borderId="0"/>
    <xf numFmtId="0" fontId="29" fillId="0" borderId="0" applyNumberFormat="0" applyFill="0" applyBorder="0" applyAlignment="0" applyProtection="0"/>
    <xf numFmtId="0" fontId="7" fillId="0" borderId="0" applyFont="0" applyFill="0" applyBorder="0" applyAlignment="0" applyProtection="0"/>
    <xf numFmtId="0" fontId="30" fillId="0" borderId="0" applyNumberFormat="0" applyFill="0" applyBorder="0" applyAlignment="0" applyProtection="0">
      <alignment horizontal="center" vertical="top"/>
    </xf>
    <xf numFmtId="0" fontId="31" fillId="0" borderId="0"/>
    <xf numFmtId="0" fontId="32" fillId="0" borderId="0"/>
    <xf numFmtId="0" fontId="7" fillId="0" borderId="0"/>
    <xf numFmtId="40" fontId="25" fillId="0" borderId="0" applyFont="0" applyFill="0" applyBorder="0" applyAlignment="0" applyProtection="0"/>
    <xf numFmtId="38" fontId="25" fillId="0" borderId="0" applyFont="0" applyFill="0" applyBorder="0" applyAlignment="0" applyProtection="0"/>
    <xf numFmtId="0" fontId="33" fillId="0" borderId="0" applyNumberFormat="0" applyFill="0" applyBorder="0" applyAlignment="0" applyProtection="0">
      <alignment vertical="top"/>
      <protection locked="0"/>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187"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8" fillId="0" borderId="3">
      <alignment vertical="center"/>
    </xf>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20" fillId="0" borderId="0"/>
    <xf numFmtId="0" fontId="2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9" fillId="0" borderId="0"/>
    <xf numFmtId="41" fontId="8" fillId="0" borderId="0"/>
    <xf numFmtId="41" fontId="8" fillId="0" borderId="0"/>
    <xf numFmtId="0" fontId="7" fillId="0" borderId="0"/>
    <xf numFmtId="0" fontId="20" fillId="0" borderId="0"/>
    <xf numFmtId="0" fontId="34" fillId="0" borderId="0"/>
    <xf numFmtId="0" fontId="19" fillId="0" borderId="0"/>
    <xf numFmtId="0" fontId="24"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7" fillId="0" borderId="0"/>
    <xf numFmtId="0" fontId="27" fillId="0" borderId="0"/>
    <xf numFmtId="0" fontId="35" fillId="0" borderId="0"/>
    <xf numFmtId="0" fontId="35" fillId="0" borderId="0"/>
    <xf numFmtId="0" fontId="24" fillId="0" borderId="0" applyFont="0" applyFill="0" applyBorder="0" applyAlignment="0" applyProtection="0"/>
    <xf numFmtId="0" fontId="7" fillId="0" borderId="0"/>
    <xf numFmtId="0" fontId="7"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applyFont="0" applyFill="0" applyBorder="0" applyAlignment="0" applyProtection="0"/>
    <xf numFmtId="0" fontId="35" fillId="0" borderId="0"/>
    <xf numFmtId="0" fontId="35" fillId="0" borderId="0"/>
    <xf numFmtId="0" fontId="27" fillId="0" borderId="0"/>
    <xf numFmtId="0" fontId="2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19" fillId="0" borderId="0"/>
    <xf numFmtId="0" fontId="7" fillId="0" borderId="0"/>
    <xf numFmtId="0"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4" fillId="0" borderId="0" applyFont="0" applyFill="0" applyBorder="0" applyAlignment="0" applyProtection="0"/>
    <xf numFmtId="0" fontId="24" fillId="0" borderId="0" applyFont="0" applyFill="0" applyBorder="0" applyAlignment="0" applyProtection="0"/>
    <xf numFmtId="38" fontId="25" fillId="0" borderId="0" applyFill="0" applyBorder="0" applyAlignment="0" applyProtection="0"/>
    <xf numFmtId="0" fontId="8" fillId="0" borderId="0" applyFont="0" applyFill="0" applyBorder="0" applyAlignment="0" applyProtection="0"/>
    <xf numFmtId="188" fontId="7" fillId="0" borderId="0" applyFont="0" applyFill="0" applyBorder="0" applyAlignment="0" applyProtection="0"/>
    <xf numFmtId="4" fontId="36" fillId="0" borderId="0" applyFont="0" applyFill="0" applyBorder="0" applyAlignment="0" applyProtection="0"/>
    <xf numFmtId="40" fontId="37" fillId="0" borderId="0" applyFont="0" applyFill="0" applyBorder="0" applyAlignment="0" applyProtection="0"/>
    <xf numFmtId="189" fontId="38"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34" fillId="0" borderId="0"/>
    <xf numFmtId="41" fontId="8" fillId="0" borderId="0"/>
    <xf numFmtId="41" fontId="8" fillId="0" borderId="0"/>
    <xf numFmtId="0" fontId="7" fillId="0" borderId="0"/>
    <xf numFmtId="0" fontId="7" fillId="0" borderId="0"/>
    <xf numFmtId="0" fontId="7" fillId="0" borderId="0"/>
    <xf numFmtId="0" fontId="34" fillId="0" borderId="0"/>
    <xf numFmtId="41" fontId="8" fillId="0" borderId="0"/>
    <xf numFmtId="41" fontId="8" fillId="0" borderId="0"/>
    <xf numFmtId="0" fontId="7" fillId="0" borderId="0"/>
    <xf numFmtId="0" fontId="20" fillId="0" borderId="0"/>
    <xf numFmtId="0" fontId="7" fillId="0" borderId="0"/>
    <xf numFmtId="0" fontId="25"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7" fillId="0" borderId="0"/>
    <xf numFmtId="0" fontId="7" fillId="0" borderId="0"/>
    <xf numFmtId="0" fontId="20" fillId="0" borderId="0"/>
    <xf numFmtId="0" fontId="7" fillId="0" borderId="0"/>
    <xf numFmtId="0" fontId="39" fillId="0" borderId="0" applyFont="0" applyFill="0" applyBorder="0" applyAlignment="0" applyProtection="0"/>
    <xf numFmtId="0" fontId="40" fillId="0" borderId="0"/>
    <xf numFmtId="0" fontId="4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19"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0" fontId="2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4" fillId="0" borderId="0"/>
    <xf numFmtId="0" fontId="7" fillId="0" borderId="0"/>
    <xf numFmtId="0" fontId="7" fillId="0" borderId="0"/>
    <xf numFmtId="1" fontId="14" fillId="0" borderId="0">
      <alignment vertical="center"/>
    </xf>
    <xf numFmtId="0" fontId="26" fillId="0" borderId="0">
      <protection locked="0"/>
    </xf>
    <xf numFmtId="0" fontId="7" fillId="0" borderId="0" applyFont="0" applyFill="0" applyBorder="0" applyAlignment="0" applyProtection="0"/>
    <xf numFmtId="0" fontId="7" fillId="0" borderId="0" applyFont="0" applyFill="0" applyBorder="0" applyAlignment="0" applyProtection="0"/>
    <xf numFmtId="190" fontId="41" fillId="0" borderId="0" applyFont="0" applyFill="0" applyBorder="0" applyAlignment="0" applyProtection="0"/>
    <xf numFmtId="191" fontId="41" fillId="0" borderId="0" applyFont="0" applyFill="0" applyBorder="0" applyAlignment="0" applyProtection="0"/>
    <xf numFmtId="192" fontId="41" fillId="0" borderId="0" applyFont="0" applyFill="0" applyBorder="0" applyAlignment="0" applyProtection="0"/>
    <xf numFmtId="193" fontId="41" fillId="0" borderId="0" applyFont="0" applyFill="0" applyBorder="0" applyAlignment="0" applyProtection="0"/>
    <xf numFmtId="194" fontId="41" fillId="0" borderId="0" applyFont="0" applyFill="0" applyBorder="0" applyAlignment="0" applyProtection="0"/>
    <xf numFmtId="195" fontId="42" fillId="0" borderId="0" applyFont="0" applyFill="0" applyBorder="0" applyAlignment="0" applyProtection="0"/>
    <xf numFmtId="0" fontId="28" fillId="0" borderId="0"/>
    <xf numFmtId="0" fontId="28" fillId="0" borderId="0"/>
    <xf numFmtId="41" fontId="7" fillId="0" borderId="0" applyFont="0" applyFill="0" applyBorder="0" applyAlignment="0" applyProtection="0"/>
    <xf numFmtId="43"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1" fontId="43" fillId="0" borderId="4" applyBorder="0">
      <alignment horizontal="center" vertical="center"/>
    </xf>
    <xf numFmtId="41" fontId="43" fillId="0" borderId="4" applyBorder="0">
      <alignment horizontal="center" vertical="center"/>
    </xf>
    <xf numFmtId="0" fontId="32" fillId="0" borderId="0"/>
    <xf numFmtId="196" fontId="44" fillId="0" borderId="0"/>
    <xf numFmtId="0" fontId="45" fillId="0" borderId="0"/>
    <xf numFmtId="197" fontId="26" fillId="0" borderId="0">
      <protection locked="0"/>
    </xf>
    <xf numFmtId="0" fontId="46" fillId="0" borderId="0">
      <protection locked="0"/>
    </xf>
    <xf numFmtId="0" fontId="46" fillId="0" borderId="0">
      <protection locked="0"/>
    </xf>
    <xf numFmtId="0" fontId="47" fillId="0" borderId="0"/>
    <xf numFmtId="186" fontId="48" fillId="0" borderId="0">
      <protection locked="0"/>
    </xf>
    <xf numFmtId="186" fontId="48" fillId="0" borderId="0">
      <protection locked="0"/>
    </xf>
    <xf numFmtId="186" fontId="48" fillId="0" borderId="0">
      <protection locked="0"/>
    </xf>
    <xf numFmtId="186" fontId="48" fillId="0" borderId="0">
      <protection locked="0"/>
    </xf>
    <xf numFmtId="186" fontId="48" fillId="0" borderId="0">
      <protection locked="0"/>
    </xf>
    <xf numFmtId="1" fontId="25" fillId="0" borderId="0"/>
    <xf numFmtId="0" fontId="8" fillId="0" borderId="0"/>
    <xf numFmtId="49" fontId="49" fillId="0" borderId="3" applyBorder="0">
      <alignment vertical="center"/>
    </xf>
    <xf numFmtId="0" fontId="50" fillId="0" borderId="0"/>
    <xf numFmtId="4" fontId="51" fillId="0" borderId="5">
      <alignment vertical="center"/>
    </xf>
    <xf numFmtId="4" fontId="51" fillId="0" borderId="5">
      <alignment vertical="center"/>
    </xf>
    <xf numFmtId="0" fontId="7" fillId="0" borderId="0" applyNumberFormat="0" applyFill="0" applyBorder="0" applyAlignment="0" applyProtection="0"/>
    <xf numFmtId="186" fontId="52" fillId="0" borderId="0">
      <protection locked="0"/>
    </xf>
    <xf numFmtId="186" fontId="48" fillId="0" borderId="0">
      <protection locked="0"/>
    </xf>
    <xf numFmtId="9" fontId="40" fillId="0" borderId="0" applyFont="0" applyFill="0" applyBorder="0" applyAlignment="0" applyProtection="0"/>
    <xf numFmtId="9" fontId="53" fillId="0" borderId="0" applyFont="0" applyFill="0" applyBorder="0" applyAlignment="0" applyProtection="0"/>
    <xf numFmtId="9" fontId="40" fillId="0" borderId="0" applyFont="0" applyFill="0" applyBorder="0" applyAlignment="0" applyProtection="0"/>
    <xf numFmtId="0" fontId="22" fillId="0" borderId="0" applyFont="0" applyFill="0" applyBorder="0" applyAlignment="0" applyProtection="0"/>
    <xf numFmtId="0" fontId="54" fillId="2" borderId="0" applyNumberFormat="0" applyBorder="0" applyAlignment="0" applyProtection="0">
      <alignment vertical="center"/>
    </xf>
    <xf numFmtId="0" fontId="54" fillId="2" borderId="0" applyNumberFormat="0" applyBorder="0" applyAlignment="0" applyProtection="0">
      <alignment vertical="center"/>
    </xf>
    <xf numFmtId="0" fontId="54" fillId="4" borderId="0" applyNumberFormat="0" applyBorder="0" applyAlignment="0" applyProtection="0">
      <alignment vertical="center"/>
    </xf>
    <xf numFmtId="0" fontId="54" fillId="4"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7" borderId="0" applyNumberFormat="0" applyBorder="0" applyAlignment="0" applyProtection="0">
      <alignment vertical="center"/>
    </xf>
    <xf numFmtId="0" fontId="54" fillId="7" borderId="0" applyNumberFormat="0" applyBorder="0" applyAlignment="0" applyProtection="0">
      <alignment vertical="center"/>
    </xf>
    <xf numFmtId="0" fontId="54" fillId="8" borderId="0" applyNumberFormat="0" applyBorder="0" applyAlignment="0" applyProtection="0">
      <alignment vertical="center"/>
    </xf>
    <xf numFmtId="0" fontId="54" fillId="8" borderId="0" applyNumberFormat="0" applyBorder="0" applyAlignment="0" applyProtection="0">
      <alignment vertical="center"/>
    </xf>
    <xf numFmtId="0" fontId="54" fillId="3" borderId="0" applyNumberFormat="0" applyBorder="0" applyAlignment="0" applyProtection="0">
      <alignment vertical="center"/>
    </xf>
    <xf numFmtId="0" fontId="54" fillId="3" borderId="0" applyNumberFormat="0" applyBorder="0" applyAlignment="0" applyProtection="0">
      <alignment vertical="center"/>
    </xf>
    <xf numFmtId="0" fontId="20" fillId="0" borderId="0"/>
    <xf numFmtId="0" fontId="26" fillId="0" borderId="0">
      <protection locked="0"/>
    </xf>
    <xf numFmtId="198" fontId="38" fillId="0" borderId="0" applyFont="0" applyFill="0" applyBorder="0" applyAlignment="0" applyProtection="0"/>
    <xf numFmtId="199" fontId="7" fillId="0" borderId="0" applyFont="0" applyFill="0" applyBorder="0" applyAlignment="0" applyProtection="0"/>
    <xf numFmtId="200" fontId="8" fillId="0" borderId="0" applyFont="0" applyFill="0" applyBorder="0" applyAlignment="0" applyProtection="0"/>
    <xf numFmtId="201" fontId="7" fillId="0" borderId="0" applyFont="0" applyFill="0" applyBorder="0" applyAlignment="0" applyProtection="0"/>
    <xf numFmtId="178" fontId="38" fillId="0" borderId="0" applyFont="0" applyFill="0" applyBorder="0" applyAlignment="0" applyProtection="0"/>
    <xf numFmtId="202" fontId="7" fillId="0" borderId="0" applyFont="0" applyFill="0" applyBorder="0" applyAlignment="0" applyProtection="0"/>
    <xf numFmtId="0" fontId="54" fillId="9" borderId="0" applyNumberFormat="0" applyBorder="0" applyAlignment="0" applyProtection="0">
      <alignment vertical="center"/>
    </xf>
    <xf numFmtId="0" fontId="54" fillId="9"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2" borderId="0" applyNumberFormat="0" applyBorder="0" applyAlignment="0" applyProtection="0">
      <alignment vertical="center"/>
    </xf>
    <xf numFmtId="0" fontId="54" fillId="12" borderId="0" applyNumberFormat="0" applyBorder="0" applyAlignment="0" applyProtection="0">
      <alignment vertical="center"/>
    </xf>
    <xf numFmtId="0" fontId="54" fillId="7" borderId="0" applyNumberFormat="0" applyBorder="0" applyAlignment="0" applyProtection="0">
      <alignment vertical="center"/>
    </xf>
    <xf numFmtId="0" fontId="54" fillId="7" borderId="0" applyNumberFormat="0" applyBorder="0" applyAlignment="0" applyProtection="0">
      <alignment vertical="center"/>
    </xf>
    <xf numFmtId="0" fontId="54" fillId="9" borderId="0" applyNumberFormat="0" applyBorder="0" applyAlignment="0" applyProtection="0">
      <alignment vertical="center"/>
    </xf>
    <xf numFmtId="0" fontId="54" fillId="9"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29" fillId="0" borderId="0" applyNumberFormat="0" applyFill="0" applyBorder="0" applyAlignment="0" applyProtection="0"/>
    <xf numFmtId="9" fontId="20" fillId="0" borderId="0">
      <protection locked="0"/>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0" borderId="0" applyNumberFormat="0" applyBorder="0" applyAlignment="0" applyProtection="0">
      <alignment vertical="center"/>
    </xf>
    <xf numFmtId="0" fontId="55" fillId="10" borderId="0" applyNumberFormat="0" applyBorder="0" applyAlignment="0" applyProtection="0">
      <alignment vertical="center"/>
    </xf>
    <xf numFmtId="0" fontId="55" fillId="12" borderId="0" applyNumberFormat="0" applyBorder="0" applyAlignment="0" applyProtection="0">
      <alignment vertical="center"/>
    </xf>
    <xf numFmtId="0" fontId="55" fillId="12" borderId="0" applyNumberFormat="0" applyBorder="0" applyAlignment="0" applyProtection="0">
      <alignment vertical="center"/>
    </xf>
    <xf numFmtId="0" fontId="55" fillId="17" borderId="0" applyNumberFormat="0" applyBorder="0" applyAlignment="0" applyProtection="0">
      <alignment vertical="center"/>
    </xf>
    <xf numFmtId="0" fontId="55" fillId="17" borderId="0" applyNumberFormat="0" applyBorder="0" applyAlignment="0" applyProtection="0">
      <alignment vertical="center"/>
    </xf>
    <xf numFmtId="0" fontId="55" fillId="15" borderId="0" applyNumberFormat="0" applyBorder="0" applyAlignment="0" applyProtection="0">
      <alignment vertical="center"/>
    </xf>
    <xf numFmtId="0" fontId="55" fillId="15" borderId="0" applyNumberFormat="0" applyBorder="0" applyAlignment="0" applyProtection="0">
      <alignment vertical="center"/>
    </xf>
    <xf numFmtId="0" fontId="55" fillId="19" borderId="0" applyNumberFormat="0" applyBorder="0" applyAlignment="0" applyProtection="0">
      <alignment vertical="center"/>
    </xf>
    <xf numFmtId="0" fontId="55" fillId="19" borderId="0" applyNumberFormat="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6" fillId="0" borderId="0" applyFont="0" applyFill="0" applyBorder="0" applyAlignment="0" applyProtection="0"/>
    <xf numFmtId="0" fontId="56" fillId="0" borderId="0" applyFont="0" applyFill="0" applyBorder="0" applyAlignment="0" applyProtection="0"/>
    <xf numFmtId="41" fontId="57" fillId="0" borderId="0" applyFont="0" applyFill="0" applyBorder="0" applyAlignment="0" applyProtection="0"/>
    <xf numFmtId="43" fontId="57" fillId="0" borderId="0" applyFont="0" applyFill="0" applyBorder="0" applyAlignment="0" applyProtection="0"/>
    <xf numFmtId="180" fontId="58" fillId="0" borderId="0" applyFont="0" applyFill="0" applyBorder="0" applyAlignment="0" applyProtection="0"/>
    <xf numFmtId="41" fontId="59" fillId="0" borderId="0" applyFont="0" applyFill="0" applyBorder="0" applyAlignment="0" applyProtection="0"/>
    <xf numFmtId="188" fontId="58" fillId="0" borderId="0" applyFont="0" applyFill="0" applyBorder="0" applyAlignment="0" applyProtection="0"/>
    <xf numFmtId="43" fontId="59"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8" fillId="20" borderId="6" applyNumberFormat="0" applyFill="0" applyBorder="0" applyAlignment="0">
      <alignment horizontal="center" vertical="center"/>
    </xf>
    <xf numFmtId="0" fontId="61" fillId="0" borderId="0" applyNumberFormat="0" applyAlignment="0"/>
    <xf numFmtId="186" fontId="52" fillId="0" borderId="0">
      <protection locked="0"/>
    </xf>
    <xf numFmtId="186" fontId="48" fillId="0" borderId="0">
      <protection locked="0"/>
    </xf>
    <xf numFmtId="186" fontId="52" fillId="0" borderId="0">
      <protection locked="0"/>
    </xf>
    <xf numFmtId="186" fontId="48" fillId="0" borderId="0">
      <protection locked="0"/>
    </xf>
    <xf numFmtId="203" fontId="40" fillId="0" borderId="0" applyFont="0" applyFill="0" applyBorder="0" applyAlignment="0" applyProtection="0"/>
    <xf numFmtId="204" fontId="62" fillId="0" borderId="0" applyFont="0" applyFill="0" applyBorder="0" applyAlignment="0" applyProtection="0"/>
    <xf numFmtId="204" fontId="40" fillId="0" borderId="0" applyFont="0" applyFill="0" applyBorder="0" applyAlignment="0" applyProtection="0"/>
    <xf numFmtId="0" fontId="53" fillId="0" borderId="0" applyFont="0" applyFill="0" applyBorder="0" applyAlignment="0" applyProtection="0"/>
    <xf numFmtId="204" fontId="40" fillId="0" borderId="0" applyFont="0" applyFill="0" applyBorder="0" applyAlignment="0" applyProtection="0"/>
    <xf numFmtId="204" fontId="53" fillId="0" borderId="0" applyFont="0" applyFill="0" applyBorder="0" applyAlignment="0" applyProtection="0"/>
    <xf numFmtId="0" fontId="40" fillId="0" borderId="0" applyFont="0" applyFill="0" applyBorder="0" applyAlignment="0" applyProtection="0"/>
    <xf numFmtId="204" fontId="53" fillId="0" borderId="0" applyFont="0" applyFill="0" applyBorder="0" applyAlignment="0" applyProtection="0"/>
    <xf numFmtId="204" fontId="40" fillId="0" borderId="0" applyFont="0" applyFill="0" applyBorder="0" applyAlignment="0" applyProtection="0"/>
    <xf numFmtId="0" fontId="53" fillId="0" borderId="0" applyFont="0" applyFill="0" applyBorder="0" applyAlignment="0" applyProtection="0"/>
    <xf numFmtId="0" fontId="40" fillId="0" borderId="0" applyFont="0" applyFill="0" applyBorder="0" applyAlignment="0" applyProtection="0"/>
    <xf numFmtId="205" fontId="7" fillId="0" borderId="0" applyFont="0" applyFill="0" applyBorder="0" applyAlignment="0" applyProtection="0"/>
    <xf numFmtId="204" fontId="63" fillId="0" borderId="0" applyFont="0" applyFill="0" applyBorder="0" applyAlignment="0" applyProtection="0"/>
    <xf numFmtId="203" fontId="53" fillId="0" borderId="0" applyFont="0" applyFill="0" applyBorder="0" applyAlignment="0" applyProtection="0"/>
    <xf numFmtId="0" fontId="20" fillId="0" borderId="0" applyFont="0" applyFill="0" applyBorder="0" applyAlignment="0" applyProtection="0"/>
    <xf numFmtId="0" fontId="53" fillId="0" borderId="0" applyFont="0" applyFill="0" applyBorder="0" applyAlignment="0" applyProtection="0"/>
    <xf numFmtId="206" fontId="40" fillId="0" borderId="0" applyFont="0" applyFill="0" applyBorder="0" applyAlignment="0" applyProtection="0"/>
    <xf numFmtId="207" fontId="62" fillId="0" borderId="0" applyFont="0" applyFill="0" applyBorder="0" applyAlignment="0" applyProtection="0"/>
    <xf numFmtId="207" fontId="40" fillId="0" borderId="0" applyFont="0" applyFill="0" applyBorder="0" applyAlignment="0" applyProtection="0"/>
    <xf numFmtId="0" fontId="53" fillId="0" borderId="0" applyFont="0" applyFill="0" applyBorder="0" applyAlignment="0" applyProtection="0"/>
    <xf numFmtId="207" fontId="40" fillId="0" borderId="0" applyFont="0" applyFill="0" applyBorder="0" applyAlignment="0" applyProtection="0"/>
    <xf numFmtId="207" fontId="53" fillId="0" borderId="0" applyFont="0" applyFill="0" applyBorder="0" applyAlignment="0" applyProtection="0"/>
    <xf numFmtId="0" fontId="40" fillId="0" borderId="0" applyFont="0" applyFill="0" applyBorder="0" applyAlignment="0" applyProtection="0"/>
    <xf numFmtId="207" fontId="53" fillId="0" borderId="0" applyFont="0" applyFill="0" applyBorder="0" applyAlignment="0" applyProtection="0"/>
    <xf numFmtId="207" fontId="40" fillId="0" borderId="0" applyFont="0" applyFill="0" applyBorder="0" applyAlignment="0" applyProtection="0"/>
    <xf numFmtId="0" fontId="53" fillId="0" borderId="0" applyFont="0" applyFill="0" applyBorder="0" applyAlignment="0" applyProtection="0"/>
    <xf numFmtId="0" fontId="40" fillId="0" borderId="0" applyFont="0" applyFill="0" applyBorder="0" applyAlignment="0" applyProtection="0"/>
    <xf numFmtId="208" fontId="7" fillId="0" borderId="0" applyFont="0" applyFill="0" applyBorder="0" applyAlignment="0" applyProtection="0"/>
    <xf numFmtId="207" fontId="63" fillId="0" borderId="0" applyFont="0" applyFill="0" applyBorder="0" applyAlignment="0" applyProtection="0"/>
    <xf numFmtId="206" fontId="53" fillId="0" borderId="0" applyFont="0" applyFill="0" applyBorder="0" applyAlignment="0" applyProtection="0"/>
    <xf numFmtId="0" fontId="20" fillId="0" borderId="0" applyFont="0" applyFill="0" applyBorder="0" applyAlignment="0" applyProtection="0"/>
    <xf numFmtId="42" fontId="57" fillId="0" borderId="0" applyFont="0" applyFill="0" applyBorder="0" applyAlignment="0" applyProtection="0"/>
    <xf numFmtId="44" fontId="57" fillId="0" borderId="0" applyFont="0" applyFill="0" applyBorder="0" applyAlignment="0" applyProtection="0"/>
    <xf numFmtId="42" fontId="59" fillId="0" borderId="0" applyFont="0" applyFill="0" applyBorder="0" applyAlignment="0" applyProtection="0"/>
    <xf numFmtId="44" fontId="59" fillId="0" borderId="0" applyFont="0" applyFill="0" applyBorder="0" applyAlignment="0" applyProtection="0"/>
    <xf numFmtId="204" fontId="58" fillId="0" borderId="0" applyFont="0" applyFill="0" applyBorder="0" applyAlignment="0" applyProtection="0"/>
    <xf numFmtId="207" fontId="58"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209" fontId="56" fillId="0" borderId="0" applyFont="0" applyFill="0" applyBorder="0" applyAlignment="0" applyProtection="0"/>
    <xf numFmtId="185" fontId="56" fillId="0" borderId="0" applyFont="0" applyFill="0" applyBorder="0" applyAlignment="0" applyProtection="0"/>
    <xf numFmtId="210" fontId="26" fillId="0" borderId="0">
      <protection locked="0"/>
    </xf>
    <xf numFmtId="211" fontId="64" fillId="21" borderId="7">
      <alignment horizontal="center" vertical="center"/>
    </xf>
    <xf numFmtId="212" fontId="64" fillId="21" borderId="7">
      <alignment horizontal="center" vertical="center"/>
    </xf>
    <xf numFmtId="0" fontId="25" fillId="0" borderId="0"/>
    <xf numFmtId="0" fontId="65" fillId="0" borderId="0">
      <alignment horizontal="center" wrapText="1"/>
      <protection locked="0"/>
    </xf>
    <xf numFmtId="213" fontId="7" fillId="22" borderId="8" applyProtection="0">
      <alignment horizontal="right"/>
    </xf>
    <xf numFmtId="214" fontId="7" fillId="22" borderId="8" applyProtection="0">
      <alignment horizontal="right"/>
      <protection locked="0"/>
    </xf>
    <xf numFmtId="215" fontId="7" fillId="22" borderId="8" applyProtection="0">
      <alignment horizontal="right"/>
      <protection locked="0"/>
    </xf>
    <xf numFmtId="216" fontId="7" fillId="22" borderId="8" applyProtection="0">
      <alignment horizontal="right"/>
    </xf>
    <xf numFmtId="217" fontId="7" fillId="22" borderId="8" applyProtection="0">
      <alignment horizontal="right"/>
    </xf>
    <xf numFmtId="218" fontId="7" fillId="22" borderId="8" applyProtection="0">
      <alignment horizontal="right"/>
    </xf>
    <xf numFmtId="186" fontId="52" fillId="0" borderId="0">
      <protection locked="0"/>
    </xf>
    <xf numFmtId="186" fontId="48" fillId="0" borderId="0">
      <protection locked="0"/>
    </xf>
    <xf numFmtId="186" fontId="52" fillId="0" borderId="0">
      <protection locked="0"/>
    </xf>
    <xf numFmtId="186" fontId="48" fillId="0" borderId="0">
      <protection locked="0"/>
    </xf>
    <xf numFmtId="219" fontId="40" fillId="0" borderId="0" applyFont="0" applyFill="0" applyBorder="0" applyAlignment="0" applyProtection="0"/>
    <xf numFmtId="180" fontId="66" fillId="0" borderId="0" applyFont="0" applyFill="0" applyBorder="0" applyAlignment="0" applyProtection="0"/>
    <xf numFmtId="180" fontId="27" fillId="0" borderId="0" applyFont="0" applyFill="0" applyBorder="0" applyAlignment="0" applyProtection="0"/>
    <xf numFmtId="180" fontId="62" fillId="0" borderId="0" applyFont="0" applyFill="0" applyBorder="0" applyAlignment="0" applyProtection="0"/>
    <xf numFmtId="180" fontId="27" fillId="0" borderId="0" applyFont="0" applyFill="0" applyBorder="0" applyAlignment="0" applyProtection="0"/>
    <xf numFmtId="0" fontId="53" fillId="0" borderId="0" applyFont="0" applyFill="0" applyBorder="0" applyAlignment="0" applyProtection="0"/>
    <xf numFmtId="180" fontId="40" fillId="0" borderId="0" applyFont="0" applyFill="0" applyBorder="0" applyAlignment="0" applyProtection="0"/>
    <xf numFmtId="180" fontId="53" fillId="0" borderId="0" applyFont="0" applyFill="0" applyBorder="0" applyAlignment="0" applyProtection="0"/>
    <xf numFmtId="0" fontId="40" fillId="0" borderId="0" applyFont="0" applyFill="0" applyBorder="0" applyAlignment="0" applyProtection="0"/>
    <xf numFmtId="180" fontId="53" fillId="0" borderId="0" applyFont="0" applyFill="0" applyBorder="0" applyAlignment="0" applyProtection="0"/>
    <xf numFmtId="0" fontId="20" fillId="0" borderId="0" applyFont="0" applyFill="0" applyBorder="0" applyAlignment="0" applyProtection="0"/>
    <xf numFmtId="219" fontId="53" fillId="0" borderId="0" applyFont="0" applyFill="0" applyBorder="0" applyAlignment="0" applyProtection="0"/>
    <xf numFmtId="219" fontId="40"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8" fontId="25" fillId="0" borderId="0" applyFont="0" applyFill="0" applyBorder="0" applyAlignment="0" applyProtection="0"/>
    <xf numFmtId="180" fontId="63" fillId="0" borderId="0" applyFont="0" applyFill="0" applyBorder="0" applyAlignment="0" applyProtection="0"/>
    <xf numFmtId="219" fontId="53" fillId="0" borderId="0" applyFont="0" applyFill="0" applyBorder="0" applyAlignment="0" applyProtection="0"/>
    <xf numFmtId="0" fontId="20" fillId="0" borderId="0" applyFont="0" applyFill="0" applyBorder="0" applyAlignment="0" applyProtection="0"/>
    <xf numFmtId="0" fontId="53" fillId="0" borderId="0" applyFont="0" applyFill="0" applyBorder="0" applyAlignment="0" applyProtection="0"/>
    <xf numFmtId="220" fontId="40" fillId="0" borderId="0" applyFont="0" applyFill="0" applyBorder="0" applyAlignment="0" applyProtection="0"/>
    <xf numFmtId="188" fontId="62" fillId="0" borderId="0" applyFont="0" applyFill="0" applyBorder="0" applyAlignment="0" applyProtection="0"/>
    <xf numFmtId="188" fontId="40" fillId="0" borderId="0" applyFont="0" applyFill="0" applyBorder="0" applyAlignment="0" applyProtection="0"/>
    <xf numFmtId="0" fontId="53" fillId="0" borderId="0" applyFont="0" applyFill="0" applyBorder="0" applyAlignment="0" applyProtection="0"/>
    <xf numFmtId="0" fontId="67" fillId="0" borderId="0" applyFont="0" applyFill="0" applyBorder="0" applyAlignment="0" applyProtection="0"/>
    <xf numFmtId="188" fontId="53" fillId="0" borderId="0" applyFont="0" applyFill="0" applyBorder="0" applyAlignment="0" applyProtection="0"/>
    <xf numFmtId="0" fontId="40" fillId="0" borderId="0" applyFont="0" applyFill="0" applyBorder="0" applyAlignment="0" applyProtection="0"/>
    <xf numFmtId="188" fontId="53" fillId="0" borderId="0" applyFont="0" applyFill="0" applyBorder="0" applyAlignment="0" applyProtection="0"/>
    <xf numFmtId="188" fontId="40"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0" fontId="25" fillId="0" borderId="0" applyFont="0" applyFill="0" applyBorder="0" applyAlignment="0" applyProtection="0"/>
    <xf numFmtId="188" fontId="63" fillId="0" borderId="0" applyFont="0" applyFill="0" applyBorder="0" applyAlignment="0" applyProtection="0"/>
    <xf numFmtId="220" fontId="53" fillId="0" borderId="0" applyFont="0" applyFill="0" applyBorder="0" applyAlignment="0" applyProtection="0"/>
    <xf numFmtId="0" fontId="20" fillId="0" borderId="0" applyFont="0" applyFill="0" applyBorder="0" applyAlignment="0" applyProtection="0"/>
    <xf numFmtId="4" fontId="26" fillId="0" borderId="0">
      <protection locked="0"/>
    </xf>
    <xf numFmtId="221" fontId="26" fillId="0" borderId="0">
      <protection locked="0"/>
    </xf>
    <xf numFmtId="0" fontId="32" fillId="0" borderId="0" applyFont="0" applyFill="0" applyBorder="0" applyAlignment="0" applyProtection="0"/>
    <xf numFmtId="202" fontId="8" fillId="0" borderId="0"/>
    <xf numFmtId="202" fontId="8" fillId="0" borderId="0"/>
    <xf numFmtId="0" fontId="57" fillId="0" borderId="0"/>
    <xf numFmtId="0" fontId="68" fillId="0" borderId="0"/>
    <xf numFmtId="0" fontId="69" fillId="0" borderId="0"/>
    <xf numFmtId="0" fontId="59" fillId="0" borderId="0"/>
    <xf numFmtId="0" fontId="69" fillId="0" borderId="0"/>
    <xf numFmtId="0" fontId="70" fillId="0" borderId="0" applyProtection="0"/>
    <xf numFmtId="180" fontId="56" fillId="0" borderId="0"/>
    <xf numFmtId="186" fontId="52" fillId="0" borderId="0">
      <protection locked="0"/>
    </xf>
    <xf numFmtId="186" fontId="48" fillId="0" borderId="0">
      <protection locked="0"/>
    </xf>
    <xf numFmtId="0" fontId="40" fillId="0" borderId="0"/>
    <xf numFmtId="0" fontId="62" fillId="0" borderId="0"/>
    <xf numFmtId="0" fontId="71" fillId="0" borderId="0"/>
    <xf numFmtId="0" fontId="66" fillId="0" borderId="0"/>
    <xf numFmtId="0" fontId="71" fillId="0" borderId="0"/>
    <xf numFmtId="0" fontId="62" fillId="0" borderId="0"/>
    <xf numFmtId="0" fontId="27" fillId="0" borderId="0"/>
    <xf numFmtId="0" fontId="72" fillId="0" borderId="0"/>
    <xf numFmtId="0" fontId="40" fillId="0" borderId="0"/>
    <xf numFmtId="0" fontId="53" fillId="0" borderId="0"/>
    <xf numFmtId="0" fontId="40" fillId="0" borderId="0"/>
    <xf numFmtId="0" fontId="73" fillId="0" borderId="0"/>
    <xf numFmtId="0" fontId="74" fillId="0" borderId="0"/>
    <xf numFmtId="0" fontId="53"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75"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53" fillId="0" borderId="0"/>
    <xf numFmtId="0" fontId="40" fillId="0" borderId="0"/>
    <xf numFmtId="0" fontId="72" fillId="0" borderId="0"/>
    <xf numFmtId="0" fontId="7" fillId="0" borderId="0"/>
    <xf numFmtId="0" fontId="6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76" fillId="0" borderId="0"/>
    <xf numFmtId="0" fontId="71" fillId="0" borderId="0"/>
    <xf numFmtId="0" fontId="66" fillId="0" borderId="0"/>
    <xf numFmtId="0" fontId="71" fillId="0" borderId="0"/>
    <xf numFmtId="0" fontId="7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66" fillId="0" borderId="0"/>
    <xf numFmtId="0" fontId="71" fillId="0" borderId="0"/>
    <xf numFmtId="0" fontId="53" fillId="0" borderId="0"/>
    <xf numFmtId="0" fontId="40" fillId="0" borderId="0"/>
    <xf numFmtId="0" fontId="53" fillId="0" borderId="0"/>
    <xf numFmtId="0" fontId="40" fillId="0" borderId="0"/>
    <xf numFmtId="222" fontId="77" fillId="0" borderId="0" applyFill="0" applyBorder="0" applyAlignment="0"/>
    <xf numFmtId="223" fontId="34" fillId="0" borderId="0" applyFill="0" applyBorder="0" applyAlignment="0"/>
    <xf numFmtId="224" fontId="34" fillId="0" borderId="0" applyFill="0" applyBorder="0" applyAlignment="0"/>
    <xf numFmtId="225" fontId="34" fillId="0" borderId="0" applyFill="0" applyBorder="0" applyAlignment="0"/>
    <xf numFmtId="226" fontId="8"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0" fontId="78" fillId="0" borderId="0"/>
    <xf numFmtId="0" fontId="79" fillId="0" borderId="0" applyNumberFormat="0" applyFill="0" applyBorder="0" applyAlignment="0">
      <alignment horizontal="center" vertical="top"/>
    </xf>
    <xf numFmtId="0" fontId="26" fillId="0" borderId="9">
      <protection locked="0"/>
    </xf>
    <xf numFmtId="0" fontId="20" fillId="0" borderId="0" applyFont="0" applyFill="0" applyBorder="0" applyAlignment="0" applyProtection="0"/>
    <xf numFmtId="9" fontId="58" fillId="0" borderId="0" applyFont="0" applyFill="0" applyBorder="0" applyAlignment="0" applyProtection="0"/>
    <xf numFmtId="0" fontId="80" fillId="0" borderId="4">
      <alignment horizontal="center"/>
    </xf>
    <xf numFmtId="4" fontId="26" fillId="0" borderId="0">
      <protection locked="0"/>
    </xf>
    <xf numFmtId="228" fontId="81" fillId="0" borderId="0"/>
    <xf numFmtId="228" fontId="81" fillId="0" borderId="0"/>
    <xf numFmtId="228" fontId="81" fillId="0" borderId="0"/>
    <xf numFmtId="228" fontId="81" fillId="0" borderId="0"/>
    <xf numFmtId="228" fontId="81" fillId="0" borderId="0"/>
    <xf numFmtId="228" fontId="81" fillId="0" borderId="0"/>
    <xf numFmtId="228" fontId="81" fillId="0" borderId="0"/>
    <xf numFmtId="228" fontId="81" fillId="0" borderId="0"/>
    <xf numFmtId="0" fontId="34" fillId="0" borderId="0"/>
    <xf numFmtId="0" fontId="82" fillId="0" borderId="0" applyFont="0" applyFill="0" applyBorder="0" applyAlignment="0" applyProtection="0">
      <alignment vertical="center"/>
    </xf>
    <xf numFmtId="185" fontId="34" fillId="0" borderId="0" applyFont="0" applyFill="0" applyBorder="0" applyAlignment="0" applyProtection="0"/>
    <xf numFmtId="38" fontId="25" fillId="0" borderId="0" applyFont="0" applyFill="0" applyBorder="0" applyAlignment="0" applyProtection="0"/>
    <xf numFmtId="229" fontId="83" fillId="0" borderId="0" applyFont="0" applyFill="0" applyBorder="0" applyAlignment="0" applyProtection="0"/>
    <xf numFmtId="230" fontId="20" fillId="0" borderId="0"/>
    <xf numFmtId="43" fontId="7" fillId="0" borderId="0" applyFont="0" applyFill="0" applyBorder="0" applyAlignment="0" applyProtection="0"/>
    <xf numFmtId="231" fontId="7" fillId="0" borderId="0">
      <protection locked="0"/>
    </xf>
    <xf numFmtId="0" fontId="84" fillId="0" borderId="0"/>
    <xf numFmtId="0" fontId="34" fillId="0" borderId="0"/>
    <xf numFmtId="0" fontId="84" fillId="0" borderId="0"/>
    <xf numFmtId="3" fontId="85" fillId="0" borderId="0" applyFill="0" applyBorder="0" applyAlignment="0" applyProtection="0"/>
    <xf numFmtId="0" fontId="34" fillId="0" borderId="0"/>
    <xf numFmtId="0" fontId="86" fillId="0" borderId="0" applyNumberFormat="0" applyAlignment="0">
      <alignment horizontal="left"/>
    </xf>
    <xf numFmtId="0" fontId="87" fillId="0" borderId="0" applyNumberFormat="0" applyAlignment="0"/>
    <xf numFmtId="0" fontId="34" fillId="0" borderId="0"/>
    <xf numFmtId="0" fontId="34" fillId="0" borderId="0"/>
    <xf numFmtId="0" fontId="24" fillId="0" borderId="0" applyFont="0" applyFill="0" applyBorder="0" applyAlignment="0" applyProtection="0"/>
    <xf numFmtId="0" fontId="26" fillId="0" borderId="0">
      <protection locked="0"/>
    </xf>
    <xf numFmtId="0" fontId="82" fillId="0" borderId="0" applyFont="0" applyFill="0" applyBorder="0" applyAlignment="0" applyProtection="0">
      <alignment vertical="center"/>
    </xf>
    <xf numFmtId="232" fontId="37" fillId="0" borderId="10"/>
    <xf numFmtId="233" fontId="20" fillId="0" borderId="0" applyFont="0" applyFill="0" applyBorder="0" applyAlignment="0" applyProtection="0"/>
    <xf numFmtId="223" fontId="34" fillId="0" borderId="0" applyFont="0" applyFill="0" applyBorder="0" applyAlignment="0" applyProtection="0"/>
    <xf numFmtId="234" fontId="41" fillId="0" borderId="0" applyFont="0" applyFill="0" applyBorder="0" applyAlignment="0" applyProtection="0"/>
    <xf numFmtId="235" fontId="88" fillId="0" borderId="8" applyFill="0" applyBorder="0" applyAlignment="0"/>
    <xf numFmtId="236" fontId="7" fillId="0" borderId="0" applyFont="0" applyFill="0" applyBorder="0" applyAlignment="0" applyProtection="0"/>
    <xf numFmtId="231" fontId="7" fillId="0" borderId="0">
      <protection locked="0"/>
    </xf>
    <xf numFmtId="0" fontId="8" fillId="0" borderId="0"/>
    <xf numFmtId="0" fontId="89" fillId="0" borderId="0" applyFill="0" applyBorder="0" applyProtection="0"/>
    <xf numFmtId="237" fontId="20" fillId="0" borderId="0" applyFont="0" applyFill="0" applyBorder="0" applyAlignment="0" applyProtection="0"/>
    <xf numFmtId="180" fontId="7" fillId="23" borderId="0" applyFont="0" applyBorder="0"/>
    <xf numFmtId="0" fontId="90" fillId="0" borderId="11" applyNumberFormat="0" applyBorder="0">
      <alignment horizontal="centerContinuous"/>
    </xf>
    <xf numFmtId="231" fontId="7" fillId="0" borderId="0">
      <protection locked="0"/>
    </xf>
    <xf numFmtId="14" fontId="77" fillId="0" borderId="0" applyFill="0" applyBorder="0" applyAlignment="0"/>
    <xf numFmtId="223" fontId="20" fillId="0" borderId="0">
      <protection locked="0"/>
    </xf>
    <xf numFmtId="14" fontId="91" fillId="0" borderId="0" applyFont="0" applyFill="0" applyBorder="0" applyAlignment="0"/>
    <xf numFmtId="0" fontId="7" fillId="0" borderId="0" applyFont="0" applyFill="0" applyBorder="0" applyAlignment="0" applyProtection="0"/>
    <xf numFmtId="0" fontId="7" fillId="0" borderId="0" applyFont="0" applyFill="0" applyBorder="0" applyAlignment="0" applyProtection="0"/>
    <xf numFmtId="238" fontId="7" fillId="0" borderId="0" applyFont="0" applyFill="0" applyBorder="0" applyAlignment="0" applyProtection="0"/>
    <xf numFmtId="239" fontId="7" fillId="0" borderId="0" applyFont="0" applyFill="0" applyBorder="0" applyAlignment="0" applyProtection="0"/>
    <xf numFmtId="183" fontId="26" fillId="0" borderId="0">
      <protection locked="0"/>
    </xf>
    <xf numFmtId="240" fontId="92" fillId="0" borderId="0" applyFill="0" applyBorder="0" applyProtection="0">
      <alignment horizontal="right"/>
    </xf>
    <xf numFmtId="183" fontId="26" fillId="0" borderId="0">
      <protection locked="0"/>
    </xf>
    <xf numFmtId="241" fontId="20" fillId="0" borderId="0"/>
    <xf numFmtId="183" fontId="26" fillId="0" borderId="0">
      <protection locked="0"/>
    </xf>
    <xf numFmtId="183" fontId="26" fillId="0" borderId="0">
      <protection locked="0"/>
    </xf>
    <xf numFmtId="183" fontId="26" fillId="0" borderId="0">
      <protection locked="0"/>
    </xf>
    <xf numFmtId="242" fontId="42" fillId="0" borderId="0" applyFont="0" applyFill="0" applyBorder="0" applyAlignment="0" applyProtection="0"/>
    <xf numFmtId="243" fontId="7" fillId="0" borderId="0" applyFont="0" applyFill="0" applyBorder="0" applyAlignment="0" applyProtection="0"/>
    <xf numFmtId="244" fontId="7" fillId="0" borderId="0" applyFont="0" applyFill="0" applyBorder="0" applyAlignment="0" applyProtection="0"/>
    <xf numFmtId="183" fontId="26" fillId="0" borderId="0">
      <protection locked="0"/>
    </xf>
    <xf numFmtId="245" fontId="26" fillId="0" borderId="0">
      <protection locked="0"/>
    </xf>
    <xf numFmtId="246" fontId="26" fillId="0" borderId="0">
      <protection locked="0"/>
    </xf>
    <xf numFmtId="185" fontId="34" fillId="0" borderId="0" applyFill="0" applyBorder="0" applyAlignment="0"/>
    <xf numFmtId="223" fontId="34"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0" fontId="93" fillId="0" borderId="0" applyNumberFormat="0" applyAlignment="0">
      <alignment horizontal="left"/>
    </xf>
    <xf numFmtId="49" fontId="94" fillId="0" borderId="0">
      <alignment wrapText="1"/>
    </xf>
    <xf numFmtId="0" fontId="95" fillId="0" borderId="0" applyNumberFormat="0" applyFill="0" applyBorder="0" applyAlignment="0" applyProtection="0">
      <alignment horizontal="center"/>
    </xf>
    <xf numFmtId="247" fontId="8" fillId="0" borderId="0" applyFont="0" applyFill="0" applyBorder="0" applyAlignment="0" applyProtection="0">
      <alignment vertical="center"/>
    </xf>
    <xf numFmtId="0" fontId="28" fillId="0" borderId="0" applyNumberFormat="0" applyFill="0" applyBorder="0" applyAlignment="0" applyProtection="0"/>
    <xf numFmtId="0" fontId="26" fillId="0" borderId="0">
      <protection locked="0"/>
    </xf>
    <xf numFmtId="0" fontId="26" fillId="0" borderId="0">
      <protection locked="0"/>
    </xf>
    <xf numFmtId="0" fontId="96" fillId="0" borderId="0">
      <protection locked="0"/>
    </xf>
    <xf numFmtId="0" fontId="26" fillId="0" borderId="0">
      <protection locked="0"/>
    </xf>
    <xf numFmtId="0" fontId="26" fillId="0" borderId="0">
      <protection locked="0"/>
    </xf>
    <xf numFmtId="0" fontId="26" fillId="0" borderId="0">
      <protection locked="0"/>
    </xf>
    <xf numFmtId="0" fontId="96" fillId="0" borderId="0">
      <protection locked="0"/>
    </xf>
    <xf numFmtId="248" fontId="20" fillId="0" borderId="0" applyFont="0" applyFill="0" applyBorder="0" applyAlignment="0" applyProtection="0"/>
    <xf numFmtId="231" fontId="7" fillId="0" borderId="0">
      <protection locked="0"/>
    </xf>
    <xf numFmtId="0" fontId="84" fillId="0" borderId="0"/>
    <xf numFmtId="0" fontId="89" fillId="0" borderId="0" applyFill="0" applyBorder="0" applyProtection="0"/>
    <xf numFmtId="0" fontId="97" fillId="0" borderId="0" applyNumberFormat="0" applyFill="0" applyBorder="0" applyAlignment="0" applyProtection="0">
      <alignment vertical="top"/>
      <protection locked="0"/>
    </xf>
    <xf numFmtId="0" fontId="98" fillId="0" borderId="0" applyNumberFormat="0" applyFill="0" applyBorder="0" applyAlignment="0" applyProtection="0"/>
    <xf numFmtId="9" fontId="99" fillId="0" borderId="0" applyFont="0" applyFill="0" applyBorder="0" applyAlignment="0" applyProtection="0"/>
    <xf numFmtId="38" fontId="61" fillId="24" borderId="0" applyNumberFormat="0" applyBorder="0" applyAlignment="0" applyProtection="0"/>
    <xf numFmtId="0" fontId="100" fillId="0" borderId="0">
      <alignment horizontal="left"/>
      <protection locked="0"/>
    </xf>
    <xf numFmtId="0" fontId="101" fillId="0" borderId="0" applyBorder="0">
      <alignment horizontal="left"/>
    </xf>
    <xf numFmtId="249" fontId="8" fillId="0" borderId="0" applyFont="0"/>
    <xf numFmtId="0" fontId="102" fillId="23" borderId="0"/>
    <xf numFmtId="0" fontId="90" fillId="0" borderId="0">
      <alignment horizontal="left"/>
    </xf>
    <xf numFmtId="0" fontId="90" fillId="25" borderId="12"/>
    <xf numFmtId="0" fontId="103" fillId="0" borderId="13" applyNumberFormat="0" applyAlignment="0" applyProtection="0">
      <alignment horizontal="left" vertical="center"/>
    </xf>
    <xf numFmtId="0" fontId="103" fillId="0" borderId="14">
      <alignment horizontal="left" vertical="center"/>
    </xf>
    <xf numFmtId="0" fontId="78" fillId="0" borderId="0" applyNumberFormat="0">
      <alignment horizontal="left"/>
    </xf>
    <xf numFmtId="231" fontId="7" fillId="0" borderId="0">
      <protection locked="0"/>
    </xf>
    <xf numFmtId="231" fontId="7" fillId="0" borderId="0">
      <protection locked="0"/>
    </xf>
    <xf numFmtId="0" fontId="104" fillId="0" borderId="0"/>
    <xf numFmtId="14" fontId="101" fillId="26" borderId="15">
      <alignment horizontal="center" vertical="center" wrapText="1"/>
    </xf>
    <xf numFmtId="250" fontId="8" fillId="0" borderId="0">
      <protection locked="0"/>
    </xf>
    <xf numFmtId="250" fontId="8" fillId="0" borderId="0">
      <protection locked="0"/>
    </xf>
    <xf numFmtId="0" fontId="95" fillId="0" borderId="0" applyNumberFormat="0" applyFill="0" applyBorder="0" applyAlignment="0" applyProtection="0">
      <alignment horizontal="center"/>
    </xf>
    <xf numFmtId="0" fontId="105" fillId="0" borderId="0" applyNumberFormat="0" applyFill="0" applyBorder="0" applyAlignment="0" applyProtection="0">
      <alignment vertical="top"/>
      <protection locked="0"/>
    </xf>
    <xf numFmtId="0" fontId="106" fillId="0" borderId="0" applyNumberFormat="0" applyFill="0" applyBorder="0" applyAlignment="0" applyProtection="0">
      <alignment vertical="top"/>
      <protection locked="0"/>
    </xf>
    <xf numFmtId="0" fontId="107" fillId="0" borderId="0" applyNumberFormat="0" applyFill="0" applyBorder="0" applyAlignment="0" applyProtection="0"/>
    <xf numFmtId="0" fontId="19" fillId="0" borderId="0" applyAlignment="0">
      <protection locked="0"/>
    </xf>
    <xf numFmtId="10" fontId="61" fillId="24" borderId="8" applyNumberFormat="0" applyBorder="0" applyAlignment="0" applyProtection="0"/>
    <xf numFmtId="251" fontId="108" fillId="27" borderId="0"/>
    <xf numFmtId="183" fontId="26" fillId="0" borderId="0">
      <protection locked="0"/>
    </xf>
    <xf numFmtId="183" fontId="26" fillId="0" borderId="0">
      <protection locked="0"/>
    </xf>
    <xf numFmtId="38" fontId="109" fillId="0" borderId="0"/>
    <xf numFmtId="38" fontId="110" fillId="0" borderId="0"/>
    <xf numFmtId="38" fontId="111" fillId="0" borderId="0"/>
    <xf numFmtId="38" fontId="112" fillId="0" borderId="0"/>
    <xf numFmtId="0" fontId="113" fillId="0" borderId="0"/>
    <xf numFmtId="0" fontId="113" fillId="0" borderId="0"/>
    <xf numFmtId="185" fontId="34" fillId="0" borderId="0" applyFill="0" applyBorder="0" applyAlignment="0"/>
    <xf numFmtId="223" fontId="34"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251" fontId="114" fillId="28" borderId="0"/>
    <xf numFmtId="0" fontId="115" fillId="0" borderId="0">
      <alignment horizontal="center" vertical="center" wrapText="1"/>
    </xf>
    <xf numFmtId="243" fontId="7" fillId="0" borderId="0" applyFont="0" applyFill="0" applyBorder="0" applyAlignment="0" applyProtection="0"/>
    <xf numFmtId="244" fontId="7" fillId="0" borderId="0" applyFont="0" applyFill="0" applyBorder="0" applyAlignment="0" applyProtection="0"/>
    <xf numFmtId="243" fontId="7" fillId="0" borderId="0" applyFont="0" applyFill="0" applyBorder="0" applyAlignment="0" applyProtection="0"/>
    <xf numFmtId="244" fontId="7" fillId="0" borderId="0" applyFont="0" applyFill="0" applyBorder="0" applyAlignment="0" applyProtection="0"/>
    <xf numFmtId="38" fontId="25" fillId="0" borderId="0" applyFont="0" applyFill="0" applyBorder="0" applyAlignment="0" applyProtection="0"/>
    <xf numFmtId="40" fontId="25" fillId="0" borderId="0" applyFont="0" applyFill="0" applyBorder="0" applyAlignment="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83" fontId="26" fillId="0" borderId="0">
      <protection locked="0"/>
    </xf>
    <xf numFmtId="0" fontId="116" fillId="0" borderId="15"/>
    <xf numFmtId="252" fontId="8" fillId="0" borderId="0" applyFont="0" applyFill="0" applyBorder="0" applyAlignment="0" applyProtection="0"/>
    <xf numFmtId="253" fontId="8" fillId="0" borderId="0" applyFont="0" applyFill="0" applyBorder="0" applyAlignment="0" applyProtection="0"/>
    <xf numFmtId="254" fontId="8" fillId="0" borderId="0" applyFont="0" applyFill="0" applyBorder="0" applyAlignment="0" applyProtection="0"/>
    <xf numFmtId="255" fontId="8" fillId="0" borderId="0" applyFont="0" applyFill="0" applyBorder="0" applyAlignment="0" applyProtection="0"/>
    <xf numFmtId="256" fontId="7" fillId="0" borderId="0" applyFont="0" applyFill="0" applyBorder="0" applyAlignment="0" applyProtection="0"/>
    <xf numFmtId="257" fontId="7" fillId="0" borderId="0" applyFont="0" applyFill="0" applyBorder="0" applyAlignment="0" applyProtection="0"/>
    <xf numFmtId="258" fontId="25" fillId="0" borderId="0" applyFont="0" applyFill="0" applyBorder="0" applyAlignment="0" applyProtection="0"/>
    <xf numFmtId="259" fontId="25"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83" fontId="26" fillId="0" borderId="0">
      <protection locked="0"/>
    </xf>
    <xf numFmtId="260" fontId="117" fillId="0" borderId="0"/>
    <xf numFmtId="261" fontId="65" fillId="0" borderId="0" applyFont="0" applyFill="0" applyBorder="0" applyAlignment="0" applyProtection="0"/>
    <xf numFmtId="262" fontId="28" fillId="0" borderId="0" applyFont="0" applyFill="0" applyBorder="0" applyAlignment="0" applyProtection="0"/>
    <xf numFmtId="263" fontId="20" fillId="0" borderId="0"/>
    <xf numFmtId="2" fontId="118" fillId="24" borderId="0"/>
    <xf numFmtId="37" fontId="119" fillId="0" borderId="0"/>
    <xf numFmtId="0" fontId="87" fillId="0" borderId="0"/>
    <xf numFmtId="0" fontId="7" fillId="0" borderId="0" applyBorder="0"/>
    <xf numFmtId="3" fontId="85" fillId="0" borderId="0" applyFill="0" applyBorder="0" applyAlignment="0" applyProtection="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120" fillId="0" borderId="0"/>
    <xf numFmtId="0" fontId="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20" fillId="0" borderId="0"/>
    <xf numFmtId="0" fontId="13" fillId="0" borderId="0">
      <alignment vertical="top"/>
      <protection locked="0"/>
    </xf>
    <xf numFmtId="0" fontId="13" fillId="0" borderId="0">
      <alignment vertical="top"/>
      <protection locked="0"/>
    </xf>
    <xf numFmtId="0" fontId="13" fillId="0" borderId="0">
      <alignment vertical="top"/>
      <protection locked="0"/>
    </xf>
    <xf numFmtId="0" fontId="7" fillId="0" borderId="0"/>
    <xf numFmtId="0" fontId="15" fillId="0" borderId="0" applyFont="0" applyFill="0" applyBorder="0" applyAlignment="0" applyProtection="0">
      <alignment horizontal="centerContinuous"/>
    </xf>
    <xf numFmtId="264" fontId="19" fillId="0" borderId="0" applyFont="0" applyFill="0" applyBorder="0" applyAlignment="0" applyProtection="0">
      <alignment horizontal="centerContinuous"/>
    </xf>
    <xf numFmtId="265" fontId="19" fillId="0" borderId="0" applyFont="0" applyFill="0" applyBorder="0" applyAlignment="0" applyProtection="0">
      <alignment horizontal="centerContinuous"/>
    </xf>
    <xf numFmtId="266" fontId="19" fillId="0" borderId="0" applyFont="0" applyFill="0" applyBorder="0" applyAlignment="0" applyProtection="0">
      <alignment horizontal="centerContinuous"/>
    </xf>
    <xf numFmtId="0" fontId="121" fillId="0" borderId="0">
      <alignment horizontal="left"/>
      <protection locked="0"/>
    </xf>
    <xf numFmtId="0" fontId="122" fillId="0" borderId="0">
      <alignment horizontal="left"/>
      <protection locked="0"/>
    </xf>
    <xf numFmtId="0" fontId="7" fillId="0" borderId="0"/>
    <xf numFmtId="0" fontId="123" fillId="0" borderId="0"/>
    <xf numFmtId="0" fontId="117" fillId="0" borderId="0"/>
    <xf numFmtId="0" fontId="124" fillId="0" borderId="0" applyNumberFormat="0" applyAlignment="0">
      <alignment vertical="top"/>
    </xf>
    <xf numFmtId="0" fontId="7" fillId="0" borderId="0" applyFont="0" applyFill="0" applyBorder="0" applyAlignment="0" applyProtection="0"/>
    <xf numFmtId="0" fontId="7" fillId="0" borderId="0" applyFont="0" applyFill="0" applyBorder="0" applyAlignment="0" applyProtection="0"/>
    <xf numFmtId="40" fontId="99" fillId="0" borderId="0" applyFont="0" applyFill="0" applyBorder="0" applyAlignment="0" applyProtection="0"/>
    <xf numFmtId="38" fontId="99" fillId="0" borderId="0" applyFont="0" applyFill="0" applyBorder="0" applyAlignment="0" applyProtection="0"/>
    <xf numFmtId="0" fontId="7" fillId="0" borderId="0"/>
    <xf numFmtId="189" fontId="37" fillId="0" borderId="8" applyFill="0" applyBorder="0" applyAlignment="0" applyProtection="0"/>
    <xf numFmtId="40" fontId="77" fillId="24" borderId="0">
      <alignment horizontal="right"/>
    </xf>
    <xf numFmtId="0" fontId="125" fillId="29" borderId="0">
      <alignment horizontal="right"/>
    </xf>
    <xf numFmtId="0" fontId="126" fillId="30" borderId="16"/>
    <xf numFmtId="0" fontId="127" fillId="0" borderId="0" applyBorder="0">
      <alignment horizontal="centerContinuous"/>
    </xf>
    <xf numFmtId="0" fontId="128" fillId="0" borderId="0" applyBorder="0">
      <alignment horizontal="centerContinuous"/>
    </xf>
    <xf numFmtId="0" fontId="129" fillId="0" borderId="0" applyNumberFormat="0" applyFill="0" applyBorder="0" applyAlignment="0" applyProtection="0">
      <alignment vertical="top"/>
    </xf>
    <xf numFmtId="219" fontId="21" fillId="0" borderId="0"/>
    <xf numFmtId="14" fontId="65" fillId="0" borderId="0">
      <alignment horizontal="center" wrapText="1"/>
      <protection locked="0"/>
    </xf>
    <xf numFmtId="0" fontId="34" fillId="0" borderId="0"/>
    <xf numFmtId="0" fontId="26" fillId="0" borderId="0">
      <protection locked="0"/>
    </xf>
    <xf numFmtId="178" fontId="34" fillId="0" borderId="0"/>
    <xf numFmtId="267" fontId="7" fillId="0" borderId="0" applyFont="0" applyFill="0" applyBorder="0" applyAlignment="0" applyProtection="0"/>
    <xf numFmtId="226" fontId="8" fillId="0" borderId="0" applyFont="0" applyFill="0" applyBorder="0" applyAlignment="0" applyProtection="0"/>
    <xf numFmtId="268" fontId="8" fillId="0" borderId="0" applyFont="0" applyFill="0" applyBorder="0" applyAlignment="0" applyProtection="0"/>
    <xf numFmtId="178" fontId="28" fillId="0" borderId="0" applyFont="0" applyFill="0" applyBorder="0" applyAlignment="0" applyProtection="0"/>
    <xf numFmtId="10" fontId="7" fillId="0" borderId="0" applyFont="0" applyFill="0" applyBorder="0" applyAlignment="0" applyProtection="0"/>
    <xf numFmtId="9" fontId="7" fillId="0" borderId="0" applyFont="0" applyFill="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0" fontId="130" fillId="24" borderId="0"/>
    <xf numFmtId="0" fontId="89" fillId="0" borderId="0" applyFill="0" applyBorder="0" applyProtection="0"/>
    <xf numFmtId="202" fontId="8" fillId="0" borderId="0"/>
    <xf numFmtId="183" fontId="26" fillId="0" borderId="0">
      <protection locked="0"/>
    </xf>
    <xf numFmtId="185" fontId="34" fillId="0" borderId="0" applyFill="0" applyBorder="0" applyAlignment="0"/>
    <xf numFmtId="223" fontId="34" fillId="0" borderId="0" applyFill="0" applyBorder="0" applyAlignment="0"/>
    <xf numFmtId="185" fontId="34" fillId="0" borderId="0" applyFill="0" applyBorder="0" applyAlignment="0"/>
    <xf numFmtId="227" fontId="34" fillId="0" borderId="0" applyFill="0" applyBorder="0" applyAlignment="0"/>
    <xf numFmtId="223" fontId="34" fillId="0" borderId="0" applyFill="0" applyBorder="0" applyAlignment="0"/>
    <xf numFmtId="0" fontId="30" fillId="0" borderId="0" applyNumberFormat="0" applyFill="0" applyBorder="0" applyAlignment="0">
      <alignment horizontal="center" vertical="top"/>
    </xf>
    <xf numFmtId="269" fontId="131" fillId="0" borderId="0"/>
    <xf numFmtId="0" fontId="78" fillId="1" borderId="0" applyNumberFormat="0" applyFill="0" applyBorder="0" applyAlignment="0">
      <alignment horizontal="center"/>
    </xf>
    <xf numFmtId="0" fontId="25" fillId="0" borderId="0" applyNumberFormat="0" applyFont="0" applyFill="0" applyBorder="0" applyAlignment="0" applyProtection="0">
      <alignment horizontal="left"/>
    </xf>
    <xf numFmtId="15" fontId="25" fillId="0" borderId="0" applyFont="0" applyFill="0" applyBorder="0" applyAlignment="0" applyProtection="0"/>
    <xf numFmtId="4" fontId="25" fillId="0" borderId="0" applyFont="0" applyFill="0" applyBorder="0" applyAlignment="0" applyProtection="0"/>
    <xf numFmtId="0" fontId="23" fillId="0" borderId="15">
      <alignment horizontal="center"/>
    </xf>
    <xf numFmtId="3" fontId="25" fillId="0" borderId="0" applyFont="0" applyFill="0" applyBorder="0" applyAlignment="0" applyProtection="0"/>
    <xf numFmtId="0" fontId="25" fillId="31" borderId="0" applyNumberFormat="0" applyFont="0" applyBorder="0" applyAlignment="0" applyProtection="0"/>
    <xf numFmtId="0" fontId="20" fillId="0" borderId="0"/>
    <xf numFmtId="0" fontId="20" fillId="0" borderId="0"/>
    <xf numFmtId="0" fontId="92" fillId="0" borderId="0" applyNumberFormat="0" applyFont="0" applyFill="0" applyBorder="0" applyAlignment="0"/>
    <xf numFmtId="0" fontId="21" fillId="0" borderId="0" applyNumberFormat="0" applyBorder="0" applyAlignment="0">
      <alignment horizontal="right"/>
    </xf>
    <xf numFmtId="0" fontId="132" fillId="0" borderId="0"/>
    <xf numFmtId="213" fontId="7" fillId="0" borderId="0">
      <alignment horizontal="right"/>
    </xf>
    <xf numFmtId="214" fontId="7" fillId="0" borderId="0" applyProtection="0">
      <alignment horizontal="right"/>
    </xf>
    <xf numFmtId="215" fontId="7" fillId="0" borderId="0" applyProtection="0">
      <alignment horizontal="right"/>
    </xf>
    <xf numFmtId="216" fontId="7" fillId="0" borderId="0" applyProtection="0">
      <alignment horizontal="right"/>
    </xf>
    <xf numFmtId="217" fontId="7" fillId="0" borderId="0" applyProtection="0">
      <alignment horizontal="right"/>
    </xf>
    <xf numFmtId="218" fontId="7" fillId="0" borderId="0" applyProtection="0">
      <alignment horizontal="right"/>
    </xf>
    <xf numFmtId="270" fontId="7" fillId="0" borderId="0" applyProtection="0">
      <alignment horizontal="right"/>
    </xf>
    <xf numFmtId="271" fontId="7" fillId="0" borderId="0" applyProtection="0">
      <alignment horizontal="right"/>
    </xf>
    <xf numFmtId="14" fontId="89" fillId="0" borderId="0" applyNumberFormat="0" applyFill="0" applyBorder="0" applyAlignment="0" applyProtection="0">
      <alignment horizontal="left"/>
    </xf>
    <xf numFmtId="0" fontId="133" fillId="0" borderId="0" applyNumberFormat="0" applyFill="0" applyBorder="0">
      <alignment horizontal="left"/>
    </xf>
    <xf numFmtId="250" fontId="90" fillId="0" borderId="0" applyFill="0" applyBorder="0">
      <alignment horizontal="right"/>
    </xf>
    <xf numFmtId="44" fontId="20" fillId="0" borderId="0" applyFont="0" applyFill="0" applyBorder="0" applyAlignment="0" applyProtection="0"/>
    <xf numFmtId="44" fontId="20" fillId="0" borderId="0" applyFont="0" applyFill="0" applyBorder="0" applyAlignment="0" applyProtection="0"/>
    <xf numFmtId="4" fontId="77" fillId="20" borderId="17" applyNumberFormat="0" applyProtection="0">
      <alignment vertical="center"/>
    </xf>
    <xf numFmtId="0" fontId="134" fillId="0" borderId="18">
      <alignment wrapText="1"/>
      <protection hidden="1"/>
    </xf>
    <xf numFmtId="0" fontId="135" fillId="0" borderId="18">
      <alignment wrapText="1"/>
      <protection hidden="1"/>
    </xf>
    <xf numFmtId="272" fontId="8" fillId="0" borderId="0" applyFont="0" applyFill="0" applyBorder="0" applyAlignment="0" applyProtection="0"/>
    <xf numFmtId="273" fontId="8" fillId="0" borderId="0" applyFont="0" applyFill="0" applyBorder="0" applyAlignment="0" applyProtection="0"/>
    <xf numFmtId="0" fontId="136" fillId="0" borderId="19">
      <alignment horizontal="center" vertical="center" wrapText="1"/>
      <protection hidden="1"/>
    </xf>
    <xf numFmtId="0" fontId="7" fillId="0" borderId="0"/>
    <xf numFmtId="259" fontId="25" fillId="0" borderId="0">
      <alignment horizontal="center"/>
    </xf>
    <xf numFmtId="0" fontId="101" fillId="0" borderId="20">
      <alignment horizontal="right"/>
    </xf>
    <xf numFmtId="0" fontId="137" fillId="0" borderId="8">
      <alignment horizontal="center"/>
    </xf>
    <xf numFmtId="0" fontId="137" fillId="0" borderId="0">
      <alignment horizontal="center" vertical="center"/>
    </xf>
    <xf numFmtId="0" fontId="61" fillId="0" borderId="0"/>
    <xf numFmtId="0" fontId="138" fillId="32" borderId="0" applyNumberFormat="0" applyFill="0">
      <alignment horizontal="left" vertical="center"/>
    </xf>
    <xf numFmtId="0" fontId="61" fillId="0" borderId="0"/>
    <xf numFmtId="0" fontId="61" fillId="0" borderId="0"/>
    <xf numFmtId="0" fontId="61" fillId="0" borderId="0"/>
    <xf numFmtId="0" fontId="116" fillId="0" borderId="0"/>
    <xf numFmtId="40" fontId="139" fillId="0" borderId="0" applyBorder="0">
      <alignment horizontal="right"/>
    </xf>
    <xf numFmtId="216" fontId="136" fillId="22" borderId="8" applyProtection="0">
      <alignment horizontal="center"/>
    </xf>
    <xf numFmtId="0" fontId="20" fillId="0" borderId="0"/>
    <xf numFmtId="0" fontId="20" fillId="0" borderId="0"/>
    <xf numFmtId="3" fontId="7" fillId="0" borderId="8" applyNumberFormat="0" applyFont="0" applyFill="0" applyAlignment="0" applyProtection="0">
      <alignment vertical="center"/>
    </xf>
    <xf numFmtId="0" fontId="7" fillId="0" borderId="21" applyNumberFormat="0" applyFont="0" applyFill="0" applyAlignment="0" applyProtection="0"/>
    <xf numFmtId="0" fontId="7" fillId="0" borderId="22" applyNumberFormat="0" applyFont="0" applyFill="0" applyAlignment="0" applyProtection="0"/>
    <xf numFmtId="49" fontId="77" fillId="0" borderId="0" applyFill="0" applyBorder="0" applyAlignment="0"/>
    <xf numFmtId="274" fontId="8" fillId="0" borderId="0" applyFill="0" applyBorder="0" applyAlignment="0"/>
    <xf numFmtId="275" fontId="8" fillId="0" borderId="0" applyFill="0" applyBorder="0" applyAlignment="0"/>
    <xf numFmtId="41" fontId="7" fillId="0" borderId="0" applyFont="0" applyFill="0" applyBorder="0" applyAlignment="0" applyProtection="0"/>
    <xf numFmtId="41" fontId="7" fillId="0" borderId="0" applyFont="0" applyFill="0" applyBorder="0" applyAlignment="0" applyProtection="0"/>
    <xf numFmtId="0" fontId="40" fillId="0" borderId="0"/>
    <xf numFmtId="0" fontId="40" fillId="0" borderId="0"/>
    <xf numFmtId="0" fontId="140" fillId="22" borderId="8" applyProtection="0">
      <alignment horizontal="center"/>
      <protection locked="0"/>
    </xf>
    <xf numFmtId="0" fontId="141" fillId="0" borderId="0" applyFill="0" applyBorder="0" applyProtection="0">
      <alignment horizontal="left" vertical="top"/>
    </xf>
    <xf numFmtId="0" fontId="142" fillId="0" borderId="2" applyFill="0" applyAlignment="0" applyProtection="0"/>
    <xf numFmtId="0" fontId="143" fillId="0" borderId="0" applyFill="0" applyBorder="0" applyProtection="0">
      <alignment horizontal="centerContinuous" vertical="center"/>
    </xf>
    <xf numFmtId="0" fontId="32" fillId="24" borderId="0" applyFill="0" applyBorder="0" applyProtection="0">
      <alignment horizontal="center" vertical="center"/>
    </xf>
    <xf numFmtId="0" fontId="122" fillId="0" borderId="0"/>
    <xf numFmtId="231" fontId="7" fillId="0" borderId="9">
      <protection locked="0"/>
    </xf>
    <xf numFmtId="4" fontId="34" fillId="0" borderId="0" applyFont="0" applyFill="0" applyBorder="0" applyAlignment="0" applyProtection="0"/>
    <xf numFmtId="9" fontId="144" fillId="0" borderId="0" applyNumberFormat="0" applyFill="0" applyBorder="0" applyAlignment="0">
      <protection locked="0"/>
    </xf>
    <xf numFmtId="276" fontId="7" fillId="0" borderId="0" applyFont="0" applyFill="0" applyBorder="0" applyAlignment="0" applyProtection="0"/>
    <xf numFmtId="256" fontId="7" fillId="0" borderId="0" applyFont="0" applyFill="0" applyBorder="0" applyAlignment="0" applyProtection="0"/>
    <xf numFmtId="257" fontId="7" fillId="0" borderId="0" applyFont="0" applyFill="0" applyBorder="0" applyAlignment="0" applyProtection="0"/>
    <xf numFmtId="277" fontId="7" fillId="0" borderId="0" applyFont="0" applyFill="0" applyBorder="0" applyAlignment="0" applyProtection="0"/>
    <xf numFmtId="278" fontId="7" fillId="0" borderId="0" applyFont="0" applyFill="0" applyBorder="0" applyAlignment="0" applyProtection="0"/>
    <xf numFmtId="279" fontId="7" fillId="0" borderId="0" applyFont="0" applyFill="0" applyBorder="0" applyAlignment="0" applyProtection="0"/>
    <xf numFmtId="280" fontId="7" fillId="0" borderId="0" applyFont="0" applyFill="0" applyBorder="0" applyAlignment="0" applyProtection="0"/>
    <xf numFmtId="256" fontId="7" fillId="0" borderId="0" applyFont="0" applyFill="0" applyBorder="0" applyAlignment="0" applyProtection="0"/>
    <xf numFmtId="257" fontId="7" fillId="0" borderId="0" applyFont="0" applyFill="0" applyBorder="0" applyAlignment="0" applyProtection="0"/>
    <xf numFmtId="0" fontId="108" fillId="0" borderId="23"/>
    <xf numFmtId="183" fontId="26" fillId="0" borderId="0">
      <protection locked="0"/>
    </xf>
    <xf numFmtId="183" fontId="26" fillId="0" borderId="0">
      <protection locked="0"/>
    </xf>
    <xf numFmtId="281" fontId="145" fillId="0" borderId="2" applyProtection="0">
      <alignment horizontal="right"/>
    </xf>
    <xf numFmtId="183" fontId="26" fillId="0" borderId="0">
      <protection locked="0"/>
    </xf>
    <xf numFmtId="183" fontId="26" fillId="0" borderId="0">
      <protection locked="0"/>
    </xf>
    <xf numFmtId="183" fontId="26" fillId="0" borderId="0">
      <protection locked="0"/>
    </xf>
    <xf numFmtId="0" fontId="146" fillId="0" borderId="0" applyNumberFormat="0" applyFill="0" applyBorder="0" applyAlignment="0" applyProtection="0">
      <alignment vertical="top"/>
      <protection locked="0"/>
    </xf>
    <xf numFmtId="203" fontId="147" fillId="0" borderId="0" applyFont="0" applyFill="0" applyBorder="0" applyAlignment="0" applyProtection="0"/>
    <xf numFmtId="206" fontId="147" fillId="0" borderId="0" applyFont="0" applyFill="0" applyBorder="0" applyAlignment="0" applyProtection="0"/>
    <xf numFmtId="0" fontId="147" fillId="0" borderId="0"/>
    <xf numFmtId="0" fontId="55" fillId="33" borderId="0" applyNumberFormat="0" applyBorder="0" applyAlignment="0" applyProtection="0">
      <alignment vertical="center"/>
    </xf>
    <xf numFmtId="0" fontId="55" fillId="33"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18" borderId="0" applyNumberFormat="0" applyBorder="0" applyAlignment="0" applyProtection="0">
      <alignment vertical="center"/>
    </xf>
    <xf numFmtId="0" fontId="55" fillId="18" borderId="0" applyNumberFormat="0" applyBorder="0" applyAlignment="0" applyProtection="0">
      <alignment vertical="center"/>
    </xf>
    <xf numFmtId="0" fontId="55" fillId="17" borderId="0" applyNumberFormat="0" applyBorder="0" applyAlignment="0" applyProtection="0">
      <alignment vertical="center"/>
    </xf>
    <xf numFmtId="0" fontId="55" fillId="17" borderId="0" applyNumberFormat="0" applyBorder="0" applyAlignment="0" applyProtection="0">
      <alignment vertical="center"/>
    </xf>
    <xf numFmtId="0" fontId="55" fillId="15" borderId="0" applyNumberFormat="0" applyBorder="0" applyAlignment="0" applyProtection="0">
      <alignment vertical="center"/>
    </xf>
    <xf numFmtId="0" fontId="55" fillId="15" borderId="0" applyNumberFormat="0" applyBorder="0" applyAlignment="0" applyProtection="0">
      <alignment vertical="center"/>
    </xf>
    <xf numFmtId="0" fontId="55" fillId="34" borderId="0" applyNumberFormat="0" applyBorder="0" applyAlignment="0" applyProtection="0">
      <alignment vertical="center"/>
    </xf>
    <xf numFmtId="0" fontId="55" fillId="34" borderId="0" applyNumberFormat="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9" fillId="11" borderId="24" applyNumberFormat="0" applyAlignment="0" applyProtection="0">
      <alignment vertical="center"/>
    </xf>
    <xf numFmtId="0" fontId="149" fillId="11" borderId="24" applyNumberFormat="0" applyAlignment="0" applyProtection="0">
      <alignment vertical="center"/>
    </xf>
    <xf numFmtId="3" fontId="150" fillId="0" borderId="0">
      <alignment horizontal="left" wrapText="1"/>
    </xf>
    <xf numFmtId="0" fontId="20" fillId="0" borderId="0">
      <protection locked="0"/>
    </xf>
    <xf numFmtId="0" fontId="46" fillId="0" borderId="0">
      <protection locked="0"/>
    </xf>
    <xf numFmtId="0" fontId="46" fillId="0" borderId="0">
      <protection locked="0"/>
    </xf>
    <xf numFmtId="211" fontId="150" fillId="0" borderId="0">
      <alignment horizontal="right"/>
    </xf>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282" fontId="34" fillId="0" borderId="0"/>
    <xf numFmtId="0" fontId="151" fillId="0" borderId="0"/>
    <xf numFmtId="282" fontId="34" fillId="0" borderId="0"/>
    <xf numFmtId="0" fontId="152" fillId="0" borderId="0"/>
    <xf numFmtId="283" fontId="8" fillId="0" borderId="8">
      <alignment horizontal="right" vertical="center" shrinkToFit="1"/>
    </xf>
    <xf numFmtId="0" fontId="153" fillId="0" borderId="0" applyNumberFormat="0" applyFill="0" applyBorder="0" applyAlignment="0" applyProtection="0">
      <alignment vertical="top"/>
      <protection locked="0"/>
    </xf>
    <xf numFmtId="0" fontId="82" fillId="0" borderId="0"/>
    <xf numFmtId="0" fontId="216" fillId="42" borderId="0" applyNumberFormat="0" applyBorder="0" applyAlignment="0" applyProtection="0">
      <alignment vertical="center"/>
    </xf>
    <xf numFmtId="0" fontId="154" fillId="4" borderId="0" applyNumberFormat="0" applyBorder="0" applyAlignment="0" applyProtection="0">
      <alignment vertical="center"/>
    </xf>
    <xf numFmtId="0" fontId="154" fillId="4" borderId="0" applyNumberFormat="0" applyBorder="0" applyAlignment="0" applyProtection="0">
      <alignment vertical="center"/>
    </xf>
    <xf numFmtId="3" fontId="150" fillId="0" borderId="0">
      <alignment horizontal="left"/>
    </xf>
    <xf numFmtId="0" fontId="26" fillId="0" borderId="0">
      <protection locked="0"/>
    </xf>
    <xf numFmtId="284" fontId="61" fillId="0" borderId="0">
      <alignment vertical="center"/>
    </xf>
    <xf numFmtId="285" fontId="21" fillId="0" borderId="0" applyBorder="0">
      <alignment vertical="center"/>
    </xf>
    <xf numFmtId="0" fontId="26" fillId="0" borderId="0">
      <protection locked="0"/>
    </xf>
    <xf numFmtId="0" fontId="8" fillId="0" borderId="8" applyNumberFormat="0" applyBorder="0" applyAlignment="0">
      <alignment horizontal="center" vertical="center"/>
    </xf>
    <xf numFmtId="180" fontId="151" fillId="0" borderId="0" applyFont="0" applyFill="0" applyBorder="0" applyAlignment="0" applyProtection="0"/>
    <xf numFmtId="188" fontId="151" fillId="0" borderId="0" applyFont="0" applyFill="0" applyBorder="0" applyAlignment="0" applyProtection="0"/>
    <xf numFmtId="0" fontId="155" fillId="0" borderId="0" applyNumberFormat="0" applyFill="0" applyBorder="0" applyAlignment="0" applyProtection="0">
      <alignment vertical="top"/>
      <protection locked="0"/>
    </xf>
    <xf numFmtId="40" fontId="156" fillId="0" borderId="0" applyFont="0" applyFill="0" applyBorder="0" applyAlignment="0" applyProtection="0"/>
    <xf numFmtId="38" fontId="156" fillId="0" borderId="0" applyFont="0" applyFill="0" applyBorder="0" applyAlignment="0" applyProtection="0"/>
    <xf numFmtId="286" fontId="8" fillId="0" borderId="0" applyFont="0" applyFill="0" applyBorder="0" applyAlignment="0" applyProtection="0"/>
    <xf numFmtId="287" fontId="8" fillId="0" borderId="0" applyFont="0" applyFill="0" applyBorder="0" applyAlignment="0" applyProtection="0"/>
    <xf numFmtId="0" fontId="54" fillId="6" borderId="25" applyNumberFormat="0" applyFont="0" applyAlignment="0" applyProtection="0">
      <alignment vertical="center"/>
    </xf>
    <xf numFmtId="0" fontId="54" fillId="6" borderId="25" applyNumberFormat="0" applyFont="0" applyAlignment="0" applyProtection="0">
      <alignment vertical="center"/>
    </xf>
    <xf numFmtId="0" fontId="157" fillId="0" borderId="0" applyFont="0" applyFill="0" applyBorder="0" applyAlignment="0" applyProtection="0"/>
    <xf numFmtId="0" fontId="157" fillId="0" borderId="0" applyFont="0" applyFill="0" applyBorder="0" applyAlignment="0" applyProtection="0"/>
    <xf numFmtId="49" fontId="49" fillId="0" borderId="0">
      <alignment vertical="center"/>
    </xf>
    <xf numFmtId="288" fontId="8" fillId="0" borderId="0" applyFont="0" applyFill="0" applyBorder="0" applyAlignment="0" applyProtection="0"/>
    <xf numFmtId="289" fontId="8" fillId="0" borderId="0" applyFont="0" applyFill="0" applyBorder="0" applyAlignment="0" applyProtection="0"/>
    <xf numFmtId="0" fontId="158" fillId="0" borderId="8" applyNumberFormat="0" applyFont="0" applyFill="0" applyAlignment="0" applyProtection="0">
      <alignment horizontal="center" vertical="center"/>
    </xf>
    <xf numFmtId="186" fontId="52" fillId="0" borderId="0">
      <protection locked="0"/>
    </xf>
    <xf numFmtId="9" fontId="199" fillId="0" borderId="0" applyFont="0" applyFill="0" applyBorder="0" applyAlignment="0" applyProtection="0">
      <alignment vertical="center"/>
    </xf>
    <xf numFmtId="9" fontId="159" fillId="24" borderId="0" applyFill="0" applyBorder="0" applyProtection="0">
      <alignment horizontal="right"/>
    </xf>
    <xf numFmtId="10" fontId="159" fillId="0" borderId="0" applyFill="0" applyBorder="0" applyProtection="0">
      <alignment horizontal="right"/>
    </xf>
    <xf numFmtId="9" fontId="8"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8" fillId="0" borderId="0" applyFont="0" applyFill="0" applyBorder="0" applyAlignment="0" applyProtection="0"/>
    <xf numFmtId="9" fontId="16" fillId="0" borderId="0" applyFont="0" applyFill="0" applyBorder="0" applyAlignment="0" applyProtection="0">
      <alignment vertical="center"/>
    </xf>
    <xf numFmtId="9" fontId="8" fillId="0" borderId="0" applyFont="0" applyFill="0" applyBorder="0" applyAlignment="0" applyProtection="0"/>
    <xf numFmtId="9" fontId="8" fillId="0" borderId="0" applyFont="0" applyFill="0" applyBorder="0" applyAlignment="0" applyProtection="0">
      <alignment vertical="center"/>
    </xf>
    <xf numFmtId="9" fontId="5" fillId="0" borderId="0" applyFont="0" applyFill="0" applyBorder="0" applyAlignment="0" applyProtection="0">
      <alignment vertical="center"/>
    </xf>
    <xf numFmtId="10" fontId="28" fillId="0" borderId="4"/>
    <xf numFmtId="10" fontId="28" fillId="0" borderId="0"/>
    <xf numFmtId="0" fontId="160" fillId="13" borderId="0" applyNumberFormat="0" applyBorder="0" applyAlignment="0" applyProtection="0">
      <alignment vertical="center"/>
    </xf>
    <xf numFmtId="0" fontId="160" fillId="13" borderId="0" applyNumberFormat="0" applyBorder="0" applyAlignment="0" applyProtection="0">
      <alignment vertical="center"/>
    </xf>
    <xf numFmtId="0" fontId="161" fillId="0" borderId="0"/>
    <xf numFmtId="38" fontId="162" fillId="0" borderId="0" applyFont="0" applyFill="0" applyBorder="0" applyAlignment="0" applyProtection="0"/>
    <xf numFmtId="178" fontId="8" fillId="37" borderId="8" applyNumberFormat="0">
      <alignment vertical="center"/>
    </xf>
    <xf numFmtId="178" fontId="8" fillId="0" borderId="8">
      <alignment vertical="center"/>
    </xf>
    <xf numFmtId="0" fontId="163" fillId="0" borderId="0"/>
    <xf numFmtId="0" fontId="8" fillId="0" borderId="0" applyFont="0" applyFill="0" applyBorder="0" applyAlignment="0" applyProtection="0"/>
    <xf numFmtId="0" fontId="8" fillId="0" borderId="0" applyFont="0" applyFill="0" applyBorder="0" applyAlignment="0" applyProtection="0"/>
    <xf numFmtId="37" fontId="21" fillId="0" borderId="20" applyAlignment="0"/>
    <xf numFmtId="3" fontId="164" fillId="0" borderId="8"/>
    <xf numFmtId="0" fontId="164" fillId="0" borderId="8"/>
    <xf numFmtId="3" fontId="164" fillId="0" borderId="26"/>
    <xf numFmtId="3" fontId="164" fillId="0" borderId="27"/>
    <xf numFmtId="0" fontId="165" fillId="0" borderId="8"/>
    <xf numFmtId="0" fontId="166" fillId="0" borderId="0">
      <alignment horizontal="center"/>
    </xf>
    <xf numFmtId="0" fontId="167" fillId="0" borderId="28">
      <alignment horizont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9" fillId="36" borderId="29" applyNumberFormat="0" applyAlignment="0" applyProtection="0">
      <alignment vertical="center"/>
    </xf>
    <xf numFmtId="0" fontId="169" fillId="36" borderId="29" applyNumberFormat="0" applyAlignment="0" applyProtection="0">
      <alignment vertical="center"/>
    </xf>
    <xf numFmtId="0" fontId="170" fillId="0" borderId="0">
      <alignment vertical="center"/>
    </xf>
    <xf numFmtId="0" fontId="20" fillId="0" borderId="0">
      <alignment vertical="center"/>
    </xf>
    <xf numFmtId="250" fontId="8" fillId="0" borderId="21" applyFill="0" applyBorder="0" applyProtection="0">
      <alignment vertical="center"/>
    </xf>
    <xf numFmtId="41" fontId="199"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6"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99"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83" fontId="20" fillId="0" borderId="0" applyFont="0" applyFill="0" applyBorder="0" applyAlignment="0" applyProtection="0"/>
    <xf numFmtId="0"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83" fontId="20" fillId="0" borderId="0" applyFont="0" applyFill="0" applyBorder="0" applyAlignment="0" applyProtection="0"/>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71" fillId="0" borderId="0" applyFont="0" applyFill="0" applyBorder="0" applyAlignment="0" applyProtection="0"/>
    <xf numFmtId="41" fontId="171"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180" fontId="20" fillId="0" borderId="0" applyFont="0" applyFill="0" applyBorder="0" applyAlignment="0" applyProtection="0"/>
    <xf numFmtId="303" fontId="199" fillId="0" borderId="0" applyFont="0" applyFill="0" applyBorder="0" applyAlignment="0" applyProtection="0"/>
    <xf numFmtId="0" fontId="24" fillId="0" borderId="0" applyFont="0" applyFill="0" applyBorder="0" applyAlignment="0" applyProtection="0"/>
    <xf numFmtId="0" fontId="40" fillId="0" borderId="0"/>
    <xf numFmtId="0" fontId="40" fillId="0" borderId="0"/>
    <xf numFmtId="0" fontId="40" fillId="0" borderId="0"/>
    <xf numFmtId="0" fontId="40" fillId="0" borderId="0"/>
    <xf numFmtId="0" fontId="35" fillId="0" borderId="0"/>
    <xf numFmtId="0" fontId="35" fillId="0" borderId="0"/>
    <xf numFmtId="0" fontId="35" fillId="0" borderId="0"/>
    <xf numFmtId="0" fontId="35" fillId="0" borderId="0"/>
    <xf numFmtId="0" fontId="27" fillId="0" borderId="0"/>
    <xf numFmtId="0" fontId="27" fillId="0" borderId="0"/>
    <xf numFmtId="0" fontId="40" fillId="0" borderId="0"/>
    <xf numFmtId="0" fontId="40" fillId="0" borderId="0"/>
    <xf numFmtId="0" fontId="40" fillId="0" borderId="0"/>
    <xf numFmtId="0" fontId="40" fillId="0" borderId="0"/>
    <xf numFmtId="0" fontId="35" fillId="0" borderId="0"/>
    <xf numFmtId="0" fontId="35" fillId="0" borderId="0"/>
    <xf numFmtId="0" fontId="40" fillId="0" borderId="0"/>
    <xf numFmtId="0" fontId="40" fillId="0" borderId="0"/>
    <xf numFmtId="0" fontId="35" fillId="0" borderId="0"/>
    <xf numFmtId="0" fontId="35" fillId="0" borderId="0"/>
    <xf numFmtId="0" fontId="19" fillId="0" borderId="0"/>
    <xf numFmtId="0" fontId="40" fillId="0" borderId="0"/>
    <xf numFmtId="0" fontId="40" fillId="0" borderId="0"/>
    <xf numFmtId="0" fontId="40" fillId="0" borderId="0"/>
    <xf numFmtId="0" fontId="40" fillId="0" borderId="0"/>
    <xf numFmtId="0" fontId="35" fillId="0" borderId="0"/>
    <xf numFmtId="0" fontId="35" fillId="0" borderId="0"/>
    <xf numFmtId="0" fontId="27" fillId="0" borderId="0"/>
    <xf numFmtId="0" fontId="27" fillId="0" borderId="0"/>
    <xf numFmtId="0" fontId="35" fillId="0" borderId="0"/>
    <xf numFmtId="0" fontId="35" fillId="0" borderId="0"/>
    <xf numFmtId="0" fontId="27" fillId="0" borderId="0"/>
    <xf numFmtId="0" fontId="27" fillId="0" borderId="0"/>
    <xf numFmtId="0" fontId="27" fillId="0" borderId="0"/>
    <xf numFmtId="0" fontId="27" fillId="0" borderId="0"/>
    <xf numFmtId="0" fontId="40" fillId="0" borderId="0"/>
    <xf numFmtId="0" fontId="40" fillId="0" borderId="0"/>
    <xf numFmtId="0" fontId="35" fillId="0" borderId="0"/>
    <xf numFmtId="0" fontId="35" fillId="0" borderId="0"/>
    <xf numFmtId="0" fontId="40" fillId="0" borderId="0"/>
    <xf numFmtId="0" fontId="40" fillId="0" borderId="0"/>
    <xf numFmtId="0" fontId="19" fillId="0" borderId="0"/>
    <xf numFmtId="0" fontId="35" fillId="0" borderId="0"/>
    <xf numFmtId="0" fontId="35" fillId="0" borderId="0"/>
    <xf numFmtId="0" fontId="40" fillId="0" borderId="0"/>
    <xf numFmtId="0" fontId="40" fillId="0" borderId="0"/>
    <xf numFmtId="0" fontId="35" fillId="0" borderId="0"/>
    <xf numFmtId="0" fontId="35" fillId="0" borderId="0"/>
    <xf numFmtId="0" fontId="40" fillId="0" borderId="0"/>
    <xf numFmtId="0" fontId="40" fillId="0" borderId="0"/>
    <xf numFmtId="0" fontId="35" fillId="0" borderId="0"/>
    <xf numFmtId="0" fontId="35" fillId="0" borderId="0"/>
    <xf numFmtId="0" fontId="40" fillId="0" borderId="0"/>
    <xf numFmtId="0" fontId="40" fillId="0" borderId="0"/>
    <xf numFmtId="0" fontId="19" fillId="0" borderId="0"/>
    <xf numFmtId="0" fontId="19" fillId="0" borderId="0"/>
    <xf numFmtId="0" fontId="35" fillId="0" borderId="0"/>
    <xf numFmtId="0" fontId="35" fillId="0" borderId="0"/>
    <xf numFmtId="0" fontId="40" fillId="0" borderId="0"/>
    <xf numFmtId="0" fontId="40" fillId="0" borderId="0"/>
    <xf numFmtId="0" fontId="35" fillId="0" borderId="0"/>
    <xf numFmtId="0" fontId="35" fillId="0" borderId="0"/>
    <xf numFmtId="0" fontId="35" fillId="0" borderId="0"/>
    <xf numFmtId="0" fontId="35" fillId="0" borderId="0"/>
    <xf numFmtId="0" fontId="82" fillId="0" borderId="0">
      <alignment vertical="center"/>
    </xf>
    <xf numFmtId="0" fontId="172" fillId="0" borderId="30"/>
    <xf numFmtId="0" fontId="173" fillId="0" borderId="31" applyNumberFormat="0" applyFill="0" applyAlignment="0" applyProtection="0">
      <alignment vertical="center"/>
    </xf>
    <xf numFmtId="0" fontId="173" fillId="0" borderId="31" applyNumberFormat="0" applyFill="0" applyAlignment="0" applyProtection="0">
      <alignment vertical="center"/>
    </xf>
    <xf numFmtId="0" fontId="97" fillId="0" borderId="0" applyNumberFormat="0" applyFill="0" applyBorder="0" applyAlignment="0" applyProtection="0">
      <alignment vertical="top"/>
      <protection locked="0"/>
    </xf>
    <xf numFmtId="0" fontId="174" fillId="0" borderId="32" applyNumberFormat="0" applyFill="0" applyAlignment="0" applyProtection="0">
      <alignment vertical="center"/>
    </xf>
    <xf numFmtId="0" fontId="174" fillId="0" borderId="32" applyNumberFormat="0" applyFill="0" applyAlignment="0" applyProtection="0">
      <alignment vertical="center"/>
    </xf>
    <xf numFmtId="290" fontId="20" fillId="0" borderId="0" applyFont="0" applyFill="0" applyBorder="0" applyAlignment="0" applyProtection="0"/>
    <xf numFmtId="291" fontId="8" fillId="0" borderId="0" applyFont="0" applyFill="0" applyBorder="0" applyAlignment="0" applyProtection="0"/>
    <xf numFmtId="291" fontId="8" fillId="0" borderId="0" applyFont="0" applyFill="0" applyBorder="0" applyAlignment="0" applyProtection="0"/>
    <xf numFmtId="291" fontId="8" fillId="0" borderId="0" applyFont="0" applyFill="0" applyBorder="0" applyAlignment="0" applyProtection="0"/>
    <xf numFmtId="290" fontId="20" fillId="0" borderId="0" applyFont="0" applyFill="0" applyBorder="0" applyAlignment="0" applyProtection="0"/>
    <xf numFmtId="188" fontId="8" fillId="0" borderId="0" applyFont="0" applyFill="0" applyBorder="0" applyAlignment="0" applyProtection="0"/>
    <xf numFmtId="292" fontId="8" fillId="0" borderId="0" applyFont="0" applyFill="0" applyBorder="0" applyAlignment="0" applyProtection="0"/>
    <xf numFmtId="293" fontId="8" fillId="0" borderId="0" applyFont="0" applyFill="0" applyBorder="0" applyAlignment="0" applyProtection="0"/>
    <xf numFmtId="0" fontId="8" fillId="0" borderId="0" applyFont="0" applyFill="0" applyBorder="0" applyAlignment="0" applyProtection="0"/>
    <xf numFmtId="0" fontId="20" fillId="0" borderId="0" applyFont="0" applyFill="0" applyBorder="0" applyAlignment="0" applyProtection="0"/>
    <xf numFmtId="292" fontId="8" fillId="0" borderId="0" applyFont="0" applyFill="0" applyBorder="0" applyAlignment="0" applyProtection="0"/>
    <xf numFmtId="290" fontId="20" fillId="0" borderId="0" applyFont="0" applyFill="0" applyBorder="0" applyAlignment="0" applyProtection="0"/>
    <xf numFmtId="294" fontId="34" fillId="0" borderId="0" applyFont="0" applyFill="0" applyBorder="0" applyProtection="0">
      <alignment horizontal="right"/>
    </xf>
    <xf numFmtId="0" fontId="21" fillId="0" borderId="33">
      <alignment vertical="justify" wrapText="1"/>
    </xf>
    <xf numFmtId="0" fontId="38" fillId="0" borderId="0">
      <alignment vertical="center"/>
    </xf>
    <xf numFmtId="295" fontId="20" fillId="0" borderId="0" applyFill="0" applyBorder="0" applyAlignment="0" applyProtection="0"/>
    <xf numFmtId="0" fontId="175" fillId="0" borderId="0">
      <alignment horizontal="center" vertical="center"/>
    </xf>
    <xf numFmtId="0" fontId="176" fillId="3" borderId="24" applyNumberFormat="0" applyAlignment="0" applyProtection="0">
      <alignment vertical="center"/>
    </xf>
    <xf numFmtId="0" fontId="176" fillId="3" borderId="24" applyNumberFormat="0" applyAlignment="0" applyProtection="0">
      <alignment vertical="center"/>
    </xf>
    <xf numFmtId="4" fontId="26" fillId="0" borderId="0">
      <protection locked="0"/>
    </xf>
    <xf numFmtId="0" fontId="20" fillId="0" borderId="0">
      <protection locked="0"/>
    </xf>
    <xf numFmtId="0" fontId="177" fillId="0" borderId="34" applyNumberFormat="0" applyFill="0" applyAlignment="0" applyProtection="0">
      <alignment vertical="center"/>
    </xf>
    <xf numFmtId="0" fontId="177" fillId="0" borderId="34" applyNumberFormat="0" applyFill="0" applyAlignment="0" applyProtection="0">
      <alignment vertical="center"/>
    </xf>
    <xf numFmtId="0" fontId="178" fillId="0" borderId="35" applyNumberFormat="0" applyFill="0" applyAlignment="0" applyProtection="0">
      <alignment vertical="center"/>
    </xf>
    <xf numFmtId="0" fontId="178" fillId="0" borderId="35" applyNumberFormat="0" applyFill="0" applyAlignment="0" applyProtection="0">
      <alignment vertical="center"/>
    </xf>
    <xf numFmtId="0" fontId="179" fillId="0" borderId="36" applyNumberFormat="0" applyFill="0" applyAlignment="0" applyProtection="0">
      <alignment vertical="center"/>
    </xf>
    <xf numFmtId="0" fontId="179" fillId="0" borderId="36" applyNumberFormat="0" applyFill="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80" fillId="0" borderId="0" applyNumberFormat="0" applyFill="0" applyBorder="0" applyAlignment="0" applyProtection="0">
      <alignment vertical="center"/>
    </xf>
    <xf numFmtId="49" fontId="181" fillId="0" borderId="0">
      <alignment horizontal="left" vertical="center"/>
    </xf>
    <xf numFmtId="0" fontId="8" fillId="0" borderId="0" applyFont="0" applyFill="0" applyBorder="0" applyAlignment="0" applyProtection="0"/>
    <xf numFmtId="0" fontId="182" fillId="5" borderId="0" applyNumberFormat="0" applyBorder="0" applyAlignment="0" applyProtection="0">
      <alignment vertical="center"/>
    </xf>
    <xf numFmtId="0" fontId="182" fillId="5" borderId="0" applyNumberFormat="0" applyBorder="0" applyAlignment="0" applyProtection="0">
      <alignment vertical="center"/>
    </xf>
    <xf numFmtId="49" fontId="183" fillId="0" borderId="0">
      <alignment horizontal="left" vertical="top" wrapText="1"/>
    </xf>
    <xf numFmtId="0" fontId="20" fillId="0" borderId="0"/>
    <xf numFmtId="41" fontId="7" fillId="0" borderId="0" applyFont="0" applyFill="0" applyBorder="0" applyAlignment="0" applyProtection="0"/>
    <xf numFmtId="43" fontId="7" fillId="0" borderId="0" applyFont="0" applyFill="0" applyBorder="0" applyAlignment="0" applyProtection="0"/>
    <xf numFmtId="0" fontId="175" fillId="0" borderId="0">
      <alignment horizontal="right" vertical="center"/>
    </xf>
    <xf numFmtId="188" fontId="163" fillId="0" borderId="0" applyFont="0" applyFill="0" applyBorder="0" applyAlignment="0" applyProtection="0"/>
    <xf numFmtId="296" fontId="22" fillId="0" borderId="37">
      <alignment vertical="center"/>
    </xf>
    <xf numFmtId="0" fontId="184" fillId="11" borderId="17" applyNumberFormat="0" applyAlignment="0" applyProtection="0">
      <alignment vertical="center"/>
    </xf>
    <xf numFmtId="0" fontId="184" fillId="11" borderId="17" applyNumberFormat="0" applyAlignment="0" applyProtection="0">
      <alignment vertical="center"/>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0" fontId="20" fillId="0" borderId="0" applyFont="0" applyFill="0" applyBorder="0" applyAlignment="0" applyProtection="0"/>
    <xf numFmtId="0" fontId="20" fillId="0" borderId="0" applyFont="0" applyFill="0" applyBorder="0" applyAlignment="0" applyProtection="0"/>
    <xf numFmtId="186" fontId="52" fillId="0" borderId="0">
      <protection locked="0"/>
    </xf>
    <xf numFmtId="3" fontId="20" fillId="0" borderId="0" applyFont="0" applyFill="0" applyBorder="0" applyAlignment="0" applyProtection="0"/>
    <xf numFmtId="0" fontId="20" fillId="0" borderId="38">
      <alignment vertical="center"/>
    </xf>
    <xf numFmtId="0" fontId="20" fillId="0" borderId="0" applyFont="0" applyFill="0" applyBorder="0" applyAlignment="0" applyProtection="0"/>
    <xf numFmtId="3" fontId="20" fillId="0" borderId="3"/>
    <xf numFmtId="178" fontId="8" fillId="0" borderId="0" applyFont="0" applyFill="0" applyBorder="0" applyAlignment="0" applyProtection="0"/>
    <xf numFmtId="29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298" fontId="8" fillId="0" borderId="0" applyFont="0" applyFill="0" applyBorder="0" applyAlignment="0" applyProtection="0"/>
    <xf numFmtId="0" fontId="185" fillId="0" borderId="38" applyNumberFormat="0" applyFont="0" applyFill="0" applyAlignment="0" applyProtection="0">
      <alignment vertical="center"/>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5" fontId="7"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0" fontId="8" fillId="0" borderId="0" applyFont="0" applyFill="0" applyBorder="0" applyAlignment="0" applyProtection="0"/>
    <xf numFmtId="0" fontId="25" fillId="0" borderId="0" applyFont="0" applyFill="0" applyBorder="0" applyAlignment="0" applyProtection="0"/>
    <xf numFmtId="209" fontId="7" fillId="0" borderId="0" applyFont="0" applyFill="0" applyBorder="0" applyAlignment="0" applyProtection="0"/>
    <xf numFmtId="0" fontId="150" fillId="0" borderId="0">
      <alignment vertical="center"/>
      <protection locked="0"/>
    </xf>
    <xf numFmtId="10" fontId="186" fillId="0" borderId="0">
      <alignment horizontal="right" vertical="center"/>
    </xf>
    <xf numFmtId="0" fontId="20"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186" fontId="52" fillId="0" borderId="0">
      <protection locked="0"/>
    </xf>
    <xf numFmtId="209" fontId="8" fillId="0" borderId="0" applyFill="0" applyBorder="0" applyProtection="0">
      <alignment vertical="center"/>
    </xf>
    <xf numFmtId="250" fontId="8" fillId="0" borderId="0" applyFill="0" applyBorder="0" applyProtection="0">
      <alignment vertical="center"/>
      <protection locked="0"/>
    </xf>
    <xf numFmtId="0" fontId="187" fillId="0" borderId="0" applyNumberFormat="0" applyFill="0" applyBorder="0" applyAlignment="0" applyProtection="0">
      <alignment vertical="top"/>
      <protection locked="0"/>
    </xf>
    <xf numFmtId="0" fontId="8" fillId="0" borderId="0">
      <alignment vertical="center"/>
    </xf>
    <xf numFmtId="0" fontId="7" fillId="0" borderId="0"/>
    <xf numFmtId="0" fontId="8" fillId="0" borderId="0"/>
    <xf numFmtId="0" fontId="7" fillId="0" borderId="0"/>
    <xf numFmtId="0" fontId="7" fillId="0" borderId="0"/>
    <xf numFmtId="0" fontId="7" fillId="0" borderId="0"/>
    <xf numFmtId="0" fontId="171" fillId="0" borderId="0"/>
    <xf numFmtId="0" fontId="215" fillId="0" borderId="0">
      <alignment vertical="center"/>
    </xf>
    <xf numFmtId="0" fontId="8" fillId="0" borderId="0"/>
    <xf numFmtId="0" fontId="171" fillId="0" borderId="0"/>
    <xf numFmtId="0" fontId="8" fillId="0" borderId="0"/>
    <xf numFmtId="0" fontId="171" fillId="0" borderId="0"/>
    <xf numFmtId="0" fontId="5" fillId="0" borderId="0">
      <alignment vertical="center"/>
    </xf>
    <xf numFmtId="0" fontId="5" fillId="0" borderId="0">
      <alignment vertical="center"/>
    </xf>
    <xf numFmtId="0" fontId="8" fillId="0" borderId="0"/>
    <xf numFmtId="0" fontId="5" fillId="0" borderId="0">
      <alignment vertical="center"/>
    </xf>
    <xf numFmtId="0" fontId="8" fillId="0" borderId="0"/>
    <xf numFmtId="0" fontId="5" fillId="0" borderId="0">
      <alignment vertical="center"/>
    </xf>
    <xf numFmtId="0" fontId="171" fillId="0" borderId="0"/>
    <xf numFmtId="0" fontId="5" fillId="0" borderId="0">
      <alignment vertical="center"/>
    </xf>
    <xf numFmtId="0" fontId="8" fillId="0" borderId="0"/>
    <xf numFmtId="0" fontId="5" fillId="0" borderId="0">
      <alignment vertical="center"/>
    </xf>
    <xf numFmtId="0" fontId="171" fillId="0" borderId="0"/>
    <xf numFmtId="0" fontId="5" fillId="0" borderId="0">
      <alignment vertical="center"/>
    </xf>
    <xf numFmtId="0" fontId="171" fillId="0" borderId="0"/>
    <xf numFmtId="0" fontId="7" fillId="0" borderId="0"/>
    <xf numFmtId="0" fontId="8" fillId="0" borderId="0">
      <alignment vertical="center"/>
    </xf>
    <xf numFmtId="0" fontId="8" fillId="0" borderId="0"/>
    <xf numFmtId="0" fontId="215" fillId="0" borderId="0">
      <alignment vertical="center"/>
    </xf>
    <xf numFmtId="0" fontId="215" fillId="0" borderId="0">
      <alignment vertical="center"/>
    </xf>
    <xf numFmtId="0" fontId="215" fillId="0" borderId="0">
      <alignment vertical="center"/>
    </xf>
    <xf numFmtId="0" fontId="215" fillId="0" borderId="0">
      <alignment vertical="center"/>
    </xf>
    <xf numFmtId="0" fontId="8" fillId="0" borderId="0"/>
    <xf numFmtId="0" fontId="171" fillId="0" borderId="0"/>
    <xf numFmtId="0" fontId="7" fillId="0" borderId="0" applyNumberFormat="0" applyFont="0" applyFill="0" applyBorder="0" applyAlignment="0" applyProtection="0"/>
    <xf numFmtId="0" fontId="5" fillId="0" borderId="0">
      <alignment vertical="center"/>
    </xf>
    <xf numFmtId="0" fontId="5" fillId="0" borderId="0">
      <alignment vertical="center"/>
    </xf>
    <xf numFmtId="0" fontId="171" fillId="0" borderId="0"/>
    <xf numFmtId="0" fontId="7" fillId="0" borderId="0"/>
    <xf numFmtId="0" fontId="7" fillId="0" borderId="0"/>
    <xf numFmtId="0" fontId="5" fillId="0" borderId="0">
      <alignment vertical="center"/>
    </xf>
    <xf numFmtId="0" fontId="171" fillId="0" borderId="0"/>
    <xf numFmtId="0" fontId="5" fillId="0" borderId="0">
      <alignment vertical="center"/>
    </xf>
    <xf numFmtId="0" fontId="5" fillId="0" borderId="0">
      <alignment vertical="center"/>
    </xf>
    <xf numFmtId="0" fontId="17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71" fillId="0" borderId="0"/>
    <xf numFmtId="0" fontId="5" fillId="0" borderId="0">
      <alignment vertical="center"/>
    </xf>
    <xf numFmtId="0" fontId="8" fillId="0" borderId="0">
      <alignment vertical="center"/>
    </xf>
    <xf numFmtId="0" fontId="171" fillId="0" borderId="0"/>
    <xf numFmtId="0" fontId="8" fillId="0" borderId="0"/>
    <xf numFmtId="0" fontId="8" fillId="0" borderId="0"/>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171" fillId="0" borderId="0"/>
    <xf numFmtId="0" fontId="5" fillId="0" borderId="0">
      <alignment vertical="center"/>
    </xf>
    <xf numFmtId="0" fontId="171" fillId="0" borderId="0"/>
    <xf numFmtId="0" fontId="7" fillId="0" borderId="0"/>
    <xf numFmtId="0" fontId="8" fillId="0" borderId="0">
      <alignment vertical="center"/>
    </xf>
    <xf numFmtId="0" fontId="8" fillId="0" borderId="0"/>
    <xf numFmtId="0" fontId="171" fillId="0" borderId="0"/>
    <xf numFmtId="0" fontId="171" fillId="0" borderId="0"/>
    <xf numFmtId="0" fontId="171" fillId="0" borderId="0"/>
    <xf numFmtId="0" fontId="171" fillId="0" borderId="0"/>
    <xf numFmtId="0" fontId="215" fillId="0" borderId="0"/>
    <xf numFmtId="0" fontId="8" fillId="0" borderId="0">
      <alignment vertical="center"/>
    </xf>
    <xf numFmtId="0" fontId="8" fillId="0" borderId="0"/>
    <xf numFmtId="0" fontId="8" fillId="0" borderId="0">
      <alignment vertical="center"/>
    </xf>
    <xf numFmtId="0" fontId="171" fillId="0" borderId="0"/>
    <xf numFmtId="0" fontId="215" fillId="0" borderId="0">
      <alignment vertical="center"/>
    </xf>
    <xf numFmtId="0" fontId="171" fillId="0" borderId="0"/>
    <xf numFmtId="0" fontId="171" fillId="0" borderId="0"/>
    <xf numFmtId="0" fontId="171" fillId="0" borderId="0"/>
    <xf numFmtId="0" fontId="215" fillId="0" borderId="0">
      <alignment vertical="center"/>
    </xf>
    <xf numFmtId="0" fontId="215" fillId="0" borderId="0">
      <alignment vertical="center"/>
    </xf>
    <xf numFmtId="0" fontId="171" fillId="0" borderId="0"/>
    <xf numFmtId="0" fontId="171" fillId="0" borderId="0"/>
    <xf numFmtId="0" fontId="215" fillId="0" borderId="0">
      <alignment vertical="center"/>
    </xf>
    <xf numFmtId="0" fontId="7" fillId="0" borderId="0">
      <alignment vertical="center"/>
    </xf>
    <xf numFmtId="0" fontId="8" fillId="0" borderId="0"/>
    <xf numFmtId="0" fontId="8" fillId="0" borderId="0">
      <alignment vertical="center"/>
    </xf>
    <xf numFmtId="0" fontId="171" fillId="0" borderId="0"/>
    <xf numFmtId="0" fontId="171" fillId="0" borderId="0"/>
    <xf numFmtId="0" fontId="171" fillId="0" borderId="0"/>
    <xf numFmtId="0" fontId="171" fillId="0" borderId="0"/>
    <xf numFmtId="0" fontId="171" fillId="0" borderId="0"/>
    <xf numFmtId="0" fontId="171" fillId="0" borderId="0"/>
    <xf numFmtId="0" fontId="7" fillId="0" borderId="0">
      <alignment vertical="center"/>
    </xf>
    <xf numFmtId="0" fontId="8"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20"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215" fillId="0" borderId="0">
      <alignment vertical="center"/>
    </xf>
    <xf numFmtId="0" fontId="8" fillId="0" borderId="0"/>
    <xf numFmtId="0" fontId="171" fillId="0" borderId="0"/>
    <xf numFmtId="0" fontId="171" fillId="0" borderId="0"/>
    <xf numFmtId="0" fontId="171" fillId="0" borderId="0"/>
    <xf numFmtId="0" fontId="8" fillId="0" borderId="0"/>
    <xf numFmtId="0" fontId="19" fillId="0" borderId="0">
      <alignment vertical="center"/>
    </xf>
    <xf numFmtId="0" fontId="188" fillId="0" borderId="0"/>
    <xf numFmtId="0" fontId="20" fillId="0" borderId="0"/>
    <xf numFmtId="196" fontId="19" fillId="0" borderId="0"/>
    <xf numFmtId="285" fontId="185" fillId="0" borderId="0" applyFill="0" applyBorder="0">
      <alignment vertical="center"/>
    </xf>
    <xf numFmtId="0" fontId="150" fillId="0" borderId="0"/>
    <xf numFmtId="0" fontId="189" fillId="0" borderId="0" applyNumberFormat="0" applyFill="0" applyBorder="0" applyAlignment="0" applyProtection="0">
      <alignment vertical="top"/>
      <protection locked="0"/>
    </xf>
    <xf numFmtId="0" fontId="26" fillId="0" borderId="9">
      <protection locked="0"/>
    </xf>
    <xf numFmtId="188" fontId="7" fillId="0" borderId="0" applyFont="0" applyFill="0" applyBorder="0" applyAlignment="0" applyProtection="0"/>
    <xf numFmtId="180" fontId="7" fillId="0" borderId="0" applyFont="0" applyFill="0" applyBorder="0" applyAlignment="0" applyProtection="0"/>
    <xf numFmtId="49" fontId="190" fillId="38" borderId="7">
      <alignment horizontal="centerContinuous" vertical="center"/>
    </xf>
    <xf numFmtId="0" fontId="20" fillId="0" borderId="0" applyFont="0" applyFill="0" applyBorder="0" applyAlignment="0" applyProtection="0"/>
    <xf numFmtId="0" fontId="20" fillId="0" borderId="0">
      <protection locked="0"/>
    </xf>
    <xf numFmtId="0" fontId="20" fillId="0" borderId="0">
      <protection locked="0"/>
    </xf>
    <xf numFmtId="0" fontId="191" fillId="0" borderId="39">
      <alignment horizontal="left"/>
    </xf>
    <xf numFmtId="0" fontId="18" fillId="0" borderId="40" applyNumberFormat="0" applyFont="0" applyFill="0" applyProtection="0">
      <alignment horizontal="center" vertical="center" wrapText="1"/>
    </xf>
    <xf numFmtId="41" fontId="238" fillId="0" borderId="0" applyFont="0" applyFill="0" applyBorder="0" applyAlignment="0" applyProtection="0">
      <alignment vertical="center"/>
    </xf>
    <xf numFmtId="0" fontId="240" fillId="0" borderId="0" applyNumberFormat="0" applyFill="0" applyBorder="0" applyAlignment="0" applyProtection="0">
      <alignment vertical="center"/>
    </xf>
    <xf numFmtId="0" fontId="4" fillId="0" borderId="0">
      <alignment vertical="center"/>
    </xf>
    <xf numFmtId="0" fontId="215" fillId="0" borderId="0">
      <alignment vertical="center"/>
    </xf>
    <xf numFmtId="41" fontId="238" fillId="0" borderId="0" applyFont="0" applyFill="0" applyBorder="0" applyAlignment="0" applyProtection="0">
      <alignment vertical="center"/>
    </xf>
    <xf numFmtId="41" fontId="4" fillId="0" borderId="0" applyFont="0" applyFill="0" applyBorder="0" applyAlignment="0" applyProtection="0">
      <alignment vertical="center"/>
    </xf>
    <xf numFmtId="0" fontId="238" fillId="0" borderId="0"/>
    <xf numFmtId="0" fontId="252" fillId="0" borderId="0">
      <alignment vertical="center"/>
    </xf>
    <xf numFmtId="41" fontId="252" fillId="0" borderId="0" applyFont="0" applyFill="0" applyBorder="0" applyAlignment="0" applyProtection="0">
      <alignment vertical="center"/>
    </xf>
    <xf numFmtId="41" fontId="171" fillId="0" borderId="0" applyFont="0" applyFill="0" applyBorder="0" applyAlignment="0" applyProtection="0"/>
    <xf numFmtId="0" fontId="171" fillId="0" borderId="0"/>
    <xf numFmtId="9" fontId="171" fillId="0" borderId="0" applyFont="0" applyFill="0" applyBorder="0" applyAlignment="0" applyProtection="0"/>
    <xf numFmtId="0" fontId="253" fillId="0" borderId="0"/>
    <xf numFmtId="305" fontId="253" fillId="0" borderId="0" applyFont="0" applyFill="0" applyBorder="0" applyAlignment="0" applyProtection="0">
      <alignment vertical="center"/>
    </xf>
    <xf numFmtId="41" fontId="16" fillId="0" borderId="0" applyFont="0" applyFill="0" applyBorder="0" applyAlignment="0" applyProtection="0">
      <alignment vertical="center"/>
    </xf>
    <xf numFmtId="9" fontId="16" fillId="0" borderId="0" applyFont="0" applyFill="0" applyBorder="0" applyAlignment="0" applyProtection="0">
      <alignment vertical="center"/>
    </xf>
    <xf numFmtId="9" fontId="171" fillId="0" borderId="0" applyFont="0" applyFill="0" applyBorder="0" applyAlignment="0" applyProtection="0"/>
    <xf numFmtId="41" fontId="171" fillId="0" borderId="0" applyFont="0" applyFill="0" applyBorder="0" applyAlignment="0" applyProtection="0"/>
    <xf numFmtId="0" fontId="215" fillId="0" borderId="0">
      <alignment vertical="center"/>
    </xf>
    <xf numFmtId="0" fontId="215" fillId="0" borderId="0">
      <alignment vertical="center"/>
    </xf>
    <xf numFmtId="0" fontId="16" fillId="0" borderId="0"/>
    <xf numFmtId="0" fontId="16" fillId="0" borderId="0"/>
    <xf numFmtId="0" fontId="3" fillId="0" borderId="0">
      <alignment vertical="center"/>
    </xf>
    <xf numFmtId="0" fontId="2" fillId="0" borderId="0">
      <alignment vertical="center"/>
    </xf>
    <xf numFmtId="0" fontId="1" fillId="0" borderId="0">
      <alignment vertical="center"/>
    </xf>
    <xf numFmtId="41" fontId="1" fillId="0" borderId="0" applyFont="0" applyFill="0" applyBorder="0" applyAlignment="0" applyProtection="0">
      <alignment vertical="center"/>
    </xf>
  </cellStyleXfs>
  <cellXfs count="1370">
    <xf numFmtId="0" fontId="0" fillId="0" borderId="0" xfId="0">
      <alignment vertical="center"/>
    </xf>
    <xf numFmtId="0" fontId="200" fillId="0" borderId="0" xfId="0" applyFont="1">
      <alignment vertical="center"/>
    </xf>
    <xf numFmtId="176" fontId="200" fillId="0" borderId="0" xfId="0" applyNumberFormat="1" applyFont="1">
      <alignment vertical="center"/>
    </xf>
    <xf numFmtId="176" fontId="201" fillId="0" borderId="0" xfId="0" applyNumberFormat="1" applyFont="1">
      <alignment vertical="center"/>
    </xf>
    <xf numFmtId="176" fontId="200" fillId="0" borderId="8" xfId="0" applyNumberFormat="1" applyFont="1" applyBorder="1">
      <alignment vertical="center"/>
    </xf>
    <xf numFmtId="176" fontId="201" fillId="0" borderId="0" xfId="0" applyNumberFormat="1" applyFont="1" applyAlignment="1">
      <alignment horizontal="left" vertical="center" indent="1"/>
    </xf>
    <xf numFmtId="176" fontId="200" fillId="0" borderId="0" xfId="0" applyNumberFormat="1" applyFont="1" applyAlignment="1">
      <alignment horizontal="left" vertical="center" indent="2"/>
    </xf>
    <xf numFmtId="176" fontId="200" fillId="0" borderId="15" xfId="0" applyNumberFormat="1" applyFont="1" applyBorder="1">
      <alignment vertical="center"/>
    </xf>
    <xf numFmtId="176" fontId="200" fillId="0" borderId="0" xfId="0" applyNumberFormat="1" applyFont="1" applyAlignment="1">
      <alignment horizontal="right" vertical="center"/>
    </xf>
    <xf numFmtId="176" fontId="201" fillId="0" borderId="0" xfId="0" applyNumberFormat="1" applyFont="1" applyAlignment="1">
      <alignment horizontal="left" vertical="center"/>
    </xf>
    <xf numFmtId="0" fontId="201" fillId="0" borderId="0" xfId="0" applyFont="1">
      <alignment vertical="center"/>
    </xf>
    <xf numFmtId="41" fontId="200" fillId="0" borderId="0" xfId="1498" applyFont="1">
      <alignment vertical="center"/>
    </xf>
    <xf numFmtId="176" fontId="201" fillId="0" borderId="16" xfId="0" applyNumberFormat="1" applyFont="1" applyBorder="1" applyAlignment="1">
      <alignment horizontal="left" vertical="center" indent="1"/>
    </xf>
    <xf numFmtId="176" fontId="201" fillId="0" borderId="16" xfId="0" applyNumberFormat="1" applyFont="1" applyBorder="1" applyAlignment="1">
      <alignment horizontal="left" vertical="center"/>
    </xf>
    <xf numFmtId="176" fontId="201" fillId="0" borderId="16" xfId="0" applyNumberFormat="1" applyFont="1" applyBorder="1">
      <alignment vertical="center"/>
    </xf>
    <xf numFmtId="176" fontId="200" fillId="0" borderId="16" xfId="0" applyNumberFormat="1" applyFont="1" applyBorder="1">
      <alignment vertical="center"/>
    </xf>
    <xf numFmtId="176" fontId="200" fillId="0" borderId="0" xfId="0" applyNumberFormat="1" applyFont="1" applyAlignment="1">
      <alignment horizontal="left" vertical="center" indent="1"/>
    </xf>
    <xf numFmtId="176" fontId="200" fillId="0" borderId="16" xfId="0" applyNumberFormat="1" applyFont="1" applyBorder="1" applyAlignment="1">
      <alignment horizontal="left" vertical="center" indent="2"/>
    </xf>
    <xf numFmtId="0" fontId="202" fillId="39" borderId="8" xfId="0" applyFont="1" applyFill="1" applyBorder="1" applyAlignment="1">
      <alignment horizontal="center" vertical="center" wrapText="1"/>
    </xf>
    <xf numFmtId="14" fontId="202" fillId="39" borderId="8" xfId="0" applyNumberFormat="1" applyFont="1" applyFill="1" applyBorder="1" applyAlignment="1">
      <alignment horizontal="center" vertical="center" wrapText="1"/>
    </xf>
    <xf numFmtId="0" fontId="203" fillId="23" borderId="8" xfId="0" applyFont="1" applyFill="1" applyBorder="1" applyAlignment="1">
      <alignment vertical="top" wrapText="1"/>
    </xf>
    <xf numFmtId="176" fontId="203" fillId="23" borderId="8" xfId="0" applyNumberFormat="1" applyFont="1" applyFill="1" applyBorder="1" applyAlignment="1">
      <alignment vertical="top" wrapText="1"/>
    </xf>
    <xf numFmtId="176" fontId="203" fillId="23" borderId="8" xfId="0" applyNumberFormat="1" applyFont="1" applyFill="1" applyBorder="1" applyAlignment="1">
      <alignment horizontal="right" vertical="top" wrapText="1"/>
    </xf>
    <xf numFmtId="0" fontId="203" fillId="23" borderId="8" xfId="0" applyFont="1" applyFill="1" applyBorder="1" applyAlignment="1">
      <alignment horizontal="left" vertical="top" wrapText="1" indent="1"/>
    </xf>
    <xf numFmtId="0" fontId="203" fillId="23" borderId="8" xfId="0" applyFont="1" applyFill="1" applyBorder="1" applyAlignment="1">
      <alignment horizontal="left" vertical="top" wrapText="1" indent="2"/>
    </xf>
    <xf numFmtId="0" fontId="204" fillId="0" borderId="8" xfId="0" applyFont="1" applyBorder="1" applyAlignment="1">
      <alignment horizontal="left" vertical="top" wrapText="1" indent="3"/>
    </xf>
    <xf numFmtId="176" fontId="204" fillId="0" borderId="8" xfId="0" applyNumberFormat="1" applyFont="1" applyBorder="1" applyAlignment="1">
      <alignment vertical="top" wrapText="1"/>
    </xf>
    <xf numFmtId="176" fontId="204" fillId="0" borderId="8" xfId="0" applyNumberFormat="1" applyFont="1" applyBorder="1" applyAlignment="1">
      <alignment horizontal="right" vertical="top" wrapText="1"/>
    </xf>
    <xf numFmtId="0" fontId="205" fillId="24" borderId="8" xfId="1433" applyFont="1" applyFill="1" applyBorder="1" applyAlignment="1">
      <alignment horizontal="left" vertical="top" wrapText="1" indent="3"/>
    </xf>
    <xf numFmtId="176" fontId="205" fillId="24" borderId="8" xfId="1433" applyNumberFormat="1" applyFont="1" applyFill="1" applyBorder="1" applyAlignment="1">
      <alignment vertical="top" wrapText="1"/>
    </xf>
    <xf numFmtId="176" fontId="205" fillId="24" borderId="8" xfId="1433" applyNumberFormat="1" applyFont="1" applyFill="1" applyBorder="1" applyAlignment="1">
      <alignment horizontal="right" vertical="top" wrapText="1"/>
    </xf>
    <xf numFmtId="177" fontId="12" fillId="0" borderId="3" xfId="1499" applyNumberFormat="1" applyFont="1" applyFill="1" applyBorder="1" applyAlignment="1">
      <alignment horizontal="center" vertical="center"/>
    </xf>
    <xf numFmtId="177" fontId="13" fillId="0" borderId="0" xfId="1937" applyNumberFormat="1" applyFont="1" applyAlignment="1">
      <alignment horizontal="distributed"/>
    </xf>
    <xf numFmtId="41" fontId="200" fillId="0" borderId="0" xfId="0" applyNumberFormat="1" applyFont="1">
      <alignment vertical="center"/>
    </xf>
    <xf numFmtId="176" fontId="200" fillId="0" borderId="16" xfId="0" applyNumberFormat="1" applyFont="1" applyBorder="1" applyAlignment="1">
      <alignment horizontal="left" vertical="center" indent="1"/>
    </xf>
    <xf numFmtId="176" fontId="200" fillId="0" borderId="0" xfId="0" applyNumberFormat="1" applyFont="1" applyAlignment="1">
      <alignment horizontal="center" vertical="center"/>
    </xf>
    <xf numFmtId="176" fontId="205" fillId="0" borderId="0" xfId="0" applyNumberFormat="1" applyFont="1">
      <alignment vertical="center"/>
    </xf>
    <xf numFmtId="176" fontId="195" fillId="0" borderId="0" xfId="0" applyNumberFormat="1" applyFont="1" applyAlignment="1">
      <alignment horizontal="left" vertical="center" indent="1"/>
    </xf>
    <xf numFmtId="176" fontId="195" fillId="0" borderId="0" xfId="0" applyNumberFormat="1" applyFont="1" applyAlignment="1">
      <alignment horizontal="right" vertical="center"/>
    </xf>
    <xf numFmtId="176" fontId="195" fillId="0" borderId="0" xfId="0" applyNumberFormat="1" applyFont="1">
      <alignment vertical="center"/>
    </xf>
    <xf numFmtId="176" fontId="195" fillId="0" borderId="16" xfId="0" applyNumberFormat="1" applyFont="1" applyBorder="1" applyAlignment="1">
      <alignment horizontal="left" vertical="center" indent="2"/>
    </xf>
    <xf numFmtId="176" fontId="195" fillId="0" borderId="16" xfId="0" applyNumberFormat="1" applyFont="1" applyBorder="1">
      <alignment vertical="center"/>
    </xf>
    <xf numFmtId="0" fontId="200" fillId="0" borderId="8" xfId="0" applyFont="1" applyBorder="1" applyAlignment="1">
      <alignment horizontal="left" vertical="top" wrapText="1" indent="3"/>
    </xf>
    <xf numFmtId="176" fontId="195" fillId="23" borderId="13" xfId="0" applyNumberFormat="1" applyFont="1" applyFill="1" applyBorder="1">
      <alignment vertical="center"/>
    </xf>
    <xf numFmtId="176" fontId="195" fillId="23" borderId="0" xfId="0" applyNumberFormat="1" applyFont="1" applyFill="1">
      <alignment vertical="center"/>
    </xf>
    <xf numFmtId="301" fontId="0" fillId="0" borderId="0" xfId="0" applyNumberFormat="1">
      <alignment vertical="center"/>
    </xf>
    <xf numFmtId="301" fontId="0" fillId="0" borderId="0" xfId="0" applyNumberFormat="1" applyAlignment="1">
      <alignment horizontal="justify" vertical="center"/>
    </xf>
    <xf numFmtId="0" fontId="0" fillId="0" borderId="0" xfId="0" applyAlignment="1"/>
    <xf numFmtId="0" fontId="0" fillId="0" borderId="0" xfId="0" quotePrefix="1" applyAlignment="1"/>
    <xf numFmtId="0" fontId="0" fillId="43" borderId="0" xfId="0" applyFill="1" applyAlignment="1"/>
    <xf numFmtId="0" fontId="0" fillId="43" borderId="0" xfId="0" quotePrefix="1" applyFill="1" applyAlignment="1"/>
    <xf numFmtId="176" fontId="218" fillId="44" borderId="22" xfId="1969" quotePrefix="1" applyNumberFormat="1" applyFont="1" applyFill="1" applyBorder="1" applyAlignment="1">
      <alignment horizontal="center" vertical="center"/>
    </xf>
    <xf numFmtId="176" fontId="11" fillId="0" borderId="0" xfId="0" applyNumberFormat="1" applyFont="1" applyAlignment="1">
      <alignment horizontal="right" vertical="center"/>
    </xf>
    <xf numFmtId="0" fontId="223" fillId="0" borderId="0" xfId="0" applyFont="1">
      <alignment vertical="center"/>
    </xf>
    <xf numFmtId="302" fontId="224" fillId="0" borderId="0" xfId="0" applyNumberFormat="1" applyFont="1">
      <alignment vertical="center"/>
    </xf>
    <xf numFmtId="302" fontId="223" fillId="0" borderId="0" xfId="0" applyNumberFormat="1" applyFont="1">
      <alignment vertical="center"/>
    </xf>
    <xf numFmtId="302" fontId="223" fillId="0" borderId="28" xfId="0" applyNumberFormat="1" applyFont="1" applyBorder="1">
      <alignment vertical="center"/>
    </xf>
    <xf numFmtId="301" fontId="200" fillId="0" borderId="48" xfId="0" applyNumberFormat="1" applyFont="1" applyBorder="1" applyAlignment="1">
      <alignment horizontal="left" vertical="center"/>
    </xf>
    <xf numFmtId="301" fontId="200" fillId="0" borderId="52" xfId="0" applyNumberFormat="1" applyFont="1" applyBorder="1" applyAlignment="1">
      <alignment horizontal="center" vertical="center"/>
    </xf>
    <xf numFmtId="301" fontId="200" fillId="0" borderId="53" xfId="0" applyNumberFormat="1" applyFont="1" applyBorder="1" applyAlignment="1">
      <alignment horizontal="left" vertical="center"/>
    </xf>
    <xf numFmtId="301" fontId="195" fillId="45" borderId="24" xfId="0" applyNumberFormat="1" applyFont="1" applyFill="1" applyBorder="1" applyAlignment="1">
      <alignment horizontal="center" vertical="center"/>
    </xf>
    <xf numFmtId="302" fontId="225" fillId="0" borderId="0" xfId="0" applyNumberFormat="1" applyFont="1">
      <alignment vertical="center"/>
    </xf>
    <xf numFmtId="301" fontId="200" fillId="0" borderId="0" xfId="0" applyNumberFormat="1" applyFont="1">
      <alignment vertical="center"/>
    </xf>
    <xf numFmtId="301" fontId="223" fillId="0" borderId="0" xfId="0" applyNumberFormat="1" applyFont="1">
      <alignment vertical="center"/>
    </xf>
    <xf numFmtId="301" fontId="200" fillId="0" borderId="0" xfId="0" applyNumberFormat="1" applyFont="1" applyAlignment="1">
      <alignment horizontal="right" vertical="center" wrapText="1"/>
    </xf>
    <xf numFmtId="301" fontId="200" fillId="0" borderId="90" xfId="0" applyNumberFormat="1" applyFont="1" applyBorder="1" applyAlignment="1">
      <alignment horizontal="left" vertical="center" wrapText="1"/>
    </xf>
    <xf numFmtId="301" fontId="200" fillId="0" borderId="45" xfId="0" applyNumberFormat="1" applyFont="1" applyBorder="1" applyAlignment="1">
      <alignment horizontal="left" vertical="center" wrapText="1"/>
    </xf>
    <xf numFmtId="301" fontId="200" fillId="0" borderId="48" xfId="0" applyNumberFormat="1" applyFont="1" applyBorder="1" applyAlignment="1">
      <alignment horizontal="left" vertical="center" wrapText="1"/>
    </xf>
    <xf numFmtId="301" fontId="200" fillId="0" borderId="24" xfId="0" applyNumberFormat="1" applyFont="1" applyBorder="1" applyAlignment="1">
      <alignment horizontal="right" vertical="center" wrapText="1"/>
    </xf>
    <xf numFmtId="301" fontId="200" fillId="0" borderId="48" xfId="0" applyNumberFormat="1" applyFont="1" applyBorder="1" applyAlignment="1">
      <alignment horizontal="center" vertical="center" wrapText="1"/>
    </xf>
    <xf numFmtId="301" fontId="200" fillId="0" borderId="24" xfId="1498" applyNumberFormat="1" applyFont="1" applyFill="1" applyBorder="1" applyAlignment="1">
      <alignment horizontal="right" vertical="center" wrapText="1"/>
    </xf>
    <xf numFmtId="301" fontId="200" fillId="0" borderId="52" xfId="0" applyNumberFormat="1" applyFont="1" applyBorder="1" applyAlignment="1">
      <alignment horizontal="center" vertical="center" wrapText="1"/>
    </xf>
    <xf numFmtId="301" fontId="200" fillId="0" borderId="50" xfId="0" applyNumberFormat="1" applyFont="1" applyBorder="1" applyAlignment="1">
      <alignment horizontal="right" vertical="center" wrapText="1"/>
    </xf>
    <xf numFmtId="301" fontId="200" fillId="0" borderId="50" xfId="1532" applyNumberFormat="1" applyFont="1" applyFill="1" applyBorder="1" applyAlignment="1">
      <alignment horizontal="right" vertical="center"/>
    </xf>
    <xf numFmtId="301" fontId="200" fillId="0" borderId="48" xfId="0" applyNumberFormat="1" applyFont="1" applyBorder="1" applyAlignment="1">
      <alignment horizontal="left" vertical="center" wrapText="1" indent="1"/>
    </xf>
    <xf numFmtId="301" fontId="11" fillId="0" borderId="0" xfId="0" applyNumberFormat="1" applyFont="1">
      <alignment vertical="center"/>
    </xf>
    <xf numFmtId="301" fontId="200" fillId="0" borderId="8" xfId="0" applyNumberFormat="1" applyFont="1" applyBorder="1" applyAlignment="1">
      <alignment horizontal="center" vertical="center" wrapText="1"/>
    </xf>
    <xf numFmtId="301" fontId="200" fillId="0" borderId="52" xfId="0" applyNumberFormat="1" applyFont="1" applyBorder="1" applyAlignment="1">
      <alignment horizontal="left" vertical="center" wrapText="1"/>
    </xf>
    <xf numFmtId="301" fontId="200" fillId="0" borderId="24" xfId="0" applyNumberFormat="1" applyFont="1" applyBorder="1" applyAlignment="1">
      <alignment horizontal="right" vertical="center"/>
    </xf>
    <xf numFmtId="301" fontId="200" fillId="0" borderId="50" xfId="0" applyNumberFormat="1" applyFont="1" applyBorder="1" applyAlignment="1">
      <alignment horizontal="right" vertical="center"/>
    </xf>
    <xf numFmtId="301" fontId="200" fillId="0" borderId="49" xfId="0" applyNumberFormat="1" applyFont="1" applyBorder="1" applyAlignment="1">
      <alignment horizontal="right" vertical="center"/>
    </xf>
    <xf numFmtId="301" fontId="200" fillId="0" borderId="53" xfId="0" applyNumberFormat="1" applyFont="1" applyBorder="1" applyAlignment="1">
      <alignment horizontal="right" vertical="center"/>
    </xf>
    <xf numFmtId="301" fontId="208" fillId="0" borderId="0" xfId="0" applyNumberFormat="1" applyFont="1" applyAlignment="1">
      <alignment horizontal="left" vertical="center"/>
    </xf>
    <xf numFmtId="301" fontId="208" fillId="0" borderId="0" xfId="0" applyNumberFormat="1" applyFont="1" applyAlignment="1">
      <alignment horizontal="right" vertical="center"/>
    </xf>
    <xf numFmtId="301" fontId="195" fillId="45" borderId="60" xfId="0" applyNumberFormat="1" applyFont="1" applyFill="1" applyBorder="1" applyAlignment="1">
      <alignment horizontal="center" vertical="center"/>
    </xf>
    <xf numFmtId="301" fontId="195" fillId="45" borderId="61" xfId="0" applyNumberFormat="1" applyFont="1" applyFill="1" applyBorder="1" applyAlignment="1">
      <alignment horizontal="center" vertical="center"/>
    </xf>
    <xf numFmtId="301" fontId="224" fillId="45" borderId="43" xfId="0" applyNumberFormat="1" applyFont="1" applyFill="1" applyBorder="1" applyAlignment="1">
      <alignment horizontal="centerContinuous" vertical="center"/>
    </xf>
    <xf numFmtId="301" fontId="224" fillId="45" borderId="41" xfId="0" applyNumberFormat="1" applyFont="1" applyFill="1" applyBorder="1" applyAlignment="1">
      <alignment horizontal="centerContinuous" vertical="center"/>
    </xf>
    <xf numFmtId="301" fontId="224" fillId="45" borderId="8" xfId="0" applyNumberFormat="1" applyFont="1" applyFill="1" applyBorder="1" applyAlignment="1">
      <alignment horizontal="center" vertical="center"/>
    </xf>
    <xf numFmtId="301" fontId="200" fillId="0" borderId="77" xfId="0" applyNumberFormat="1" applyFont="1" applyBorder="1" applyAlignment="1">
      <alignment horizontal="left" vertical="center"/>
    </xf>
    <xf numFmtId="301" fontId="200" fillId="0" borderId="97" xfId="0" applyNumberFormat="1" applyFont="1" applyBorder="1" applyAlignment="1">
      <alignment horizontal="right" vertical="center"/>
    </xf>
    <xf numFmtId="301" fontId="200" fillId="0" borderId="88" xfId="0" applyNumberFormat="1" applyFont="1" applyBorder="1" applyAlignment="1">
      <alignment horizontal="right" vertical="center"/>
    </xf>
    <xf numFmtId="301" fontId="200" fillId="0" borderId="51" xfId="0" applyNumberFormat="1" applyFont="1" applyBorder="1" applyAlignment="1">
      <alignment horizontal="right" vertical="center"/>
    </xf>
    <xf numFmtId="0" fontId="226" fillId="0" borderId="103" xfId="0" applyFont="1" applyBorder="1" applyAlignment="1">
      <alignment vertical="top" wrapText="1"/>
    </xf>
    <xf numFmtId="0" fontId="226" fillId="0" borderId="0" xfId="0" applyFont="1" applyAlignment="1">
      <alignment horizontal="justify" vertical="center" wrapText="1"/>
    </xf>
    <xf numFmtId="0" fontId="227" fillId="0" borderId="0" xfId="0" applyFont="1">
      <alignment vertical="center"/>
    </xf>
    <xf numFmtId="0" fontId="228" fillId="45" borderId="107" xfId="0" applyFont="1" applyFill="1" applyBorder="1" applyAlignment="1">
      <alignment horizontal="centerContinuous" vertical="center" wrapText="1"/>
    </xf>
    <xf numFmtId="0" fontId="228" fillId="45" borderId="108" xfId="0" applyFont="1" applyFill="1" applyBorder="1" applyAlignment="1">
      <alignment horizontal="centerContinuous" vertical="center" wrapText="1"/>
    </xf>
    <xf numFmtId="0" fontId="228" fillId="45" borderId="109" xfId="0" applyFont="1" applyFill="1" applyBorder="1" applyAlignment="1">
      <alignment horizontal="centerContinuous" vertical="center" wrapText="1"/>
    </xf>
    <xf numFmtId="0" fontId="228" fillId="45" borderId="112" xfId="0" applyFont="1" applyFill="1" applyBorder="1" applyAlignment="1">
      <alignment horizontal="center" vertical="center"/>
    </xf>
    <xf numFmtId="0" fontId="229" fillId="0" borderId="0" xfId="0" applyFont="1">
      <alignment vertical="center"/>
    </xf>
    <xf numFmtId="0" fontId="230" fillId="0" borderId="0" xfId="0" applyFont="1">
      <alignment vertical="center"/>
    </xf>
    <xf numFmtId="0" fontId="230" fillId="0" borderId="8" xfId="0" applyFont="1" applyBorder="1" applyAlignment="1">
      <alignment vertical="top" wrapText="1"/>
    </xf>
    <xf numFmtId="176" fontId="230" fillId="0" borderId="8" xfId="0" applyNumberFormat="1" applyFont="1" applyBorder="1">
      <alignment vertical="center"/>
    </xf>
    <xf numFmtId="0" fontId="230" fillId="0" borderId="8" xfId="0" applyFont="1" applyBorder="1" applyAlignment="1">
      <alignment horizontal="left" vertical="top" wrapText="1" indent="1"/>
    </xf>
    <xf numFmtId="176" fontId="219" fillId="0" borderId="8" xfId="0" applyNumberFormat="1" applyFont="1" applyBorder="1">
      <alignment vertical="center"/>
    </xf>
    <xf numFmtId="0" fontId="230" fillId="41" borderId="8" xfId="0" applyFont="1" applyFill="1" applyBorder="1">
      <alignment vertical="center"/>
    </xf>
    <xf numFmtId="176" fontId="230" fillId="41" borderId="8" xfId="0" applyNumberFormat="1" applyFont="1" applyFill="1" applyBorder="1">
      <alignment vertical="center"/>
    </xf>
    <xf numFmtId="176" fontId="230" fillId="0" borderId="0" xfId="0" applyNumberFormat="1" applyFont="1">
      <alignment vertical="center"/>
    </xf>
    <xf numFmtId="41" fontId="230" fillId="0" borderId="0" xfId="1498" applyFont="1">
      <alignment vertical="center"/>
    </xf>
    <xf numFmtId="0" fontId="230" fillId="0" borderId="0" xfId="0" applyFont="1" applyAlignment="1">
      <alignment vertical="top" wrapText="1"/>
    </xf>
    <xf numFmtId="301" fontId="200" fillId="0" borderId="53" xfId="0" applyNumberFormat="1" applyFont="1" applyBorder="1" applyAlignment="1">
      <alignment horizontal="right" vertical="center" wrapText="1"/>
    </xf>
    <xf numFmtId="301" fontId="195" fillId="45" borderId="60" xfId="0" applyNumberFormat="1" applyFont="1" applyFill="1" applyBorder="1" applyAlignment="1">
      <alignment horizontal="center" vertical="center" wrapText="1"/>
    </xf>
    <xf numFmtId="301" fontId="195" fillId="45" borderId="61" xfId="0" applyNumberFormat="1" applyFont="1" applyFill="1" applyBorder="1" applyAlignment="1">
      <alignment horizontal="center" vertical="center" wrapText="1"/>
    </xf>
    <xf numFmtId="301" fontId="195" fillId="45" borderId="62" xfId="0" applyNumberFormat="1" applyFont="1" applyFill="1" applyBorder="1" applyAlignment="1">
      <alignment horizontal="center" vertical="center" wrapText="1"/>
    </xf>
    <xf numFmtId="301" fontId="223" fillId="0" borderId="0" xfId="0" applyNumberFormat="1" applyFont="1" applyAlignment="1">
      <alignment horizontal="center" vertical="center"/>
    </xf>
    <xf numFmtId="301" fontId="200" fillId="0" borderId="0" xfId="1498" applyNumberFormat="1" applyFont="1" applyAlignment="1">
      <alignment vertical="center"/>
    </xf>
    <xf numFmtId="301" fontId="200" fillId="0" borderId="0" xfId="1458" applyNumberFormat="1" applyFont="1" applyAlignment="1">
      <alignment vertical="center"/>
    </xf>
    <xf numFmtId="301" fontId="200" fillId="0" borderId="0" xfId="1498" applyNumberFormat="1" applyFont="1" applyFill="1" applyAlignment="1">
      <alignment vertical="center"/>
    </xf>
    <xf numFmtId="301" fontId="207" fillId="0" borderId="0" xfId="0" applyNumberFormat="1" applyFont="1">
      <alignment vertical="center"/>
    </xf>
    <xf numFmtId="301" fontId="200" fillId="0" borderId="0" xfId="0" applyNumberFormat="1" applyFont="1" applyAlignment="1">
      <alignment horizontal="left" vertical="center" wrapText="1"/>
    </xf>
    <xf numFmtId="0" fontId="223" fillId="0" borderId="8" xfId="0" applyFont="1" applyBorder="1">
      <alignment vertical="center"/>
    </xf>
    <xf numFmtId="301" fontId="223" fillId="0" borderId="8" xfId="0" applyNumberFormat="1" applyFont="1" applyBorder="1">
      <alignment vertical="center"/>
    </xf>
    <xf numFmtId="301" fontId="200" fillId="0" borderId="0" xfId="1498" applyNumberFormat="1" applyFont="1">
      <alignment vertical="center"/>
    </xf>
    <xf numFmtId="178" fontId="200" fillId="0" borderId="0" xfId="0" applyNumberFormat="1" applyFont="1" applyAlignment="1">
      <alignment horizontal="right" vertical="center" wrapText="1"/>
    </xf>
    <xf numFmtId="301" fontId="223" fillId="0" borderId="0" xfId="0" applyNumberFormat="1" applyFont="1" applyAlignment="1">
      <alignment horizontal="justify" vertical="center"/>
    </xf>
    <xf numFmtId="301" fontId="200" fillId="0" borderId="0" xfId="0" quotePrefix="1" applyNumberFormat="1" applyFont="1" applyAlignment="1">
      <alignment horizontal="justify" vertical="center"/>
    </xf>
    <xf numFmtId="301" fontId="200" fillId="0" borderId="8" xfId="1498" applyNumberFormat="1" applyFont="1" applyFill="1" applyBorder="1" applyAlignment="1">
      <alignment horizontal="right" vertical="center" wrapText="1"/>
    </xf>
    <xf numFmtId="301" fontId="200" fillId="40" borderId="0" xfId="1498" applyNumberFormat="1" applyFont="1" applyFill="1" applyAlignment="1">
      <alignment vertical="center"/>
    </xf>
    <xf numFmtId="301" fontId="200" fillId="0" borderId="0" xfId="0" applyNumberFormat="1" applyFont="1" applyAlignment="1">
      <alignment horizontal="center" vertical="center" wrapText="1"/>
    </xf>
    <xf numFmtId="301" fontId="200" fillId="0" borderId="0" xfId="1498" applyNumberFormat="1" applyFont="1" applyFill="1" applyBorder="1" applyAlignment="1">
      <alignment horizontal="right" vertical="center" wrapText="1"/>
    </xf>
    <xf numFmtId="301" fontId="195" fillId="45" borderId="24" xfId="0" applyNumberFormat="1" applyFont="1" applyFill="1" applyBorder="1" applyAlignment="1">
      <alignment horizontal="center" vertical="center" wrapText="1"/>
    </xf>
    <xf numFmtId="301" fontId="195" fillId="45" borderId="63" xfId="0" applyNumberFormat="1" applyFont="1" applyFill="1" applyBorder="1" applyAlignment="1">
      <alignment horizontal="centerContinuous" vertical="center" wrapText="1"/>
    </xf>
    <xf numFmtId="301" fontId="195" fillId="45" borderId="100" xfId="0" applyNumberFormat="1" applyFont="1" applyFill="1" applyBorder="1" applyAlignment="1">
      <alignment horizontal="centerContinuous" vertical="center" wrapText="1"/>
    </xf>
    <xf numFmtId="301" fontId="195" fillId="45" borderId="101" xfId="0" applyNumberFormat="1" applyFont="1" applyFill="1" applyBorder="1" applyAlignment="1">
      <alignment horizontal="centerContinuous" vertical="center" wrapText="1"/>
    </xf>
    <xf numFmtId="301" fontId="195" fillId="45" borderId="8" xfId="0" applyNumberFormat="1" applyFont="1" applyFill="1" applyBorder="1" applyAlignment="1">
      <alignment horizontal="center" vertical="center" wrapText="1"/>
    </xf>
    <xf numFmtId="301" fontId="200" fillId="0" borderId="77" xfId="0" applyNumberFormat="1" applyFont="1" applyBorder="1" applyAlignment="1">
      <alignment horizontal="left" vertical="center" wrapText="1"/>
    </xf>
    <xf numFmtId="301" fontId="200" fillId="0" borderId="102" xfId="0" applyNumberFormat="1" applyFont="1" applyBorder="1" applyAlignment="1">
      <alignment horizontal="left" vertical="center" wrapText="1"/>
    </xf>
    <xf numFmtId="301" fontId="200" fillId="0" borderId="83" xfId="0" applyNumberFormat="1" applyFont="1" applyBorder="1" applyAlignment="1">
      <alignment horizontal="center" vertical="center" wrapText="1"/>
    </xf>
    <xf numFmtId="301" fontId="200" fillId="0" borderId="8" xfId="0" applyNumberFormat="1" applyFont="1" applyBorder="1" applyAlignment="1">
      <alignment horizontal="right" vertical="center" wrapText="1"/>
    </xf>
    <xf numFmtId="301" fontId="200" fillId="0" borderId="28" xfId="0" applyNumberFormat="1" applyFont="1" applyBorder="1">
      <alignment vertical="center"/>
    </xf>
    <xf numFmtId="301" fontId="223" fillId="0" borderId="28" xfId="0" applyNumberFormat="1" applyFont="1" applyBorder="1">
      <alignment vertical="center"/>
    </xf>
    <xf numFmtId="301" fontId="200" fillId="0" borderId="0" xfId="0" applyNumberFormat="1" applyFont="1" applyAlignment="1">
      <alignment horizontal="left" vertical="center"/>
    </xf>
    <xf numFmtId="301" fontId="200" fillId="0" borderId="49" xfId="0" applyNumberFormat="1" applyFont="1" applyBorder="1" applyAlignment="1">
      <alignment horizontal="right" vertical="center" wrapText="1"/>
    </xf>
    <xf numFmtId="301" fontId="200" fillId="0" borderId="47" xfId="0" applyNumberFormat="1" applyFont="1" applyBorder="1" applyAlignment="1">
      <alignment horizontal="left" vertical="center" wrapText="1"/>
    </xf>
    <xf numFmtId="301" fontId="200" fillId="0" borderId="66" xfId="0" applyNumberFormat="1" applyFont="1" applyBorder="1" applyAlignment="1">
      <alignment horizontal="right" vertical="center" wrapText="1"/>
    </xf>
    <xf numFmtId="301" fontId="200" fillId="0" borderId="67" xfId="0" applyNumberFormat="1" applyFont="1" applyBorder="1" applyAlignment="1">
      <alignment horizontal="left" vertical="center" wrapText="1"/>
    </xf>
    <xf numFmtId="301" fontId="200" fillId="0" borderId="65" xfId="1498" applyNumberFormat="1" applyFont="1" applyFill="1" applyBorder="1" applyAlignment="1">
      <alignment horizontal="right" vertical="center" wrapText="1"/>
    </xf>
    <xf numFmtId="301" fontId="200" fillId="0" borderId="65" xfId="0" applyNumberFormat="1" applyFont="1" applyBorder="1" applyAlignment="1">
      <alignment horizontal="right" vertical="center" wrapText="1"/>
    </xf>
    <xf numFmtId="301" fontId="200" fillId="0" borderId="68" xfId="0" applyNumberFormat="1" applyFont="1" applyBorder="1" applyAlignment="1">
      <alignment horizontal="center" vertical="center" wrapText="1"/>
    </xf>
    <xf numFmtId="301" fontId="200" fillId="0" borderId="69" xfId="1498" applyNumberFormat="1" applyFont="1" applyFill="1" applyBorder="1" applyAlignment="1">
      <alignment horizontal="right" vertical="center" wrapText="1"/>
    </xf>
    <xf numFmtId="301" fontId="200" fillId="0" borderId="69" xfId="0" applyNumberFormat="1" applyFont="1" applyBorder="1" applyAlignment="1">
      <alignment horizontal="right" vertical="center" wrapText="1"/>
    </xf>
    <xf numFmtId="301" fontId="200" fillId="0" borderId="0" xfId="0" applyNumberFormat="1" applyFont="1" applyAlignment="1">
      <alignment horizontal="justify" vertical="center"/>
    </xf>
    <xf numFmtId="301" fontId="200" fillId="0" borderId="0" xfId="1498" applyNumberFormat="1" applyFont="1" applyFill="1" applyBorder="1" applyAlignment="1">
      <alignment vertical="center"/>
    </xf>
    <xf numFmtId="301" fontId="200" fillId="0" borderId="64" xfId="0" applyNumberFormat="1" applyFont="1" applyBorder="1" applyAlignment="1">
      <alignment horizontal="left" vertical="center" wrapText="1"/>
    </xf>
    <xf numFmtId="301" fontId="200" fillId="0" borderId="71" xfId="0" applyNumberFormat="1" applyFont="1" applyBorder="1" applyAlignment="1">
      <alignment horizontal="right" vertical="center" wrapText="1"/>
    </xf>
    <xf numFmtId="301" fontId="200" fillId="0" borderId="72" xfId="0" applyNumberFormat="1" applyFont="1" applyBorder="1" applyAlignment="1">
      <alignment horizontal="right" vertical="center" wrapText="1"/>
    </xf>
    <xf numFmtId="301" fontId="195" fillId="52" borderId="86" xfId="0" applyNumberFormat="1" applyFont="1" applyFill="1" applyBorder="1" applyAlignment="1">
      <alignment horizontal="centerContinuous" vertical="center" wrapText="1"/>
    </xf>
    <xf numFmtId="301" fontId="195" fillId="52" borderId="87" xfId="0" applyNumberFormat="1" applyFont="1" applyFill="1" applyBorder="1" applyAlignment="1">
      <alignment horizontal="centerContinuous" vertical="center" wrapText="1"/>
    </xf>
    <xf numFmtId="301" fontId="195" fillId="52" borderId="94" xfId="0" applyNumberFormat="1" applyFont="1" applyFill="1" applyBorder="1" applyAlignment="1">
      <alignment horizontal="centerContinuous" vertical="center" wrapText="1"/>
    </xf>
    <xf numFmtId="301" fontId="195" fillId="52" borderId="24" xfId="0" applyNumberFormat="1" applyFont="1" applyFill="1" applyBorder="1" applyAlignment="1">
      <alignment horizontal="center" vertical="center" wrapText="1"/>
    </xf>
    <xf numFmtId="301" fontId="195" fillId="52" borderId="66" xfId="0" applyNumberFormat="1" applyFont="1" applyFill="1" applyBorder="1" applyAlignment="1">
      <alignment horizontal="center" vertical="center" wrapText="1"/>
    </xf>
    <xf numFmtId="301" fontId="195" fillId="52" borderId="60" xfId="0" applyNumberFormat="1" applyFont="1" applyFill="1" applyBorder="1" applyAlignment="1">
      <alignment horizontal="center" vertical="center" wrapText="1"/>
    </xf>
    <xf numFmtId="301" fontId="195" fillId="52" borderId="70" xfId="0" applyNumberFormat="1" applyFont="1" applyFill="1" applyBorder="1" applyAlignment="1">
      <alignment horizontal="center" vertical="center" wrapText="1"/>
    </xf>
    <xf numFmtId="301" fontId="195" fillId="52" borderId="62" xfId="0" applyNumberFormat="1" applyFont="1" applyFill="1" applyBorder="1" applyAlignment="1">
      <alignment horizontal="center" vertical="center" wrapText="1"/>
    </xf>
    <xf numFmtId="301" fontId="200" fillId="0" borderId="115" xfId="0" applyNumberFormat="1" applyFont="1" applyBorder="1" applyAlignment="1">
      <alignment horizontal="right" vertical="center" wrapText="1"/>
    </xf>
    <xf numFmtId="301" fontId="223" fillId="0" borderId="0" xfId="0" applyNumberFormat="1" applyFont="1" applyAlignment="1">
      <alignment horizontal="right" vertical="center"/>
    </xf>
    <xf numFmtId="0" fontId="223" fillId="0" borderId="8" xfId="0" applyFont="1" applyBorder="1" applyAlignment="1">
      <alignment horizontal="center" vertical="center"/>
    </xf>
    <xf numFmtId="0" fontId="224" fillId="52" borderId="8" xfId="0" applyFont="1" applyFill="1" applyBorder="1" applyAlignment="1">
      <alignment horizontal="center" vertical="center"/>
    </xf>
    <xf numFmtId="301" fontId="200" fillId="0" borderId="73" xfId="0" applyNumberFormat="1" applyFont="1" applyBorder="1" applyAlignment="1">
      <alignment horizontal="right" vertical="center" wrapText="1"/>
    </xf>
    <xf numFmtId="301" fontId="11" fillId="0" borderId="0" xfId="1498" applyNumberFormat="1" applyFont="1" applyFill="1" applyAlignment="1">
      <alignment vertical="center"/>
    </xf>
    <xf numFmtId="301" fontId="200" fillId="0" borderId="66" xfId="1498" applyNumberFormat="1" applyFont="1" applyFill="1" applyBorder="1" applyAlignment="1">
      <alignment horizontal="right" vertical="center" wrapText="1"/>
    </xf>
    <xf numFmtId="301" fontId="200" fillId="0" borderId="73" xfId="1498" applyNumberFormat="1" applyFont="1" applyFill="1" applyBorder="1" applyAlignment="1">
      <alignment horizontal="right" vertical="center" wrapText="1"/>
    </xf>
    <xf numFmtId="301" fontId="233" fillId="0" borderId="0" xfId="0" applyNumberFormat="1" applyFont="1" applyAlignment="1">
      <alignment horizontal="left" vertical="center"/>
    </xf>
    <xf numFmtId="301" fontId="233" fillId="0" borderId="0" xfId="1498" applyNumberFormat="1" applyFont="1" applyFill="1" applyBorder="1" applyAlignment="1">
      <alignment horizontal="right" vertical="center" wrapText="1"/>
    </xf>
    <xf numFmtId="301" fontId="233" fillId="0" borderId="0" xfId="0" applyNumberFormat="1" applyFont="1" applyAlignment="1">
      <alignment horizontal="right" vertical="center" wrapText="1"/>
    </xf>
    <xf numFmtId="301" fontId="233" fillId="0" borderId="0" xfId="0" applyNumberFormat="1" applyFont="1" applyAlignment="1">
      <alignment horizontal="center" vertical="center" wrapText="1"/>
    </xf>
    <xf numFmtId="301" fontId="233" fillId="0" borderId="52" xfId="0" applyNumberFormat="1" applyFont="1" applyBorder="1" applyAlignment="1">
      <alignment horizontal="center" vertical="center" wrapText="1"/>
    </xf>
    <xf numFmtId="301" fontId="233" fillId="0" borderId="0" xfId="1498" applyNumberFormat="1" applyFont="1" applyFill="1" applyBorder="1" applyAlignment="1">
      <alignment horizontal="center" vertical="center" wrapText="1"/>
    </xf>
    <xf numFmtId="301" fontId="233" fillId="0" borderId="0" xfId="0" applyNumberFormat="1" applyFont="1">
      <alignment vertical="center"/>
    </xf>
    <xf numFmtId="301" fontId="233" fillId="0" borderId="0" xfId="0" applyNumberFormat="1" applyFont="1" applyAlignment="1">
      <alignment horizontal="left" vertical="center" wrapText="1"/>
    </xf>
    <xf numFmtId="301" fontId="233" fillId="0" borderId="8" xfId="0" applyNumberFormat="1" applyFont="1" applyBorder="1" applyAlignment="1">
      <alignment horizontal="center" vertical="center" wrapText="1"/>
    </xf>
    <xf numFmtId="301" fontId="233" fillId="0" borderId="8" xfId="1498" applyNumberFormat="1" applyFont="1" applyFill="1" applyBorder="1" applyAlignment="1">
      <alignment horizontal="right" vertical="center" wrapText="1"/>
    </xf>
    <xf numFmtId="301" fontId="233" fillId="0" borderId="20" xfId="0" applyNumberFormat="1" applyFont="1" applyBorder="1" applyAlignment="1">
      <alignment horizontal="center" vertical="center" wrapText="1"/>
    </xf>
    <xf numFmtId="301" fontId="233" fillId="0" borderId="20" xfId="1498" applyNumberFormat="1" applyFont="1" applyFill="1" applyBorder="1" applyAlignment="1">
      <alignment horizontal="center" vertical="center" wrapText="1"/>
    </xf>
    <xf numFmtId="301" fontId="233" fillId="0" borderId="50" xfId="0" applyNumberFormat="1" applyFont="1" applyBorder="1" applyAlignment="1">
      <alignment horizontal="center" vertical="center" wrapText="1"/>
    </xf>
    <xf numFmtId="301" fontId="233" fillId="0" borderId="50" xfId="1498" applyNumberFormat="1" applyFont="1" applyBorder="1" applyAlignment="1">
      <alignment horizontal="right" vertical="center" wrapText="1"/>
    </xf>
    <xf numFmtId="14" fontId="223" fillId="0" borderId="0" xfId="0" applyNumberFormat="1" applyFont="1" applyAlignment="1">
      <alignment horizontal="center" vertical="center"/>
    </xf>
    <xf numFmtId="306" fontId="223" fillId="0" borderId="0" xfId="0" applyNumberFormat="1" applyFont="1">
      <alignment vertical="center"/>
    </xf>
    <xf numFmtId="306" fontId="223" fillId="0" borderId="0" xfId="0" applyNumberFormat="1" applyFont="1" applyAlignment="1">
      <alignment horizontal="center" vertical="center"/>
    </xf>
    <xf numFmtId="307" fontId="233" fillId="0" borderId="53" xfId="0" applyNumberFormat="1" applyFont="1" applyBorder="1" applyAlignment="1">
      <alignment horizontal="center" vertical="center" wrapText="1"/>
    </xf>
    <xf numFmtId="14" fontId="223" fillId="43" borderId="0" xfId="0" applyNumberFormat="1" applyFont="1" applyFill="1" applyAlignment="1">
      <alignment horizontal="center" vertical="center"/>
    </xf>
    <xf numFmtId="301" fontId="234" fillId="52" borderId="60" xfId="0" applyNumberFormat="1" applyFont="1" applyFill="1" applyBorder="1" applyAlignment="1">
      <alignment horizontal="center" vertical="center" wrapText="1"/>
    </xf>
    <xf numFmtId="301" fontId="234" fillId="52" borderId="61" xfId="0" applyNumberFormat="1" applyFont="1" applyFill="1" applyBorder="1" applyAlignment="1">
      <alignment horizontal="center" vertical="center" wrapText="1"/>
    </xf>
    <xf numFmtId="301" fontId="234" fillId="52" borderId="62" xfId="0" applyNumberFormat="1" applyFont="1" applyFill="1" applyBorder="1" applyAlignment="1">
      <alignment horizontal="center" vertical="center" wrapText="1"/>
    </xf>
    <xf numFmtId="301" fontId="234" fillId="52" borderId="8" xfId="0" applyNumberFormat="1" applyFont="1" applyFill="1" applyBorder="1" applyAlignment="1">
      <alignment horizontal="center" vertical="center" wrapText="1"/>
    </xf>
    <xf numFmtId="301" fontId="195" fillId="0" borderId="8" xfId="0" applyNumberFormat="1" applyFont="1" applyBorder="1" applyAlignment="1">
      <alignment horizontal="center" vertical="center" wrapText="1"/>
    </xf>
    <xf numFmtId="301" fontId="200" fillId="0" borderId="8" xfId="0" applyNumberFormat="1" applyFont="1" applyBorder="1" applyAlignment="1">
      <alignment horizontal="left" vertical="center" wrapText="1"/>
    </xf>
    <xf numFmtId="301" fontId="200" fillId="0" borderId="68" xfId="0" applyNumberFormat="1" applyFont="1" applyBorder="1" applyAlignment="1">
      <alignment horizontal="left" vertical="center" wrapText="1"/>
    </xf>
    <xf numFmtId="301" fontId="223" fillId="0" borderId="0" xfId="0" applyNumberFormat="1" applyFont="1" applyAlignment="1">
      <alignment horizontal="left" vertical="center"/>
    </xf>
    <xf numFmtId="301" fontId="195" fillId="52" borderId="8" xfId="0" applyNumberFormat="1" applyFont="1" applyFill="1" applyBorder="1" applyAlignment="1">
      <alignment horizontal="center" vertical="center" wrapText="1"/>
    </xf>
    <xf numFmtId="301" fontId="195" fillId="52" borderId="8" xfId="0" applyNumberFormat="1" applyFont="1" applyFill="1" applyBorder="1" applyAlignment="1">
      <alignment horizontal="centerContinuous" vertical="center" wrapText="1"/>
    </xf>
    <xf numFmtId="301" fontId="200" fillId="0" borderId="8" xfId="0" applyNumberFormat="1" applyFont="1" applyBorder="1" applyAlignment="1">
      <alignment horizontal="left" vertical="center"/>
    </xf>
    <xf numFmtId="301" fontId="200" fillId="0" borderId="8" xfId="0" applyNumberFormat="1" applyFont="1" applyBorder="1" applyAlignment="1">
      <alignment horizontal="center" vertical="center"/>
    </xf>
    <xf numFmtId="301" fontId="200" fillId="0" borderId="8" xfId="0" applyNumberFormat="1" applyFont="1" applyBorder="1" applyAlignment="1">
      <alignment horizontal="right" vertical="center"/>
    </xf>
    <xf numFmtId="301" fontId="200" fillId="0" borderId="8" xfId="1498" applyNumberFormat="1" applyFont="1" applyFill="1" applyBorder="1" applyAlignment="1">
      <alignment horizontal="right" vertical="center"/>
    </xf>
    <xf numFmtId="9" fontId="200" fillId="0" borderId="8" xfId="1458" applyFont="1" applyBorder="1" applyAlignment="1">
      <alignment horizontal="right" vertical="center"/>
    </xf>
    <xf numFmtId="301" fontId="195" fillId="52" borderId="74" xfId="0" applyNumberFormat="1" applyFont="1" applyFill="1" applyBorder="1" applyAlignment="1">
      <alignment horizontal="center" vertical="center" wrapText="1"/>
    </xf>
    <xf numFmtId="301" fontId="195" fillId="52" borderId="75" xfId="0" applyNumberFormat="1" applyFont="1" applyFill="1" applyBorder="1" applyAlignment="1">
      <alignment horizontal="center" vertical="center" wrapText="1"/>
    </xf>
    <xf numFmtId="301" fontId="195" fillId="52" borderId="76" xfId="0" applyNumberFormat="1" applyFont="1" applyFill="1" applyBorder="1" applyAlignment="1">
      <alignment horizontal="center" vertical="center" wrapText="1"/>
    </xf>
    <xf numFmtId="301" fontId="200" fillId="0" borderId="0" xfId="0" applyNumberFormat="1" applyFont="1" applyAlignment="1">
      <alignment horizontal="right" vertical="center"/>
    </xf>
    <xf numFmtId="0" fontId="224" fillId="52" borderId="8" xfId="0" applyFont="1" applyFill="1" applyBorder="1" applyAlignment="1">
      <alignment horizontal="centerContinuous" vertical="center"/>
    </xf>
    <xf numFmtId="301" fontId="224" fillId="52" borderId="8" xfId="0" applyNumberFormat="1" applyFont="1" applyFill="1" applyBorder="1" applyAlignment="1">
      <alignment horizontal="centerContinuous" vertical="center"/>
    </xf>
    <xf numFmtId="301" fontId="195" fillId="52" borderId="8" xfId="0" applyNumberFormat="1" applyFont="1" applyFill="1" applyBorder="1" applyAlignment="1">
      <alignment horizontal="center" vertical="center"/>
    </xf>
    <xf numFmtId="301" fontId="235" fillId="0" borderId="0" xfId="0" applyNumberFormat="1" applyFont="1">
      <alignment vertical="center"/>
    </xf>
    <xf numFmtId="301" fontId="235" fillId="0" borderId="0" xfId="0" applyNumberFormat="1" applyFont="1" applyAlignment="1">
      <alignment horizontal="right" vertical="center"/>
    </xf>
    <xf numFmtId="301" fontId="200" fillId="0" borderId="49" xfId="1498" applyNumberFormat="1" applyFont="1" applyFill="1" applyBorder="1" applyAlignment="1">
      <alignment horizontal="right" vertical="center" wrapText="1"/>
    </xf>
    <xf numFmtId="14" fontId="223" fillId="0" borderId="8" xfId="0" applyNumberFormat="1" applyFont="1" applyBorder="1" applyAlignment="1">
      <alignment horizontal="center" vertical="center"/>
    </xf>
    <xf numFmtId="301" fontId="200" fillId="0" borderId="8" xfId="1498" applyNumberFormat="1" applyFont="1" applyFill="1" applyBorder="1" applyAlignment="1">
      <alignment vertical="center"/>
    </xf>
    <xf numFmtId="10" fontId="223" fillId="0" borderId="8" xfId="0" applyNumberFormat="1" applyFont="1" applyBorder="1">
      <alignment vertical="center"/>
    </xf>
    <xf numFmtId="301" fontId="224" fillId="52" borderId="8" xfId="0" applyNumberFormat="1" applyFont="1" applyFill="1" applyBorder="1" applyAlignment="1">
      <alignment horizontal="center" vertical="center"/>
    </xf>
    <xf numFmtId="0" fontId="224" fillId="45" borderId="8" xfId="0" applyFont="1" applyFill="1" applyBorder="1" applyAlignment="1">
      <alignment horizontal="centerContinuous" vertical="center"/>
    </xf>
    <xf numFmtId="301" fontId="195" fillId="45" borderId="8" xfId="0" applyNumberFormat="1" applyFont="1" applyFill="1" applyBorder="1" applyAlignment="1">
      <alignment horizontal="centerContinuous" vertical="center" wrapText="1"/>
    </xf>
    <xf numFmtId="301" fontId="224" fillId="45" borderId="8" xfId="0" applyNumberFormat="1" applyFont="1" applyFill="1" applyBorder="1">
      <alignment vertical="center"/>
    </xf>
    <xf numFmtId="301" fontId="195" fillId="45" borderId="8" xfId="1498" applyNumberFormat="1" applyFont="1" applyFill="1" applyBorder="1" applyAlignment="1">
      <alignment vertical="center"/>
    </xf>
    <xf numFmtId="301" fontId="200" fillId="0" borderId="0" xfId="0" applyNumberFormat="1" applyFont="1" applyAlignment="1">
      <alignment vertical="center" wrapText="1"/>
    </xf>
    <xf numFmtId="301" fontId="200" fillId="0" borderId="0" xfId="0" applyNumberFormat="1" applyFont="1" applyAlignment="1">
      <alignment horizontal="left" vertical="top" wrapText="1"/>
    </xf>
    <xf numFmtId="301" fontId="200" fillId="0" borderId="0" xfId="0" applyNumberFormat="1" applyFont="1" applyAlignment="1">
      <alignment horizontal="right" vertical="top" wrapText="1"/>
    </xf>
    <xf numFmtId="301" fontId="200" fillId="0" borderId="8" xfId="1498" applyNumberFormat="1" applyFont="1" applyBorder="1">
      <alignment vertical="center"/>
    </xf>
    <xf numFmtId="301" fontId="200" fillId="0" borderId="8" xfId="1498" applyNumberFormat="1" applyFont="1" applyFill="1" applyBorder="1">
      <alignment vertical="center"/>
    </xf>
    <xf numFmtId="301" fontId="200" fillId="0" borderId="0" xfId="0" applyNumberFormat="1" applyFont="1" applyAlignment="1">
      <alignment horizontal="left" vertical="center" indent="1"/>
    </xf>
    <xf numFmtId="301" fontId="200" fillId="0" borderId="0" xfId="1532" applyNumberFormat="1" applyFont="1" applyFill="1" applyAlignment="1">
      <alignment vertical="center"/>
    </xf>
    <xf numFmtId="301" fontId="223" fillId="0" borderId="0" xfId="0" applyNumberFormat="1" applyFont="1" applyAlignment="1">
      <alignment horizontal="left" vertical="center" indent="1"/>
    </xf>
    <xf numFmtId="0" fontId="223" fillId="0" borderId="43" xfId="0" applyFont="1" applyBorder="1">
      <alignment vertical="center"/>
    </xf>
    <xf numFmtId="0" fontId="223" fillId="0" borderId="14" xfId="0" applyFont="1" applyBorder="1">
      <alignment vertical="center"/>
    </xf>
    <xf numFmtId="0" fontId="223" fillId="0" borderId="41" xfId="0" applyFont="1" applyBorder="1">
      <alignment vertical="center"/>
    </xf>
    <xf numFmtId="301" fontId="200" fillId="0" borderId="88" xfId="0" applyNumberFormat="1" applyFont="1" applyBorder="1" applyAlignment="1">
      <alignment horizontal="centerContinuous" vertical="center" wrapText="1"/>
    </xf>
    <xf numFmtId="301" fontId="200" fillId="0" borderId="116" xfId="0" applyNumberFormat="1" applyFont="1" applyBorder="1" applyAlignment="1">
      <alignment horizontal="right" vertical="center" wrapText="1"/>
    </xf>
    <xf numFmtId="301" fontId="200" fillId="0" borderId="117" xfId="0" applyNumberFormat="1" applyFont="1" applyBorder="1" applyAlignment="1">
      <alignment horizontal="centerContinuous" vertical="center" wrapText="1"/>
    </xf>
    <xf numFmtId="301" fontId="200" fillId="0" borderId="78" xfId="1498" applyNumberFormat="1" applyFont="1" applyFill="1" applyBorder="1" applyAlignment="1">
      <alignment horizontal="right" vertical="center" wrapText="1"/>
    </xf>
    <xf numFmtId="301" fontId="200" fillId="0" borderId="79" xfId="1498" applyNumberFormat="1" applyFont="1" applyFill="1" applyBorder="1" applyAlignment="1">
      <alignment horizontal="right" vertical="center" wrapText="1"/>
    </xf>
    <xf numFmtId="301" fontId="200" fillId="0" borderId="45" xfId="1498" applyNumberFormat="1" applyFont="1" applyFill="1" applyBorder="1" applyAlignment="1">
      <alignment horizontal="right" vertical="center" wrapText="1"/>
    </xf>
    <xf numFmtId="301" fontId="200" fillId="0" borderId="50" xfId="1498" applyNumberFormat="1" applyFont="1" applyFill="1" applyBorder="1" applyAlignment="1">
      <alignment horizontal="right" vertical="center" wrapText="1"/>
    </xf>
    <xf numFmtId="301" fontId="223" fillId="0" borderId="8" xfId="0" applyNumberFormat="1" applyFont="1" applyBorder="1" applyAlignment="1">
      <alignment horizontal="right" vertical="center" wrapText="1"/>
    </xf>
    <xf numFmtId="10" fontId="200" fillId="0" borderId="8" xfId="1458" applyNumberFormat="1" applyFont="1" applyFill="1" applyBorder="1" applyAlignment="1">
      <alignment vertical="center"/>
    </xf>
    <xf numFmtId="301" fontId="200" fillId="0" borderId="0" xfId="1458" applyNumberFormat="1" applyFont="1" applyFill="1" applyAlignment="1">
      <alignment vertical="center"/>
    </xf>
    <xf numFmtId="301" fontId="200" fillId="0" borderId="56" xfId="1458" applyNumberFormat="1" applyFont="1" applyFill="1" applyBorder="1" applyAlignment="1">
      <alignment vertical="center"/>
    </xf>
    <xf numFmtId="301" fontId="200" fillId="0" borderId="11" xfId="1498" applyNumberFormat="1" applyFont="1" applyFill="1" applyBorder="1" applyAlignment="1">
      <alignment vertical="center"/>
    </xf>
    <xf numFmtId="301" fontId="200" fillId="0" borderId="58" xfId="1498" applyNumberFormat="1" applyFont="1" applyFill="1" applyBorder="1" applyAlignment="1">
      <alignment vertical="center"/>
    </xf>
    <xf numFmtId="301" fontId="200" fillId="0" borderId="80" xfId="1458" applyNumberFormat="1" applyFont="1" applyFill="1" applyBorder="1" applyAlignment="1">
      <alignment vertical="center"/>
    </xf>
    <xf numFmtId="301" fontId="200" fillId="0" borderId="81" xfId="1498" applyNumberFormat="1" applyFont="1" applyFill="1" applyBorder="1" applyAlignment="1">
      <alignment vertical="center"/>
    </xf>
    <xf numFmtId="301" fontId="200" fillId="0" borderId="8" xfId="1458" applyNumberFormat="1" applyFont="1" applyFill="1" applyBorder="1" applyAlignment="1">
      <alignment vertical="center"/>
    </xf>
    <xf numFmtId="301" fontId="223" fillId="0" borderId="80" xfId="0" applyNumberFormat="1" applyFont="1" applyBorder="1">
      <alignment vertical="center"/>
    </xf>
    <xf numFmtId="301" fontId="223" fillId="0" borderId="81" xfId="0" applyNumberFormat="1" applyFont="1" applyBorder="1">
      <alignment vertical="center"/>
    </xf>
    <xf numFmtId="301" fontId="200" fillId="0" borderId="57" xfId="1458" applyNumberFormat="1" applyFont="1" applyFill="1" applyBorder="1" applyAlignment="1">
      <alignment vertical="center"/>
    </xf>
    <xf numFmtId="301" fontId="223" fillId="0" borderId="15" xfId="0" applyNumberFormat="1" applyFont="1" applyBorder="1">
      <alignment vertical="center"/>
    </xf>
    <xf numFmtId="301" fontId="200" fillId="0" borderId="59" xfId="1498" applyNumberFormat="1" applyFont="1" applyFill="1" applyBorder="1" applyAlignment="1">
      <alignment vertical="center"/>
    </xf>
    <xf numFmtId="301" fontId="200" fillId="0" borderId="11" xfId="1458" applyNumberFormat="1" applyFont="1" applyFill="1" applyBorder="1" applyAlignment="1">
      <alignment vertical="center"/>
    </xf>
    <xf numFmtId="301" fontId="200" fillId="0" borderId="0" xfId="1458" applyNumberFormat="1" applyFont="1" applyFill="1" applyBorder="1" applyAlignment="1">
      <alignment vertical="center"/>
    </xf>
    <xf numFmtId="301" fontId="200" fillId="0" borderId="15" xfId="1458" applyNumberFormat="1" applyFont="1" applyFill="1" applyBorder="1" applyAlignment="1">
      <alignment vertical="center"/>
    </xf>
    <xf numFmtId="301" fontId="223" fillId="0" borderId="118" xfId="0" applyNumberFormat="1" applyFont="1" applyBorder="1" applyAlignment="1">
      <alignment horizontal="center" vertical="center"/>
    </xf>
    <xf numFmtId="308" fontId="223" fillId="0" borderId="0" xfId="0" applyNumberFormat="1" applyFont="1">
      <alignment vertical="center"/>
    </xf>
    <xf numFmtId="301" fontId="10" fillId="45" borderId="8" xfId="0" applyNumberFormat="1" applyFont="1" applyFill="1" applyBorder="1" applyAlignment="1">
      <alignment horizontal="center" vertical="center" wrapText="1"/>
    </xf>
    <xf numFmtId="301" fontId="236" fillId="45" borderId="8" xfId="0" applyNumberFormat="1" applyFont="1" applyFill="1" applyBorder="1" applyAlignment="1">
      <alignment horizontal="center" vertical="center"/>
    </xf>
    <xf numFmtId="301" fontId="230" fillId="0" borderId="0" xfId="0" applyNumberFormat="1" applyFont="1">
      <alignment vertical="center"/>
    </xf>
    <xf numFmtId="302" fontId="237" fillId="0" borderId="0" xfId="0" applyNumberFormat="1" applyFont="1">
      <alignment vertical="center"/>
    </xf>
    <xf numFmtId="301" fontId="237" fillId="0" borderId="0" xfId="0" applyNumberFormat="1" applyFont="1">
      <alignment vertical="center"/>
    </xf>
    <xf numFmtId="301" fontId="230" fillId="0" borderId="8" xfId="0" applyNumberFormat="1" applyFont="1" applyBorder="1" applyAlignment="1">
      <alignment horizontal="center" vertical="center"/>
    </xf>
    <xf numFmtId="301" fontId="230" fillId="0" borderId="43" xfId="0" applyNumberFormat="1" applyFont="1" applyBorder="1" applyAlignment="1">
      <alignment horizontal="center" vertical="center"/>
    </xf>
    <xf numFmtId="301" fontId="230" fillId="0" borderId="53" xfId="0" applyNumberFormat="1" applyFont="1" applyBorder="1" applyAlignment="1">
      <alignment horizontal="right" vertical="center" wrapText="1"/>
    </xf>
    <xf numFmtId="301" fontId="229" fillId="0" borderId="0" xfId="0" applyNumberFormat="1" applyFont="1">
      <alignment vertical="center"/>
    </xf>
    <xf numFmtId="301" fontId="230" fillId="0" borderId="50" xfId="0" applyNumberFormat="1" applyFont="1" applyBorder="1" applyAlignment="1">
      <alignment horizontal="right" vertical="center" wrapText="1"/>
    </xf>
    <xf numFmtId="301" fontId="230" fillId="0" borderId="8" xfId="0" applyNumberFormat="1" applyFont="1" applyBorder="1" applyAlignment="1">
      <alignment horizontal="right" vertical="center" wrapText="1"/>
    </xf>
    <xf numFmtId="301" fontId="230" fillId="0" borderId="43" xfId="0" applyNumberFormat="1" applyFont="1" applyBorder="1" applyAlignment="1">
      <alignment horizontal="centerContinuous" vertical="center"/>
    </xf>
    <xf numFmtId="301" fontId="230" fillId="0" borderId="14" xfId="0" applyNumberFormat="1" applyFont="1" applyBorder="1" applyAlignment="1">
      <alignment horizontal="centerContinuous" vertical="center"/>
    </xf>
    <xf numFmtId="301" fontId="229" fillId="45" borderId="8" xfId="0" applyNumberFormat="1" applyFont="1" applyFill="1" applyBorder="1" applyAlignment="1">
      <alignment horizontal="center" vertical="center"/>
    </xf>
    <xf numFmtId="301" fontId="229" fillId="45" borderId="93" xfId="0" applyNumberFormat="1" applyFont="1" applyFill="1" applyBorder="1" applyAlignment="1">
      <alignment horizontal="center" vertical="center" wrapText="1"/>
    </xf>
    <xf numFmtId="301" fontId="229" fillId="45" borderId="70" xfId="0" applyNumberFormat="1" applyFont="1" applyFill="1" applyBorder="1" applyAlignment="1">
      <alignment horizontal="center" vertical="center" wrapText="1"/>
    </xf>
    <xf numFmtId="301" fontId="229" fillId="45" borderId="24" xfId="0" applyNumberFormat="1" applyFont="1" applyFill="1" applyBorder="1" applyAlignment="1">
      <alignment horizontal="center" vertical="center" wrapText="1"/>
    </xf>
    <xf numFmtId="301" fontId="229" fillId="45" borderId="49" xfId="0" applyNumberFormat="1" applyFont="1" applyFill="1" applyBorder="1" applyAlignment="1">
      <alignment horizontal="center" vertical="center" wrapText="1"/>
    </xf>
    <xf numFmtId="301" fontId="229" fillId="45" borderId="63" xfId="0" applyNumberFormat="1" applyFont="1" applyFill="1" applyBorder="1" applyAlignment="1">
      <alignment horizontal="centerContinuous" vertical="center" wrapText="1"/>
    </xf>
    <xf numFmtId="301" fontId="229" fillId="45" borderId="89" xfId="0" applyNumberFormat="1" applyFont="1" applyFill="1" applyBorder="1" applyAlignment="1">
      <alignment horizontal="centerContinuous" vertical="center" wrapText="1"/>
    </xf>
    <xf numFmtId="301" fontId="230" fillId="0" borderId="77" xfId="0" applyNumberFormat="1" applyFont="1" applyBorder="1" applyAlignment="1">
      <alignment horizontal="left" vertical="center" wrapText="1"/>
    </xf>
    <xf numFmtId="301" fontId="230" fillId="0" borderId="97" xfId="0" applyNumberFormat="1" applyFont="1" applyBorder="1" applyAlignment="1">
      <alignment horizontal="left" vertical="center" wrapText="1"/>
    </xf>
    <xf numFmtId="301" fontId="230" fillId="0" borderId="88" xfId="0" applyNumberFormat="1" applyFont="1" applyBorder="1" applyAlignment="1">
      <alignment horizontal="left" vertical="center" wrapText="1"/>
    </xf>
    <xf numFmtId="301" fontId="230" fillId="0" borderId="48" xfId="0" applyNumberFormat="1" applyFont="1" applyBorder="1" applyAlignment="1">
      <alignment horizontal="center" vertical="center" wrapText="1"/>
    </xf>
    <xf numFmtId="301" fontId="230" fillId="0" borderId="24" xfId="0" applyNumberFormat="1" applyFont="1" applyBorder="1" applyAlignment="1">
      <alignment horizontal="center" vertical="center" wrapText="1"/>
    </xf>
    <xf numFmtId="301" fontId="230" fillId="0" borderId="83" xfId="0" applyNumberFormat="1" applyFont="1" applyBorder="1" applyAlignment="1">
      <alignment horizontal="centerContinuous" vertical="center" wrapText="1"/>
    </xf>
    <xf numFmtId="301" fontId="230" fillId="0" borderId="99" xfId="0" applyNumberFormat="1" applyFont="1" applyBorder="1" applyAlignment="1">
      <alignment horizontal="centerContinuous" vertical="center" wrapText="1"/>
    </xf>
    <xf numFmtId="301" fontId="230" fillId="0" borderId="82" xfId="0" applyNumberFormat="1" applyFont="1" applyBorder="1" applyAlignment="1">
      <alignment horizontal="centerContinuous" vertical="center" wrapText="1"/>
    </xf>
    <xf numFmtId="301" fontId="230" fillId="0" borderId="24" xfId="0" applyNumberFormat="1" applyFont="1" applyBorder="1" applyAlignment="1">
      <alignment horizontal="center" vertical="center"/>
    </xf>
    <xf numFmtId="301" fontId="230" fillId="0" borderId="52" xfId="0" applyNumberFormat="1" applyFont="1" applyBorder="1" applyAlignment="1">
      <alignment horizontal="center" vertical="center" wrapText="1"/>
    </xf>
    <xf numFmtId="301" fontId="229" fillId="45" borderId="60" xfId="0" applyNumberFormat="1" applyFont="1" applyFill="1" applyBorder="1" applyAlignment="1">
      <alignment horizontal="center" vertical="center" wrapText="1"/>
    </xf>
    <xf numFmtId="301" fontId="229" fillId="45" borderId="61" xfId="0" applyNumberFormat="1" applyFont="1" applyFill="1" applyBorder="1" applyAlignment="1">
      <alignment horizontal="center" vertical="center" wrapText="1"/>
    </xf>
    <xf numFmtId="301" fontId="229" fillId="45" borderId="62" xfId="0" applyNumberFormat="1" applyFont="1" applyFill="1" applyBorder="1" applyAlignment="1">
      <alignment horizontal="center" vertical="center" wrapText="1"/>
    </xf>
    <xf numFmtId="302" fontId="223" fillId="0" borderId="0" xfId="0" applyNumberFormat="1" applyFont="1" applyAlignment="1">
      <alignment horizontal="right" vertical="center"/>
    </xf>
    <xf numFmtId="301" fontId="195" fillId="45" borderId="74" xfId="0" applyNumberFormat="1" applyFont="1" applyFill="1" applyBorder="1" applyAlignment="1">
      <alignment horizontal="center" vertical="center" wrapText="1"/>
    </xf>
    <xf numFmtId="301" fontId="195" fillId="45" borderId="75" xfId="0" applyNumberFormat="1" applyFont="1" applyFill="1" applyBorder="1" applyAlignment="1">
      <alignment horizontal="center" vertical="center" wrapText="1"/>
    </xf>
    <xf numFmtId="0" fontId="223" fillId="45" borderId="8" xfId="0" applyFont="1" applyFill="1" applyBorder="1" applyAlignment="1">
      <alignment horizontal="center" vertical="center"/>
    </xf>
    <xf numFmtId="0" fontId="223" fillId="45" borderId="8" xfId="0" applyFont="1" applyFill="1" applyBorder="1" applyAlignment="1">
      <alignment horizontal="centerContinuous" vertical="center"/>
    </xf>
    <xf numFmtId="301" fontId="230" fillId="0" borderId="52" xfId="0" applyNumberFormat="1" applyFont="1" applyBorder="1" applyAlignment="1">
      <alignment horizontal="left" vertical="center" wrapText="1"/>
    </xf>
    <xf numFmtId="301" fontId="230" fillId="0" borderId="0" xfId="0" applyNumberFormat="1" applyFont="1" applyAlignment="1">
      <alignment horizontal="justify" vertical="center"/>
    </xf>
    <xf numFmtId="301" fontId="230" fillId="0" borderId="0" xfId="0" applyNumberFormat="1" applyFont="1" applyAlignment="1">
      <alignment horizontal="right" vertical="top" wrapText="1"/>
    </xf>
    <xf numFmtId="301" fontId="237" fillId="0" borderId="0" xfId="0" applyNumberFormat="1" applyFont="1" applyAlignment="1">
      <alignment horizontal="justify" vertical="center"/>
    </xf>
    <xf numFmtId="301" fontId="230" fillId="0" borderId="83" xfId="0" applyNumberFormat="1" applyFont="1" applyBorder="1" applyAlignment="1">
      <alignment horizontal="left" vertical="center" wrapText="1"/>
    </xf>
    <xf numFmtId="301" fontId="230" fillId="0" borderId="8" xfId="1498" applyNumberFormat="1" applyFont="1" applyBorder="1">
      <alignment vertical="center"/>
    </xf>
    <xf numFmtId="301" fontId="200" fillId="0" borderId="46" xfId="0" applyNumberFormat="1" applyFont="1" applyBorder="1" applyAlignment="1">
      <alignment horizontal="right" vertical="center" wrapText="1"/>
    </xf>
    <xf numFmtId="301" fontId="195" fillId="45" borderId="43" xfId="0" applyNumberFormat="1" applyFont="1" applyFill="1" applyBorder="1" applyAlignment="1">
      <alignment horizontal="centerContinuous" vertical="center" wrapText="1"/>
    </xf>
    <xf numFmtId="301" fontId="195" fillId="45" borderId="43" xfId="0" applyNumberFormat="1" applyFont="1" applyFill="1" applyBorder="1" applyAlignment="1">
      <alignment horizontal="center" vertical="center" wrapText="1"/>
    </xf>
    <xf numFmtId="301" fontId="200" fillId="0" borderId="83" xfId="0" applyNumberFormat="1" applyFont="1" applyBorder="1" applyAlignment="1">
      <alignment horizontal="left" vertical="center" wrapText="1"/>
    </xf>
    <xf numFmtId="301" fontId="200" fillId="0" borderId="8" xfId="1498" applyNumberFormat="1" applyFont="1" applyBorder="1" applyAlignment="1">
      <alignment horizontal="right" vertical="top" wrapText="1"/>
    </xf>
    <xf numFmtId="301" fontId="195" fillId="45" borderId="119" xfId="0" applyNumberFormat="1" applyFont="1" applyFill="1" applyBorder="1" applyAlignment="1">
      <alignment horizontal="center" vertical="center" wrapText="1"/>
    </xf>
    <xf numFmtId="301" fontId="195" fillId="45" borderId="93" xfId="0" applyNumberFormat="1" applyFont="1" applyFill="1" applyBorder="1" applyAlignment="1">
      <alignment horizontal="center" vertical="center"/>
    </xf>
    <xf numFmtId="301" fontId="195" fillId="45" borderId="90" xfId="0" applyNumberFormat="1" applyFont="1" applyFill="1" applyBorder="1" applyAlignment="1">
      <alignment horizontal="center" vertical="center"/>
    </xf>
    <xf numFmtId="301" fontId="200" fillId="0" borderId="77" xfId="0" applyNumberFormat="1" applyFont="1" applyBorder="1" applyAlignment="1">
      <alignment horizontal="center" vertical="center" wrapText="1"/>
    </xf>
    <xf numFmtId="301" fontId="200" fillId="0" borderId="92" xfId="0" applyNumberFormat="1" applyFont="1" applyBorder="1" applyAlignment="1">
      <alignment horizontal="left" vertical="center" wrapText="1"/>
    </xf>
    <xf numFmtId="301" fontId="195" fillId="45" borderId="8" xfId="0" applyNumberFormat="1" applyFont="1" applyFill="1" applyBorder="1" applyAlignment="1">
      <alignment horizontal="centerContinuous" vertical="center"/>
    </xf>
    <xf numFmtId="0" fontId="235" fillId="0" borderId="8" xfId="0" applyFont="1" applyBorder="1">
      <alignment vertical="center"/>
    </xf>
    <xf numFmtId="301" fontId="235" fillId="0" borderId="8" xfId="0" applyNumberFormat="1" applyFont="1" applyBorder="1">
      <alignment vertical="center"/>
    </xf>
    <xf numFmtId="0" fontId="235" fillId="0" borderId="0" xfId="0" applyFont="1">
      <alignment vertical="center"/>
    </xf>
    <xf numFmtId="301" fontId="195" fillId="0" borderId="0" xfId="0" applyNumberFormat="1" applyFont="1">
      <alignment vertical="center"/>
    </xf>
    <xf numFmtId="302" fontId="200" fillId="0" borderId="8" xfId="1498" applyNumberFormat="1" applyFont="1" applyFill="1" applyBorder="1" applyAlignment="1" applyProtection="1">
      <alignment vertical="center"/>
    </xf>
    <xf numFmtId="301" fontId="200" fillId="0" borderId="44" xfId="0" applyNumberFormat="1" applyFont="1" applyBorder="1" applyAlignment="1">
      <alignment horizontal="center" vertical="center" wrapText="1"/>
    </xf>
    <xf numFmtId="302" fontId="200" fillId="0" borderId="8" xfId="1498" applyNumberFormat="1" applyFont="1" applyBorder="1" applyAlignment="1">
      <alignment vertical="center" wrapText="1"/>
    </xf>
    <xf numFmtId="302" fontId="223" fillId="0" borderId="8" xfId="0" applyNumberFormat="1" applyFont="1" applyBorder="1">
      <alignment vertical="center"/>
    </xf>
    <xf numFmtId="9" fontId="200" fillId="0" borderId="53" xfId="0" applyNumberFormat="1" applyFont="1" applyBorder="1" applyAlignment="1">
      <alignment horizontal="right" vertical="center" wrapText="1"/>
    </xf>
    <xf numFmtId="301" fontId="195" fillId="52" borderId="49" xfId="0" applyNumberFormat="1" applyFont="1" applyFill="1" applyBorder="1" applyAlignment="1">
      <alignment horizontal="center" vertical="center" wrapText="1"/>
    </xf>
    <xf numFmtId="301" fontId="195" fillId="52" borderId="61" xfId="0" applyNumberFormat="1" applyFont="1" applyFill="1" applyBorder="1" applyAlignment="1">
      <alignment horizontal="center" vertical="center" wrapText="1"/>
    </xf>
    <xf numFmtId="301" fontId="228" fillId="45" borderId="106" xfId="0" applyNumberFormat="1" applyFont="1" applyFill="1" applyBorder="1" applyAlignment="1">
      <alignment horizontal="centerContinuous" vertical="center" wrapText="1"/>
    </xf>
    <xf numFmtId="301" fontId="200" fillId="0" borderId="48" xfId="0" applyNumberFormat="1" applyFont="1" applyBorder="1" applyAlignment="1">
      <alignment horizontal="center" vertical="center"/>
    </xf>
    <xf numFmtId="0" fontId="226" fillId="0" borderId="0" xfId="0" applyFont="1" applyAlignment="1">
      <alignment horizontal="left" vertical="center"/>
    </xf>
    <xf numFmtId="0" fontId="226" fillId="0" borderId="0" xfId="0" applyFont="1" applyAlignment="1">
      <alignment horizontal="right" vertical="center"/>
    </xf>
    <xf numFmtId="0" fontId="237" fillId="0" borderId="0" xfId="0" applyFont="1">
      <alignment vertical="center"/>
    </xf>
    <xf numFmtId="14" fontId="237" fillId="0" borderId="0" xfId="0" applyNumberFormat="1" applyFont="1">
      <alignment vertical="center"/>
    </xf>
    <xf numFmtId="0" fontId="226" fillId="53" borderId="8" xfId="0" applyFont="1" applyFill="1" applyBorder="1" applyAlignment="1">
      <alignment horizontal="center" vertical="center"/>
    </xf>
    <xf numFmtId="0" fontId="226" fillId="0" borderId="103" xfId="0" applyFont="1" applyBorder="1" applyAlignment="1">
      <alignment horizontal="center" vertical="center"/>
    </xf>
    <xf numFmtId="14" fontId="226" fillId="0" borderId="121" xfId="0" applyNumberFormat="1" applyFont="1" applyBorder="1" applyAlignment="1">
      <alignment horizontal="center" vertical="center"/>
    </xf>
    <xf numFmtId="0" fontId="226" fillId="0" borderId="121" xfId="0" applyFont="1" applyBorder="1" applyAlignment="1">
      <alignment horizontal="center" vertical="center"/>
    </xf>
    <xf numFmtId="302" fontId="226" fillId="0" borderId="8" xfId="0" applyNumberFormat="1" applyFont="1" applyBorder="1" applyAlignment="1">
      <alignment horizontal="right" vertical="center"/>
    </xf>
    <xf numFmtId="0" fontId="226" fillId="0" borderId="126" xfId="0" applyFont="1" applyBorder="1" applyAlignment="1">
      <alignment horizontal="center" vertical="center"/>
    </xf>
    <xf numFmtId="3" fontId="226" fillId="0" borderId="127" xfId="0" applyNumberFormat="1" applyFont="1" applyBorder="1" applyAlignment="1">
      <alignment horizontal="right" vertical="center"/>
    </xf>
    <xf numFmtId="0" fontId="226" fillId="0" borderId="103" xfId="0" applyFont="1" applyBorder="1" applyAlignment="1">
      <alignment horizontal="left" vertical="center"/>
    </xf>
    <xf numFmtId="309" fontId="226" fillId="0" borderId="121" xfId="0" applyNumberFormat="1" applyFont="1" applyBorder="1" applyAlignment="1">
      <alignment horizontal="right" vertical="center" wrapText="1"/>
    </xf>
    <xf numFmtId="0" fontId="226" fillId="0" borderId="104" xfId="0" applyFont="1" applyBorder="1" applyAlignment="1">
      <alignment horizontal="left" vertical="center"/>
    </xf>
    <xf numFmtId="310" fontId="237" fillId="0" borderId="0" xfId="0" applyNumberFormat="1" applyFont="1">
      <alignment vertical="center"/>
    </xf>
    <xf numFmtId="0" fontId="237" fillId="0" borderId="128" xfId="0" applyFont="1" applyBorder="1">
      <alignment vertical="center"/>
    </xf>
    <xf numFmtId="0" fontId="237" fillId="0" borderId="13" xfId="0" applyFont="1" applyBorder="1" applyAlignment="1">
      <alignment horizontal="center" vertical="center"/>
    </xf>
    <xf numFmtId="0" fontId="237" fillId="0" borderId="129" xfId="0" applyFont="1" applyBorder="1" applyAlignment="1">
      <alignment horizontal="center" vertical="center"/>
    </xf>
    <xf numFmtId="0" fontId="226" fillId="45" borderId="8" xfId="0" applyFont="1" applyFill="1" applyBorder="1" applyAlignment="1">
      <alignment horizontal="center" vertical="center"/>
    </xf>
    <xf numFmtId="309" fontId="223" fillId="0" borderId="8" xfId="0" applyNumberFormat="1" applyFont="1" applyBorder="1">
      <alignment vertical="center"/>
    </xf>
    <xf numFmtId="0" fontId="237" fillId="0" borderId="0" xfId="0" applyFont="1" applyAlignment="1">
      <alignment horizontal="center" vertical="center"/>
    </xf>
    <xf numFmtId="0" fontId="237" fillId="0" borderId="2" xfId="0" applyFont="1" applyBorder="1" applyAlignment="1">
      <alignment horizontal="centerContinuous" vertical="center"/>
    </xf>
    <xf numFmtId="302" fontId="237" fillId="0" borderId="0" xfId="1498" applyNumberFormat="1" applyFont="1" applyAlignment="1">
      <alignment horizontal="right" vertical="center"/>
    </xf>
    <xf numFmtId="302" fontId="237" fillId="43" borderId="0" xfId="1498" applyNumberFormat="1" applyFont="1" applyFill="1" applyAlignment="1">
      <alignment horizontal="right" vertical="center"/>
    </xf>
    <xf numFmtId="0" fontId="237" fillId="0" borderId="2" xfId="0" applyFont="1" applyBorder="1" applyAlignment="1">
      <alignment horizontal="center" vertical="center"/>
    </xf>
    <xf numFmtId="301" fontId="223" fillId="0" borderId="2" xfId="0" applyNumberFormat="1" applyFont="1" applyBorder="1" applyAlignment="1">
      <alignment horizontal="center" vertical="center"/>
    </xf>
    <xf numFmtId="301" fontId="200" fillId="0" borderId="2" xfId="1498" applyNumberFormat="1" applyFont="1" applyFill="1" applyBorder="1" applyAlignment="1">
      <alignment horizontal="center" vertical="center"/>
    </xf>
    <xf numFmtId="41" fontId="223" fillId="0" borderId="0" xfId="1498" applyFont="1" applyAlignment="1">
      <alignment horizontal="right" vertical="center"/>
    </xf>
    <xf numFmtId="0" fontId="223" fillId="0" borderId="0" xfId="1911" applyFont="1" applyAlignment="1">
      <alignment vertical="center"/>
    </xf>
    <xf numFmtId="14" fontId="223" fillId="0" borderId="0" xfId="1911" applyNumberFormat="1" applyFont="1" applyAlignment="1">
      <alignment vertical="center"/>
    </xf>
    <xf numFmtId="312" fontId="223" fillId="0" borderId="0" xfId="1921" applyNumberFormat="1" applyFont="1" applyAlignment="1"/>
    <xf numFmtId="312" fontId="223" fillId="0" borderId="0" xfId="2020" applyNumberFormat="1" applyFont="1" applyBorder="1" applyAlignment="1"/>
    <xf numFmtId="0" fontId="223" fillId="0" borderId="131" xfId="1911" applyFont="1" applyBorder="1" applyAlignment="1">
      <alignment vertical="center"/>
    </xf>
    <xf numFmtId="312" fontId="223" fillId="0" borderId="131" xfId="1921" applyNumberFormat="1" applyFont="1" applyBorder="1" applyAlignment="1"/>
    <xf numFmtId="312" fontId="223" fillId="0" borderId="131" xfId="2020" applyNumberFormat="1" applyFont="1" applyBorder="1" applyAlignment="1"/>
    <xf numFmtId="41" fontId="237" fillId="0" borderId="0" xfId="1498" applyFont="1" applyBorder="1" applyAlignment="1">
      <alignment horizontal="center" vertical="center"/>
    </xf>
    <xf numFmtId="0" fontId="237" fillId="0" borderId="128" xfId="0" applyFont="1" applyBorder="1" applyAlignment="1">
      <alignment horizontal="center" vertical="center"/>
    </xf>
    <xf numFmtId="41" fontId="223" fillId="0" borderId="0" xfId="1498" applyFont="1" applyAlignment="1">
      <alignment vertical="center"/>
    </xf>
    <xf numFmtId="0" fontId="223" fillId="0" borderId="128" xfId="1911" applyFont="1" applyBorder="1" applyAlignment="1">
      <alignment vertical="center"/>
    </xf>
    <xf numFmtId="0" fontId="239" fillId="45" borderId="2" xfId="1911" applyFont="1" applyFill="1" applyBorder="1" applyAlignment="1">
      <alignment horizontal="center" vertical="center"/>
    </xf>
    <xf numFmtId="312" fontId="239" fillId="45" borderId="2" xfId="1921" applyNumberFormat="1" applyFont="1" applyFill="1" applyBorder="1" applyAlignment="1">
      <alignment horizontal="center"/>
    </xf>
    <xf numFmtId="312" fontId="239" fillId="45" borderId="2" xfId="2020" applyNumberFormat="1" applyFont="1" applyFill="1" applyBorder="1" applyAlignment="1">
      <alignment horizontal="center"/>
    </xf>
    <xf numFmtId="41" fontId="223" fillId="0" borderId="0" xfId="1498" applyFont="1" applyBorder="1" applyAlignment="1"/>
    <xf numFmtId="301" fontId="237" fillId="0" borderId="129" xfId="0" applyNumberFormat="1" applyFont="1" applyBorder="1" applyAlignment="1">
      <alignment horizontal="right" vertical="center"/>
    </xf>
    <xf numFmtId="41" fontId="223" fillId="0" borderId="131" xfId="1498" applyFont="1" applyBorder="1" applyAlignment="1"/>
    <xf numFmtId="301" fontId="223" fillId="0" borderId="2" xfId="0" applyNumberFormat="1" applyFont="1" applyBorder="1" applyAlignment="1">
      <alignment horizontal="centerContinuous" vertical="center"/>
    </xf>
    <xf numFmtId="301" fontId="200" fillId="0" borderId="2" xfId="1498" applyNumberFormat="1" applyFont="1" applyFill="1" applyBorder="1" applyAlignment="1">
      <alignment horizontal="centerContinuous" vertical="center"/>
    </xf>
    <xf numFmtId="14" fontId="223" fillId="43" borderId="0" xfId="1911" applyNumberFormat="1" applyFont="1" applyFill="1" applyAlignment="1">
      <alignment vertical="center"/>
    </xf>
    <xf numFmtId="0" fontId="241" fillId="0" borderId="0" xfId="0" applyFont="1">
      <alignment vertical="center"/>
    </xf>
    <xf numFmtId="0" fontId="241" fillId="0" borderId="0" xfId="0" applyFont="1" applyAlignment="1">
      <alignment horizontal="center" vertical="center"/>
    </xf>
    <xf numFmtId="301" fontId="242" fillId="0" borderId="0" xfId="0" applyNumberFormat="1" applyFont="1">
      <alignment vertical="center"/>
    </xf>
    <xf numFmtId="301" fontId="243" fillId="0" borderId="0" xfId="2021" applyNumberFormat="1" applyFont="1">
      <alignment vertical="center"/>
    </xf>
    <xf numFmtId="301" fontId="206" fillId="0" borderId="0" xfId="1498" applyNumberFormat="1" applyFont="1" applyFill="1" applyAlignment="1">
      <alignment vertical="center"/>
    </xf>
    <xf numFmtId="302" fontId="242" fillId="0" borderId="0" xfId="0" applyNumberFormat="1" applyFont="1">
      <alignment vertical="center"/>
    </xf>
    <xf numFmtId="0" fontId="223" fillId="0" borderId="132" xfId="0" applyFont="1" applyBorder="1">
      <alignment vertical="center"/>
    </xf>
    <xf numFmtId="302" fontId="223" fillId="0" borderId="132" xfId="0" applyNumberFormat="1" applyFont="1" applyBorder="1">
      <alignment vertical="center"/>
    </xf>
    <xf numFmtId="0" fontId="0" fillId="0" borderId="0" xfId="0" applyAlignment="1">
      <alignment horizontal="left"/>
    </xf>
    <xf numFmtId="0" fontId="0" fillId="43" borderId="0" xfId="0" applyFill="1" applyAlignment="1">
      <alignment horizontal="left"/>
    </xf>
    <xf numFmtId="0" fontId="230" fillId="54" borderId="8" xfId="0" applyFont="1" applyFill="1" applyBorder="1">
      <alignment vertical="center"/>
    </xf>
    <xf numFmtId="176" fontId="201" fillId="0" borderId="114" xfId="0" applyNumberFormat="1" applyFont="1" applyBorder="1">
      <alignment vertical="center"/>
    </xf>
    <xf numFmtId="312" fontId="230" fillId="0" borderId="8" xfId="0" applyNumberFormat="1" applyFont="1" applyBorder="1">
      <alignment vertical="center"/>
    </xf>
    <xf numFmtId="312" fontId="230" fillId="54" borderId="8" xfId="0" applyNumberFormat="1" applyFont="1" applyFill="1" applyBorder="1">
      <alignment vertical="center"/>
    </xf>
    <xf numFmtId="312" fontId="230" fillId="0" borderId="0" xfId="0" applyNumberFormat="1" applyFont="1">
      <alignment vertical="center"/>
    </xf>
    <xf numFmtId="41" fontId="200" fillId="0" borderId="0" xfId="1498" applyFont="1" applyFill="1">
      <alignment vertical="center"/>
    </xf>
    <xf numFmtId="177" fontId="13" fillId="0" borderId="0" xfId="1937" applyNumberFormat="1" applyFont="1" applyAlignment="1">
      <alignment horizontal="center"/>
    </xf>
    <xf numFmtId="0" fontId="202" fillId="39" borderId="42" xfId="0" applyFont="1" applyFill="1" applyBorder="1" applyAlignment="1">
      <alignment horizontal="center" vertical="center"/>
    </xf>
    <xf numFmtId="14" fontId="202" fillId="39" borderId="42" xfId="0" applyNumberFormat="1" applyFont="1" applyFill="1" applyBorder="1" applyAlignment="1">
      <alignment horizontal="center" vertical="center"/>
    </xf>
    <xf numFmtId="0" fontId="200" fillId="0" borderId="0" xfId="0" applyFont="1" applyAlignment="1">
      <alignment horizontal="center" vertical="center"/>
    </xf>
    <xf numFmtId="176" fontId="195" fillId="23" borderId="42" xfId="0" applyNumberFormat="1" applyFont="1" applyFill="1" applyBorder="1">
      <alignment vertical="center"/>
    </xf>
    <xf numFmtId="3" fontId="200" fillId="0" borderId="0" xfId="0" applyNumberFormat="1" applyFont="1">
      <alignment vertical="center"/>
    </xf>
    <xf numFmtId="176" fontId="195" fillId="23" borderId="16" xfId="0" applyNumberFormat="1" applyFont="1" applyFill="1" applyBorder="1" applyAlignment="1">
      <alignment horizontal="left" vertical="center" indent="1"/>
    </xf>
    <xf numFmtId="176" fontId="195" fillId="23" borderId="16" xfId="0" applyNumberFormat="1" applyFont="1" applyFill="1" applyBorder="1">
      <alignment vertical="center"/>
    </xf>
    <xf numFmtId="0" fontId="195" fillId="0" borderId="0" xfId="0" applyFont="1">
      <alignment vertical="center"/>
    </xf>
    <xf numFmtId="0" fontId="200" fillId="0" borderId="0" xfId="0" applyFont="1" applyAlignment="1">
      <alignment horizontal="right" vertical="center"/>
    </xf>
    <xf numFmtId="41" fontId="200" fillId="0" borderId="0" xfId="1498" applyFont="1" applyBorder="1" applyAlignment="1">
      <alignment vertical="center"/>
    </xf>
    <xf numFmtId="14" fontId="200" fillId="0" borderId="0" xfId="0" applyNumberFormat="1" applyFont="1">
      <alignment vertical="center"/>
    </xf>
    <xf numFmtId="0" fontId="226" fillId="0" borderId="103" xfId="0" applyFont="1" applyBorder="1">
      <alignment vertical="center"/>
    </xf>
    <xf numFmtId="0" fontId="226" fillId="0" borderId="121" xfId="0" applyFont="1" applyBorder="1" applyAlignment="1">
      <alignment horizontal="right" vertical="center"/>
    </xf>
    <xf numFmtId="0" fontId="226" fillId="0" borderId="139" xfId="0" applyFont="1" applyBorder="1" applyAlignment="1">
      <alignment horizontal="right" vertical="center"/>
    </xf>
    <xf numFmtId="3" fontId="226" fillId="0" borderId="121" xfId="0" applyNumberFormat="1" applyFont="1" applyBorder="1" applyAlignment="1">
      <alignment horizontal="right" vertical="center"/>
    </xf>
    <xf numFmtId="3" fontId="226" fillId="0" borderId="139" xfId="0" applyNumberFormat="1" applyFont="1" applyBorder="1" applyAlignment="1">
      <alignment horizontal="right" vertical="center"/>
    </xf>
    <xf numFmtId="0" fontId="226" fillId="0" borderId="103" xfId="0" applyFont="1" applyBorder="1" applyAlignment="1">
      <alignment vertical="top"/>
    </xf>
    <xf numFmtId="0" fontId="226" fillId="0" borderId="104" xfId="0" applyFont="1" applyBorder="1" applyAlignment="1">
      <alignment vertical="top"/>
    </xf>
    <xf numFmtId="0" fontId="226" fillId="0" borderId="132" xfId="0" applyFont="1" applyBorder="1">
      <alignment vertical="center"/>
    </xf>
    <xf numFmtId="0" fontId="226" fillId="0" borderId="132" xfId="0" applyFont="1" applyBorder="1" applyAlignment="1">
      <alignment horizontal="right" vertical="center"/>
    </xf>
    <xf numFmtId="176" fontId="200" fillId="0" borderId="132" xfId="0" applyNumberFormat="1" applyFont="1" applyBorder="1" applyAlignment="1">
      <alignment horizontal="right" vertical="center"/>
    </xf>
    <xf numFmtId="0" fontId="226" fillId="0" borderId="132" xfId="0" applyFont="1" applyBorder="1" applyAlignment="1">
      <alignment vertical="top"/>
    </xf>
    <xf numFmtId="0" fontId="245" fillId="55" borderId="140" xfId="1919" applyFont="1" applyFill="1" applyBorder="1" applyAlignment="1">
      <alignment horizontal="center" vertical="center" wrapText="1"/>
    </xf>
    <xf numFmtId="0" fontId="228" fillId="0" borderId="132" xfId="0" applyFont="1" applyBorder="1">
      <alignment vertical="center"/>
    </xf>
    <xf numFmtId="176" fontId="195" fillId="0" borderId="132" xfId="0" applyNumberFormat="1" applyFont="1" applyBorder="1" applyAlignment="1">
      <alignment horizontal="right" vertical="center"/>
    </xf>
    <xf numFmtId="0" fontId="228" fillId="0" borderId="132" xfId="0" applyFont="1" applyBorder="1" applyAlignment="1">
      <alignment vertical="top"/>
    </xf>
    <xf numFmtId="0" fontId="245" fillId="55" borderId="140" xfId="1919" applyFont="1" applyFill="1" applyBorder="1" applyAlignment="1">
      <alignment horizontal="centerContinuous" vertical="center" wrapText="1"/>
    </xf>
    <xf numFmtId="0" fontId="228" fillId="0" borderId="103" xfId="0" applyFont="1" applyBorder="1" applyAlignment="1">
      <alignment vertical="top"/>
    </xf>
    <xf numFmtId="14" fontId="202" fillId="39" borderId="13" xfId="0" applyNumberFormat="1" applyFont="1" applyFill="1" applyBorder="1" applyAlignment="1">
      <alignment horizontal="center" vertical="center"/>
    </xf>
    <xf numFmtId="41" fontId="200" fillId="0" borderId="0" xfId="1498" applyFont="1" applyBorder="1">
      <alignment vertical="center"/>
    </xf>
    <xf numFmtId="176" fontId="200" fillId="43" borderId="15" xfId="0" applyNumberFormat="1" applyFont="1" applyFill="1" applyBorder="1">
      <alignment vertical="center"/>
    </xf>
    <xf numFmtId="301" fontId="200" fillId="0" borderId="145" xfId="0" applyNumberFormat="1" applyFont="1" applyBorder="1" applyAlignment="1">
      <alignment horizontal="left" vertical="center"/>
    </xf>
    <xf numFmtId="302" fontId="246" fillId="0" borderId="0" xfId="0" applyNumberFormat="1" applyFont="1">
      <alignment vertical="center"/>
    </xf>
    <xf numFmtId="302" fontId="235" fillId="0" borderId="0" xfId="0" applyNumberFormat="1" applyFont="1">
      <alignment vertical="center"/>
    </xf>
    <xf numFmtId="301" fontId="235" fillId="0" borderId="0" xfId="0" applyNumberFormat="1" applyFont="1" applyAlignment="1">
      <alignment horizontal="center" vertical="center"/>
    </xf>
    <xf numFmtId="0" fontId="246" fillId="45" borderId="8" xfId="0" applyFont="1" applyFill="1" applyBorder="1" applyAlignment="1">
      <alignment horizontal="center" vertical="center"/>
    </xf>
    <xf numFmtId="301" fontId="235" fillId="0" borderId="0" xfId="0" applyNumberFormat="1" applyFont="1" applyAlignment="1">
      <alignment horizontal="justify" vertical="center"/>
    </xf>
    <xf numFmtId="0" fontId="235" fillId="0" borderId="132" xfId="0" applyFont="1" applyBorder="1">
      <alignment vertical="center"/>
    </xf>
    <xf numFmtId="177" fontId="12" fillId="45" borderId="134" xfId="1937" applyNumberFormat="1" applyFont="1" applyFill="1" applyBorder="1" applyAlignment="1">
      <alignment horizontal="distributed"/>
    </xf>
    <xf numFmtId="302" fontId="13" fillId="0" borderId="0" xfId="1937" applyNumberFormat="1" applyFont="1" applyAlignment="1">
      <alignment horizontal="distributed"/>
    </xf>
    <xf numFmtId="302" fontId="13" fillId="0" borderId="147" xfId="1937" applyNumberFormat="1" applyFont="1" applyBorder="1" applyAlignment="1">
      <alignment horizontal="left" vertical="center"/>
    </xf>
    <xf numFmtId="302" fontId="13" fillId="0" borderId="114" xfId="1937" applyNumberFormat="1" applyFont="1" applyBorder="1" applyAlignment="1">
      <alignment horizontal="left"/>
    </xf>
    <xf numFmtId="302" fontId="13" fillId="0" borderId="55" xfId="1937" applyNumberFormat="1" applyFont="1" applyBorder="1" applyAlignment="1">
      <alignment horizontal="left"/>
    </xf>
    <xf numFmtId="302" fontId="13" fillId="0" borderId="0" xfId="1937" applyNumberFormat="1" applyFont="1" applyAlignment="1">
      <alignment horizontal="left"/>
    </xf>
    <xf numFmtId="302" fontId="13" fillId="0" borderId="3" xfId="1499" applyNumberFormat="1" applyFont="1" applyFill="1" applyBorder="1"/>
    <xf numFmtId="177" fontId="13" fillId="0" borderId="0" xfId="1937" applyNumberFormat="1" applyFont="1" applyAlignment="1"/>
    <xf numFmtId="179" fontId="13" fillId="0" borderId="0" xfId="1937" applyNumberFormat="1" applyFont="1" applyAlignment="1"/>
    <xf numFmtId="41" fontId="13" fillId="0" borderId="0" xfId="1498" applyFont="1" applyAlignment="1"/>
    <xf numFmtId="177" fontId="231" fillId="51" borderId="43" xfId="1937" applyNumberFormat="1" applyFont="1" applyFill="1" applyBorder="1" applyAlignment="1">
      <alignment horizontal="centerContinuous"/>
    </xf>
    <xf numFmtId="41" fontId="231" fillId="51" borderId="14" xfId="1498" applyFont="1" applyFill="1" applyBorder="1" applyAlignment="1">
      <alignment horizontal="centerContinuous"/>
    </xf>
    <xf numFmtId="41" fontId="231" fillId="51" borderId="41" xfId="1498" applyFont="1" applyFill="1" applyBorder="1" applyAlignment="1">
      <alignment horizontal="centerContinuous"/>
    </xf>
    <xf numFmtId="177" fontId="12" fillId="0" borderId="0" xfId="1499" applyNumberFormat="1" applyFont="1" applyFill="1" applyAlignment="1">
      <alignment horizontal="center"/>
    </xf>
    <xf numFmtId="41" fontId="231" fillId="51" borderId="43" xfId="1498" applyFont="1" applyFill="1" applyBorder="1" applyAlignment="1">
      <alignment horizontal="centerContinuous" wrapText="1"/>
    </xf>
    <xf numFmtId="41" fontId="231" fillId="48" borderId="43" xfId="1498" applyFont="1" applyFill="1" applyBorder="1" applyAlignment="1">
      <alignment horizontal="centerContinuous"/>
    </xf>
    <xf numFmtId="41" fontId="231" fillId="48" borderId="41" xfId="1498" applyFont="1" applyFill="1" applyBorder="1" applyAlignment="1">
      <alignment horizontal="centerContinuous"/>
    </xf>
    <xf numFmtId="41" fontId="231" fillId="49" borderId="14" xfId="1498" applyFont="1" applyFill="1" applyBorder="1" applyAlignment="1">
      <alignment horizontal="centerContinuous"/>
    </xf>
    <xf numFmtId="41" fontId="231" fillId="50" borderId="43" xfId="1498" applyFont="1" applyFill="1" applyBorder="1" applyAlignment="1">
      <alignment horizontal="centerContinuous"/>
    </xf>
    <xf numFmtId="41" fontId="231" fillId="50" borderId="41" xfId="1498" applyFont="1" applyFill="1" applyBorder="1" applyAlignment="1">
      <alignment horizontal="centerContinuous"/>
    </xf>
    <xf numFmtId="41" fontId="12" fillId="0" borderId="0" xfId="1498" applyFont="1" applyFill="1" applyAlignment="1">
      <alignment horizontal="center"/>
    </xf>
    <xf numFmtId="41" fontId="231" fillId="51" borderId="41" xfId="1498" applyFont="1" applyFill="1" applyBorder="1" applyAlignment="1">
      <alignment horizontal="center"/>
    </xf>
    <xf numFmtId="41" fontId="231" fillId="48" borderId="41" xfId="1498" applyFont="1" applyFill="1" applyBorder="1" applyAlignment="1">
      <alignment horizontal="center"/>
    </xf>
    <xf numFmtId="41" fontId="231" fillId="48" borderId="138" xfId="1498" applyFont="1" applyFill="1" applyBorder="1" applyAlignment="1">
      <alignment horizontal="center"/>
    </xf>
    <xf numFmtId="41" fontId="231" fillId="49" borderId="14" xfId="1498" applyFont="1" applyFill="1" applyBorder="1" applyAlignment="1">
      <alignment horizontal="center"/>
    </xf>
    <xf numFmtId="177" fontId="12" fillId="0" borderId="21" xfId="1499" applyNumberFormat="1" applyFont="1" applyFill="1" applyBorder="1" applyAlignment="1">
      <alignment horizontal="center" vertical="center"/>
    </xf>
    <xf numFmtId="179" fontId="12" fillId="0" borderId="21" xfId="1499" applyNumberFormat="1" applyFont="1" applyFill="1" applyBorder="1" applyAlignment="1">
      <alignment horizontal="center" vertical="center"/>
    </xf>
    <xf numFmtId="41" fontId="12" fillId="0" borderId="3" xfId="1498" applyFont="1" applyFill="1" applyBorder="1" applyAlignment="1">
      <alignment horizontal="center"/>
    </xf>
    <xf numFmtId="41" fontId="12" fillId="0" borderId="21" xfId="1498" applyFont="1" applyFill="1" applyBorder="1" applyAlignment="1">
      <alignment horizontal="center"/>
    </xf>
    <xf numFmtId="41" fontId="12" fillId="0" borderId="16" xfId="1498" applyFont="1" applyFill="1" applyBorder="1" applyAlignment="1">
      <alignment horizontal="center"/>
    </xf>
    <xf numFmtId="41" fontId="12" fillId="0" borderId="137" xfId="1498" applyFont="1" applyFill="1" applyBorder="1" applyAlignment="1">
      <alignment horizontal="center"/>
    </xf>
    <xf numFmtId="41" fontId="12" fillId="0" borderId="113" xfId="1498" applyFont="1" applyFill="1" applyBorder="1" applyAlignment="1">
      <alignment horizontal="center"/>
    </xf>
    <xf numFmtId="0" fontId="242" fillId="0" borderId="0" xfId="0" applyFont="1">
      <alignment vertical="center"/>
    </xf>
    <xf numFmtId="177" fontId="12" fillId="0" borderId="21" xfId="2006" applyNumberFormat="1" applyFont="1" applyBorder="1" applyAlignment="1">
      <alignment vertical="center"/>
    </xf>
    <xf numFmtId="41" fontId="12" fillId="0" borderId="0" xfId="1498" applyFont="1" applyFill="1" applyBorder="1" applyAlignment="1">
      <alignment horizontal="center"/>
    </xf>
    <xf numFmtId="177" fontId="13" fillId="0" borderId="21" xfId="2006" applyNumberFormat="1" applyFont="1" applyBorder="1" applyAlignment="1">
      <alignment vertical="center"/>
    </xf>
    <xf numFmtId="177" fontId="13" fillId="0" borderId="21" xfId="1499" applyNumberFormat="1" applyFont="1" applyFill="1" applyBorder="1"/>
    <xf numFmtId="177" fontId="12" fillId="0" borderId="3" xfId="1499" applyNumberFormat="1" applyFont="1" applyFill="1" applyBorder="1"/>
    <xf numFmtId="41" fontId="13" fillId="0" borderId="3" xfId="1498" applyFont="1" applyFill="1" applyBorder="1" applyAlignment="1"/>
    <xf numFmtId="41" fontId="13" fillId="0" borderId="21" xfId="1498" applyFont="1" applyFill="1" applyBorder="1" applyAlignment="1"/>
    <xf numFmtId="41" fontId="13" fillId="0" borderId="16" xfId="1498" applyFont="1" applyFill="1" applyBorder="1" applyAlignment="1"/>
    <xf numFmtId="41" fontId="13" fillId="0" borderId="114" xfId="1498" applyFont="1" applyFill="1" applyBorder="1" applyAlignment="1"/>
    <xf numFmtId="41" fontId="13" fillId="0" borderId="113" xfId="1498" applyFont="1" applyFill="1" applyBorder="1" applyAlignment="1"/>
    <xf numFmtId="41" fontId="13" fillId="0" borderId="0" xfId="1498" applyFont="1" applyFill="1" applyBorder="1" applyAlignment="1"/>
    <xf numFmtId="41" fontId="13" fillId="0" borderId="0" xfId="1498" applyFont="1" applyFill="1" applyAlignment="1"/>
    <xf numFmtId="302" fontId="13" fillId="0" borderId="21" xfId="1499" applyNumberFormat="1" applyFont="1" applyFill="1" applyBorder="1"/>
    <xf numFmtId="302" fontId="13" fillId="0" borderId="3" xfId="1498" applyNumberFormat="1" applyFont="1" applyFill="1" applyBorder="1" applyAlignment="1"/>
    <xf numFmtId="302" fontId="13" fillId="0" borderId="3" xfId="1498" applyNumberFormat="1" applyFont="1" applyFill="1" applyBorder="1" applyAlignment="1">
      <alignment vertical="center"/>
    </xf>
    <xf numFmtId="302" fontId="13" fillId="0" borderId="21" xfId="1498" applyNumberFormat="1" applyFont="1" applyFill="1" applyBorder="1" applyAlignment="1"/>
    <xf numFmtId="302" fontId="13" fillId="0" borderId="114" xfId="1498" applyNumberFormat="1" applyFont="1" applyFill="1" applyBorder="1" applyAlignment="1"/>
    <xf numFmtId="302" fontId="13" fillId="0" borderId="113" xfId="1498" applyNumberFormat="1" applyFont="1" applyFill="1" applyBorder="1" applyAlignment="1"/>
    <xf numFmtId="302" fontId="13" fillId="0" borderId="0" xfId="1498" applyNumberFormat="1" applyFont="1" applyFill="1" applyBorder="1" applyAlignment="1"/>
    <xf numFmtId="302" fontId="13" fillId="0" borderId="16" xfId="1498" applyNumberFormat="1" applyFont="1" applyFill="1" applyBorder="1" applyAlignment="1"/>
    <xf numFmtId="302" fontId="12" fillId="0" borderId="3" xfId="1498" applyNumberFormat="1" applyFont="1" applyFill="1" applyBorder="1" applyAlignment="1">
      <alignment vertical="center"/>
    </xf>
    <xf numFmtId="302" fontId="206" fillId="0" borderId="3" xfId="1498" applyNumberFormat="1" applyFont="1" applyFill="1" applyBorder="1">
      <alignment vertical="center"/>
    </xf>
    <xf numFmtId="302" fontId="206" fillId="0" borderId="21" xfId="1498" applyNumberFormat="1" applyFont="1" applyFill="1" applyBorder="1">
      <alignment vertical="center"/>
    </xf>
    <xf numFmtId="302" fontId="242" fillId="0" borderId="3" xfId="0" applyNumberFormat="1" applyFont="1" applyBorder="1">
      <alignment vertical="center"/>
    </xf>
    <xf numFmtId="302" fontId="206" fillId="0" borderId="113" xfId="1498" applyNumberFormat="1" applyFont="1" applyFill="1" applyBorder="1">
      <alignment vertical="center"/>
    </xf>
    <xf numFmtId="302" fontId="242" fillId="0" borderId="113" xfId="0" applyNumberFormat="1" applyFont="1" applyBorder="1">
      <alignment vertical="center"/>
    </xf>
    <xf numFmtId="302" fontId="13" fillId="0" borderId="21" xfId="1498" applyNumberFormat="1" applyFont="1" applyFill="1" applyBorder="1" applyAlignment="1">
      <alignment vertical="center"/>
    </xf>
    <xf numFmtId="302" fontId="206" fillId="0" borderId="0" xfId="1498" applyNumberFormat="1" applyFont="1" applyFill="1">
      <alignment vertical="center"/>
    </xf>
    <xf numFmtId="302" fontId="13" fillId="0" borderId="113" xfId="1498" applyNumberFormat="1" applyFont="1" applyFill="1" applyBorder="1" applyAlignment="1">
      <alignment vertical="center"/>
    </xf>
    <xf numFmtId="302" fontId="13" fillId="0" borderId="0" xfId="1498" applyNumberFormat="1" applyFont="1" applyFill="1" applyBorder="1" applyAlignment="1">
      <alignment vertical="center"/>
    </xf>
    <xf numFmtId="302" fontId="12" fillId="0" borderId="21" xfId="1499" applyNumberFormat="1" applyFont="1" applyFill="1" applyBorder="1"/>
    <xf numFmtId="302" fontId="12" fillId="0" borderId="3" xfId="1499" applyNumberFormat="1" applyFont="1" applyFill="1" applyBorder="1"/>
    <xf numFmtId="302" fontId="12" fillId="0" borderId="21" xfId="1498" applyNumberFormat="1" applyFont="1" applyFill="1" applyBorder="1" applyAlignment="1">
      <alignment vertical="center"/>
    </xf>
    <xf numFmtId="302" fontId="12" fillId="0" borderId="16" xfId="1498" applyNumberFormat="1" applyFont="1" applyFill="1" applyBorder="1" applyAlignment="1"/>
    <xf numFmtId="302" fontId="12" fillId="0" borderId="113" xfId="1498" applyNumberFormat="1" applyFont="1" applyFill="1" applyBorder="1" applyAlignment="1"/>
    <xf numFmtId="177" fontId="12" fillId="0" borderId="0" xfId="1937" applyNumberFormat="1" applyFont="1" applyAlignment="1"/>
    <xf numFmtId="41" fontId="12" fillId="0" borderId="0" xfId="1498" applyFont="1" applyFill="1" applyAlignment="1"/>
    <xf numFmtId="177" fontId="12" fillId="0" borderId="113" xfId="2006" applyNumberFormat="1" applyFont="1" applyBorder="1" applyAlignment="1">
      <alignment vertical="center"/>
    </xf>
    <xf numFmtId="302" fontId="12" fillId="0" borderId="113" xfId="1499" applyNumberFormat="1" applyFont="1" applyFill="1" applyBorder="1"/>
    <xf numFmtId="302" fontId="12" fillId="0" borderId="114" xfId="1499" applyNumberFormat="1" applyFont="1" applyFill="1" applyBorder="1"/>
    <xf numFmtId="302" fontId="12" fillId="0" borderId="114" xfId="1498" applyNumberFormat="1" applyFont="1" applyFill="1" applyBorder="1" applyAlignment="1">
      <alignment vertical="center"/>
    </xf>
    <xf numFmtId="302" fontId="12" fillId="0" borderId="113" xfId="1498" applyNumberFormat="1" applyFont="1" applyFill="1" applyBorder="1" applyAlignment="1">
      <alignment vertical="center"/>
    </xf>
    <xf numFmtId="177" fontId="247" fillId="0" borderId="21" xfId="2006" applyNumberFormat="1" applyFont="1" applyBorder="1" applyAlignment="1">
      <alignment vertical="center"/>
    </xf>
    <xf numFmtId="302" fontId="13" fillId="0" borderId="0" xfId="1498" applyNumberFormat="1" applyFont="1" applyFill="1" applyAlignment="1"/>
    <xf numFmtId="177" fontId="13" fillId="0" borderId="21" xfId="2006" applyNumberFormat="1" applyFont="1" applyBorder="1" applyAlignment="1">
      <alignment horizontal="left" vertical="center"/>
    </xf>
    <xf numFmtId="302" fontId="13" fillId="0" borderId="3" xfId="1937" applyNumberFormat="1" applyFont="1" applyBorder="1" applyAlignment="1"/>
    <xf numFmtId="302" fontId="13" fillId="0" borderId="21" xfId="1937" applyNumberFormat="1" applyFont="1" applyBorder="1" applyAlignment="1"/>
    <xf numFmtId="41" fontId="13" fillId="0" borderId="0" xfId="1498" applyFont="1" applyFill="1" applyAlignment="1">
      <alignment horizontal="left"/>
    </xf>
    <xf numFmtId="41" fontId="13" fillId="0" borderId="0" xfId="1498" applyFont="1" applyAlignment="1">
      <alignment horizontal="left"/>
    </xf>
    <xf numFmtId="302" fontId="13" fillId="45" borderId="132" xfId="1499" applyNumberFormat="1" applyFont="1" applyFill="1" applyBorder="1"/>
    <xf numFmtId="302" fontId="13" fillId="45" borderId="134" xfId="1499" applyNumberFormat="1" applyFont="1" applyFill="1" applyBorder="1"/>
    <xf numFmtId="302" fontId="13" fillId="45" borderId="134" xfId="1498" applyNumberFormat="1" applyFont="1" applyFill="1" applyBorder="1" applyAlignment="1">
      <alignment vertical="center"/>
    </xf>
    <xf numFmtId="302" fontId="13" fillId="45" borderId="132" xfId="1498" applyNumberFormat="1" applyFont="1" applyFill="1" applyBorder="1" applyAlignment="1">
      <alignment vertical="center"/>
    </xf>
    <xf numFmtId="302" fontId="13" fillId="45" borderId="135" xfId="1498" applyNumberFormat="1" applyFont="1" applyFill="1" applyBorder="1" applyAlignment="1"/>
    <xf numFmtId="302" fontId="13" fillId="0" borderId="0" xfId="1499" applyNumberFormat="1" applyFont="1" applyBorder="1" applyAlignment="1">
      <alignment vertical="center"/>
    </xf>
    <xf numFmtId="302" fontId="13" fillId="0" borderId="0" xfId="1499" applyNumberFormat="1" applyFont="1" applyFill="1" applyBorder="1" applyAlignment="1"/>
    <xf numFmtId="302" fontId="13" fillId="0" borderId="0" xfId="1498" applyNumberFormat="1" applyFont="1" applyBorder="1" applyAlignment="1">
      <alignment vertical="center"/>
    </xf>
    <xf numFmtId="302" fontId="13" fillId="0" borderId="0" xfId="1937" applyNumberFormat="1" applyFont="1" applyAlignment="1"/>
    <xf numFmtId="302" fontId="13" fillId="0" borderId="0" xfId="1498" applyNumberFormat="1" applyFont="1" applyAlignment="1"/>
    <xf numFmtId="302" fontId="13" fillId="0" borderId="0" xfId="1499" applyNumberFormat="1" applyFont="1" applyAlignment="1"/>
    <xf numFmtId="302" fontId="13" fillId="0" borderId="138" xfId="1499" applyNumberFormat="1" applyFont="1" applyBorder="1" applyAlignment="1"/>
    <xf numFmtId="302" fontId="13" fillId="0" borderId="16" xfId="1499" applyNumberFormat="1" applyFont="1" applyBorder="1" applyAlignment="1"/>
    <xf numFmtId="302" fontId="13" fillId="0" borderId="37" xfId="1499" applyNumberFormat="1" applyFont="1" applyBorder="1" applyAlignment="1"/>
    <xf numFmtId="304" fontId="13" fillId="0" borderId="0" xfId="1937" applyNumberFormat="1" applyFont="1" applyAlignment="1">
      <alignment horizontal="center"/>
    </xf>
    <xf numFmtId="177" fontId="13" fillId="0" borderId="0" xfId="1499" applyNumberFormat="1" applyFont="1"/>
    <xf numFmtId="179" fontId="13" fillId="0" borderId="0" xfId="1499" applyNumberFormat="1" applyFont="1" applyFill="1" applyBorder="1"/>
    <xf numFmtId="177" fontId="13" fillId="0" borderId="0" xfId="1499" applyNumberFormat="1" applyFont="1" applyFill="1" applyBorder="1"/>
    <xf numFmtId="302" fontId="12" fillId="0" borderId="21" xfId="1499" applyNumberFormat="1" applyFont="1" applyFill="1" applyBorder="1" applyAlignment="1">
      <alignment horizontal="center" vertical="center"/>
    </xf>
    <xf numFmtId="302" fontId="12" fillId="0" borderId="21" xfId="1499" applyNumberFormat="1" applyFont="1" applyFill="1" applyBorder="1" applyAlignment="1">
      <alignment vertical="center"/>
    </xf>
    <xf numFmtId="302" fontId="13" fillId="0" borderId="21" xfId="1719" applyNumberFormat="1" applyFont="1" applyFill="1" applyBorder="1" applyAlignment="1">
      <alignment vertical="center"/>
    </xf>
    <xf numFmtId="302" fontId="12" fillId="0" borderId="21" xfId="1719" applyNumberFormat="1" applyFont="1" applyFill="1" applyBorder="1" applyAlignment="1">
      <alignment vertical="center"/>
    </xf>
    <xf numFmtId="302" fontId="12" fillId="0" borderId="113" xfId="1719" applyNumberFormat="1" applyFont="1" applyFill="1" applyBorder="1" applyAlignment="1">
      <alignment vertical="center"/>
    </xf>
    <xf numFmtId="302" fontId="12" fillId="45" borderId="132" xfId="1499" applyNumberFormat="1" applyFont="1" applyFill="1" applyBorder="1" applyAlignment="1">
      <alignment vertical="center"/>
    </xf>
    <xf numFmtId="177" fontId="13" fillId="0" borderId="113" xfId="2006" applyNumberFormat="1" applyFont="1" applyBorder="1" applyAlignment="1">
      <alignment vertical="center"/>
    </xf>
    <xf numFmtId="302" fontId="13" fillId="0" borderId="113" xfId="1719" applyNumberFormat="1" applyFont="1" applyFill="1" applyBorder="1" applyAlignment="1">
      <alignment vertical="center"/>
    </xf>
    <xf numFmtId="302" fontId="13" fillId="0" borderId="113" xfId="1499" applyNumberFormat="1" applyFont="1" applyFill="1" applyBorder="1"/>
    <xf numFmtId="302" fontId="13" fillId="0" borderId="114" xfId="1499" applyNumberFormat="1" applyFont="1" applyFill="1" applyBorder="1"/>
    <xf numFmtId="302" fontId="13" fillId="0" borderId="114" xfId="1498" applyNumberFormat="1" applyFont="1" applyFill="1" applyBorder="1" applyAlignment="1">
      <alignment vertical="center"/>
    </xf>
    <xf numFmtId="302" fontId="206" fillId="0" borderId="114" xfId="1498" applyNumberFormat="1" applyFont="1" applyFill="1" applyBorder="1">
      <alignment vertical="center"/>
    </xf>
    <xf numFmtId="41" fontId="231" fillId="49" borderId="134" xfId="1498" applyFont="1" applyFill="1" applyBorder="1" applyAlignment="1">
      <alignment horizontal="center"/>
    </xf>
    <xf numFmtId="41" fontId="12" fillId="0" borderId="114" xfId="1498" applyFont="1" applyFill="1" applyBorder="1" applyAlignment="1">
      <alignment horizontal="center"/>
    </xf>
    <xf numFmtId="302" fontId="242" fillId="0" borderId="114" xfId="0" applyNumberFormat="1" applyFont="1" applyBorder="1">
      <alignment vertical="center"/>
    </xf>
    <xf numFmtId="41" fontId="231" fillId="50" borderId="132" xfId="1498" applyFont="1" applyFill="1" applyBorder="1" applyAlignment="1">
      <alignment horizontal="center"/>
    </xf>
    <xf numFmtId="302" fontId="13" fillId="0" borderId="44" xfId="1498" applyNumberFormat="1" applyFont="1" applyFill="1" applyBorder="1" applyAlignment="1"/>
    <xf numFmtId="301" fontId="200" fillId="0" borderId="148" xfId="0" applyNumberFormat="1" applyFont="1" applyBorder="1" applyAlignment="1">
      <alignment horizontal="left" vertical="center" wrapText="1"/>
    </xf>
    <xf numFmtId="301" fontId="200" fillId="0" borderId="149" xfId="1498" applyNumberFormat="1" applyFont="1" applyFill="1" applyBorder="1" applyAlignment="1">
      <alignment horizontal="right" vertical="center" wrapText="1"/>
    </xf>
    <xf numFmtId="301" fontId="200" fillId="0" borderId="149" xfId="0" applyNumberFormat="1" applyFont="1" applyBorder="1" applyAlignment="1">
      <alignment horizontal="right" vertical="center" wrapText="1"/>
    </xf>
    <xf numFmtId="301" fontId="200" fillId="0" borderId="150" xfId="0" applyNumberFormat="1" applyFont="1" applyBorder="1" applyAlignment="1">
      <alignment horizontal="left" vertical="center" wrapText="1"/>
    </xf>
    <xf numFmtId="301" fontId="200" fillId="0" borderId="146" xfId="1498" applyNumberFormat="1" applyFont="1" applyFill="1" applyBorder="1" applyAlignment="1">
      <alignment horizontal="right" vertical="center" wrapText="1"/>
    </xf>
    <xf numFmtId="301" fontId="200" fillId="0" borderId="146" xfId="0" applyNumberFormat="1" applyFont="1" applyBorder="1" applyAlignment="1">
      <alignment horizontal="right" vertical="center" wrapText="1"/>
    </xf>
    <xf numFmtId="301" fontId="200" fillId="0" borderId="151" xfId="1498" applyNumberFormat="1" applyFont="1" applyFill="1" applyBorder="1" applyAlignment="1">
      <alignment horizontal="right" vertical="center" wrapText="1"/>
    </xf>
    <xf numFmtId="41" fontId="195" fillId="0" borderId="2" xfId="1498" applyFont="1" applyBorder="1" applyAlignment="1">
      <alignment horizontal="center" vertical="center"/>
    </xf>
    <xf numFmtId="41" fontId="201" fillId="0" borderId="0" xfId="1498" applyFont="1">
      <alignment vertical="center"/>
    </xf>
    <xf numFmtId="302" fontId="13" fillId="43" borderId="113" xfId="1498" applyNumberFormat="1" applyFont="1" applyFill="1" applyBorder="1" applyAlignment="1"/>
    <xf numFmtId="302" fontId="12" fillId="40" borderId="28" xfId="1498" applyNumberFormat="1" applyFont="1" applyFill="1" applyBorder="1" applyAlignment="1"/>
    <xf numFmtId="302" fontId="12" fillId="40" borderId="128" xfId="1498" applyNumberFormat="1" applyFont="1" applyFill="1" applyBorder="1" applyAlignment="1"/>
    <xf numFmtId="302" fontId="13" fillId="40" borderId="128" xfId="1937" applyNumberFormat="1" applyFont="1" applyFill="1" applyBorder="1" applyAlignment="1">
      <alignment horizontal="distributed"/>
    </xf>
    <xf numFmtId="302" fontId="13" fillId="40" borderId="129" xfId="1499" applyNumberFormat="1" applyFont="1" applyFill="1" applyBorder="1" applyAlignment="1">
      <alignment horizontal="distributed"/>
    </xf>
    <xf numFmtId="0" fontId="204" fillId="0" borderId="132" xfId="0" applyFont="1" applyBorder="1" applyAlignment="1">
      <alignment horizontal="left" vertical="top" wrapText="1" indent="3"/>
    </xf>
    <xf numFmtId="176" fontId="200" fillId="0" borderId="132" xfId="0" applyNumberFormat="1" applyFont="1" applyBorder="1">
      <alignment vertical="center"/>
    </xf>
    <xf numFmtId="0" fontId="200" fillId="0" borderId="132" xfId="0" applyFont="1" applyBorder="1" applyAlignment="1">
      <alignment horizontal="left" vertical="top" wrapText="1" indent="3"/>
    </xf>
    <xf numFmtId="301" fontId="200" fillId="0" borderId="152" xfId="0" applyNumberFormat="1" applyFont="1" applyBorder="1" applyAlignment="1">
      <alignment horizontal="left" vertical="center" wrapText="1"/>
    </xf>
    <xf numFmtId="41" fontId="223" fillId="0" borderId="0" xfId="1498" applyFont="1">
      <alignment vertical="center"/>
    </xf>
    <xf numFmtId="10" fontId="223" fillId="0" borderId="8" xfId="0" applyNumberFormat="1" applyFont="1" applyBorder="1" applyAlignment="1">
      <alignment horizontal="center" vertical="center"/>
    </xf>
    <xf numFmtId="301" fontId="230" fillId="0" borderId="134" xfId="0" applyNumberFormat="1" applyFont="1" applyBorder="1" applyAlignment="1">
      <alignment horizontal="center" vertical="center"/>
    </xf>
    <xf numFmtId="301" fontId="230" fillId="0" borderId="132" xfId="0" applyNumberFormat="1" applyFont="1" applyBorder="1" applyAlignment="1">
      <alignment horizontal="right" vertical="center" wrapText="1"/>
    </xf>
    <xf numFmtId="0" fontId="226" fillId="0" borderId="104" xfId="0" applyFont="1" applyBorder="1" applyAlignment="1">
      <alignment horizontal="center" vertical="center"/>
    </xf>
    <xf numFmtId="3" fontId="226" fillId="0" borderId="126" xfId="0" applyNumberFormat="1" applyFont="1" applyBorder="1" applyAlignment="1">
      <alignment horizontal="right" vertical="center"/>
    </xf>
    <xf numFmtId="301" fontId="200" fillId="0" borderId="153" xfId="0" applyNumberFormat="1" applyFont="1" applyBorder="1" applyAlignment="1">
      <alignment horizontal="left" vertical="center" wrapText="1"/>
    </xf>
    <xf numFmtId="301" fontId="200" fillId="0" borderId="154" xfId="0" applyNumberFormat="1" applyFont="1" applyBorder="1" applyAlignment="1">
      <alignment horizontal="right" vertical="center" wrapText="1"/>
    </xf>
    <xf numFmtId="41" fontId="237" fillId="0" borderId="0" xfId="1498" applyFont="1" applyAlignment="1">
      <alignment horizontal="right" vertical="center"/>
    </xf>
    <xf numFmtId="299" fontId="221" fillId="43" borderId="133" xfId="0" applyNumberFormat="1" applyFont="1" applyFill="1" applyBorder="1" applyAlignment="1">
      <alignment horizontal="right" vertical="center" wrapText="1"/>
    </xf>
    <xf numFmtId="0" fontId="195" fillId="52" borderId="8" xfId="0" applyFont="1" applyFill="1" applyBorder="1" applyAlignment="1">
      <alignment horizontal="center" vertical="center" wrapText="1"/>
    </xf>
    <xf numFmtId="302" fontId="223" fillId="0" borderId="0" xfId="0" applyNumberFormat="1" applyFont="1" applyAlignment="1">
      <alignment vertical="center" wrapText="1"/>
    </xf>
    <xf numFmtId="0" fontId="224" fillId="52" borderId="43" xfId="0" applyFont="1" applyFill="1" applyBorder="1" applyAlignment="1">
      <alignment horizontal="centerContinuous" vertical="center"/>
    </xf>
    <xf numFmtId="0" fontId="224" fillId="52" borderId="14" xfId="0" applyFont="1" applyFill="1" applyBorder="1" applyAlignment="1">
      <alignment horizontal="centerContinuous" vertical="center"/>
    </xf>
    <xf numFmtId="176" fontId="200" fillId="0" borderId="0" xfId="2023" applyNumberFormat="1" applyFont="1">
      <alignment vertical="center"/>
    </xf>
    <xf numFmtId="176" fontId="195" fillId="0" borderId="0" xfId="2023" applyNumberFormat="1" applyFont="1">
      <alignment vertical="center"/>
    </xf>
    <xf numFmtId="176" fontId="200" fillId="0" borderId="0" xfId="2023" applyNumberFormat="1" applyFont="1" applyAlignment="1">
      <alignment horizontal="left" vertical="center" indent="2"/>
    </xf>
    <xf numFmtId="176" fontId="200" fillId="0" borderId="0" xfId="2023" applyNumberFormat="1" applyFont="1" applyAlignment="1">
      <alignment horizontal="right" vertical="center"/>
    </xf>
    <xf numFmtId="176" fontId="195" fillId="0" borderId="0" xfId="2023" applyNumberFormat="1" applyFont="1" applyAlignment="1">
      <alignment horizontal="right" vertical="center"/>
    </xf>
    <xf numFmtId="0" fontId="237" fillId="45" borderId="8" xfId="1919" applyFont="1" applyFill="1" applyBorder="1" applyAlignment="1">
      <alignment vertical="center"/>
    </xf>
    <xf numFmtId="14" fontId="237" fillId="0" borderId="8" xfId="1919" applyNumberFormat="1" applyFont="1" applyBorder="1" applyAlignment="1">
      <alignment vertical="center"/>
    </xf>
    <xf numFmtId="14" fontId="237" fillId="0" borderId="0" xfId="1919" applyNumberFormat="1" applyFont="1" applyAlignment="1">
      <alignment horizontal="center" vertical="center"/>
    </xf>
    <xf numFmtId="0" fontId="237" fillId="0" borderId="0" xfId="1919" applyFont="1" applyAlignment="1">
      <alignment vertical="center"/>
    </xf>
    <xf numFmtId="0" fontId="249" fillId="0" borderId="0" xfId="1919" applyFont="1"/>
    <xf numFmtId="0" fontId="237" fillId="0" borderId="0" xfId="1919" applyFont="1" applyAlignment="1">
      <alignment horizontal="center" vertical="center"/>
    </xf>
    <xf numFmtId="14" fontId="237" fillId="0" borderId="0" xfId="1919" applyNumberFormat="1" applyFont="1" applyAlignment="1">
      <alignment vertical="center"/>
    </xf>
    <xf numFmtId="300" fontId="220" fillId="54" borderId="43" xfId="1919" applyNumberFormat="1" applyFont="1" applyFill="1" applyBorder="1" applyAlignment="1">
      <alignment horizontal="centerContinuous" vertical="center"/>
    </xf>
    <xf numFmtId="300" fontId="220" fillId="54" borderId="41" xfId="1919" applyNumberFormat="1" applyFont="1" applyFill="1" applyBorder="1" applyAlignment="1">
      <alignment horizontal="centerContinuous" vertical="center"/>
    </xf>
    <xf numFmtId="300" fontId="220" fillId="54" borderId="41" xfId="1919" applyNumberFormat="1" applyFont="1" applyFill="1" applyBorder="1" applyAlignment="1">
      <alignment horizontal="center" vertical="center"/>
    </xf>
    <xf numFmtId="300" fontId="220" fillId="54" borderId="8" xfId="1919" applyNumberFormat="1" applyFont="1" applyFill="1" applyBorder="1" applyAlignment="1">
      <alignment horizontal="center" vertical="center"/>
    </xf>
    <xf numFmtId="300" fontId="219" fillId="0" borderId="44" xfId="1919" applyNumberFormat="1" applyFont="1" applyBorder="1" applyAlignment="1">
      <alignment horizontal="center" vertical="center"/>
    </xf>
    <xf numFmtId="300" fontId="219" fillId="0" borderId="44" xfId="1919" applyNumberFormat="1" applyFont="1" applyBorder="1" applyAlignment="1">
      <alignment vertical="center"/>
    </xf>
    <xf numFmtId="0" fontId="219" fillId="0" borderId="44" xfId="1919" applyFont="1" applyBorder="1" applyAlignment="1">
      <alignment vertical="center"/>
    </xf>
    <xf numFmtId="313" fontId="219" fillId="0" borderId="44" xfId="1919" applyNumberFormat="1" applyFont="1" applyBorder="1" applyAlignment="1">
      <alignment horizontal="right" vertical="center"/>
    </xf>
    <xf numFmtId="300" fontId="219" fillId="0" borderId="44" xfId="1919" applyNumberFormat="1" applyFont="1" applyBorder="1" applyAlignment="1">
      <alignment horizontal="left" vertical="center" wrapText="1"/>
    </xf>
    <xf numFmtId="300" fontId="220" fillId="0" borderId="113" xfId="1919" applyNumberFormat="1" applyFont="1" applyBorder="1" applyAlignment="1">
      <alignment horizontal="center" vertical="center"/>
    </xf>
    <xf numFmtId="300" fontId="219" fillId="0" borderId="113" xfId="1919" applyNumberFormat="1" applyFont="1" applyBorder="1" applyAlignment="1">
      <alignment horizontal="center" vertical="center"/>
    </xf>
    <xf numFmtId="300" fontId="219" fillId="0" borderId="113" xfId="1919" applyNumberFormat="1" applyFont="1" applyBorder="1" applyAlignment="1">
      <alignment vertical="center"/>
    </xf>
    <xf numFmtId="0" fontId="219" fillId="0" borderId="113" xfId="1919" applyFont="1" applyBorder="1" applyAlignment="1">
      <alignment vertical="center"/>
    </xf>
    <xf numFmtId="313" fontId="219" fillId="0" borderId="113" xfId="1919" applyNumberFormat="1" applyFont="1" applyBorder="1" applyAlignment="1">
      <alignment horizontal="right" vertical="center"/>
    </xf>
    <xf numFmtId="300" fontId="219" fillId="0" borderId="113" xfId="1919" applyNumberFormat="1" applyFont="1" applyBorder="1" applyAlignment="1">
      <alignment horizontal="left" vertical="center" wrapText="1"/>
    </xf>
    <xf numFmtId="301" fontId="219" fillId="0" borderId="0" xfId="1919" applyNumberFormat="1" applyFont="1" applyAlignment="1">
      <alignment vertical="center"/>
    </xf>
    <xf numFmtId="0" fontId="237" fillId="0" borderId="8" xfId="1919" applyFont="1" applyBorder="1" applyAlignment="1">
      <alignment vertical="center"/>
    </xf>
    <xf numFmtId="0" fontId="237" fillId="0" borderId="8" xfId="1919" applyFont="1" applyBorder="1" applyAlignment="1">
      <alignment horizontal="center" vertical="center"/>
    </xf>
    <xf numFmtId="313" fontId="237" fillId="0" borderId="8" xfId="1919" applyNumberFormat="1" applyFont="1" applyBorder="1" applyAlignment="1">
      <alignment vertical="center"/>
    </xf>
    <xf numFmtId="313" fontId="250" fillId="57" borderId="0" xfId="1919" applyNumberFormat="1" applyFont="1" applyFill="1" applyAlignment="1">
      <alignment vertical="center"/>
    </xf>
    <xf numFmtId="313" fontId="237" fillId="0" borderId="0" xfId="1919" applyNumberFormat="1" applyFont="1" applyAlignment="1">
      <alignment vertical="center"/>
    </xf>
    <xf numFmtId="10" fontId="237" fillId="0" borderId="0" xfId="1919" applyNumberFormat="1" applyFont="1" applyAlignment="1">
      <alignment vertical="center"/>
    </xf>
    <xf numFmtId="0" fontId="237" fillId="0" borderId="0" xfId="1919" applyFont="1" applyAlignment="1">
      <alignment horizontal="right" vertical="center"/>
    </xf>
    <xf numFmtId="14" fontId="254" fillId="51" borderId="2" xfId="0" applyNumberFormat="1" applyFont="1" applyFill="1" applyBorder="1" applyAlignment="1">
      <alignment horizontal="centerContinuous" vertical="center"/>
    </xf>
    <xf numFmtId="176" fontId="254" fillId="51" borderId="2" xfId="0" applyNumberFormat="1" applyFont="1" applyFill="1" applyBorder="1" applyAlignment="1">
      <alignment horizontal="centerContinuous" vertical="center"/>
    </xf>
    <xf numFmtId="176" fontId="248" fillId="0" borderId="0" xfId="2023" applyNumberFormat="1" applyFont="1" applyAlignment="1">
      <alignment horizontal="center" vertical="center"/>
    </xf>
    <xf numFmtId="0" fontId="226" fillId="0" borderId="104" xfId="0" applyFont="1" applyBorder="1">
      <alignment vertical="center"/>
    </xf>
    <xf numFmtId="0" fontId="229" fillId="54" borderId="8" xfId="0" applyFont="1" applyFill="1" applyBorder="1" applyAlignment="1">
      <alignment horizontal="center" vertical="center" wrapText="1"/>
    </xf>
    <xf numFmtId="312" fontId="230" fillId="0" borderId="8" xfId="0" applyNumberFormat="1" applyFont="1" applyBorder="1" applyAlignment="1">
      <alignment horizontal="right" vertical="center" wrapText="1"/>
    </xf>
    <xf numFmtId="176" fontId="195" fillId="54" borderId="11" xfId="2023" applyNumberFormat="1" applyFont="1" applyFill="1" applyBorder="1" applyAlignment="1">
      <alignment horizontal="center" vertical="center"/>
    </xf>
    <xf numFmtId="176" fontId="195" fillId="54" borderId="13" xfId="2023" applyNumberFormat="1" applyFont="1" applyFill="1" applyBorder="1">
      <alignment vertical="center"/>
    </xf>
    <xf numFmtId="176" fontId="195" fillId="54" borderId="13" xfId="0" applyNumberFormat="1" applyFont="1" applyFill="1" applyBorder="1">
      <alignment vertical="center"/>
    </xf>
    <xf numFmtId="176" fontId="201" fillId="54" borderId="11" xfId="0" applyNumberFormat="1" applyFont="1" applyFill="1" applyBorder="1" applyAlignment="1">
      <alignment horizontal="center" vertical="center"/>
    </xf>
    <xf numFmtId="176" fontId="195" fillId="54" borderId="11" xfId="0" applyNumberFormat="1" applyFont="1" applyFill="1" applyBorder="1" applyAlignment="1">
      <alignment horizontal="center" vertical="center"/>
    </xf>
    <xf numFmtId="176" fontId="201" fillId="54" borderId="13" xfId="0" applyNumberFormat="1" applyFont="1" applyFill="1" applyBorder="1">
      <alignment vertical="center"/>
    </xf>
    <xf numFmtId="176" fontId="200" fillId="54" borderId="0" xfId="0" applyNumberFormat="1" applyFont="1" applyFill="1">
      <alignment vertical="center"/>
    </xf>
    <xf numFmtId="176" fontId="201" fillId="54" borderId="0" xfId="0" applyNumberFormat="1" applyFont="1" applyFill="1">
      <alignment vertical="center"/>
    </xf>
    <xf numFmtId="176" fontId="195" fillId="54" borderId="13" xfId="0" applyNumberFormat="1" applyFont="1" applyFill="1" applyBorder="1" applyAlignment="1">
      <alignment horizontal="right" vertical="center"/>
    </xf>
    <xf numFmtId="176" fontId="195" fillId="54" borderId="13" xfId="2023" applyNumberFormat="1" applyFont="1" applyFill="1" applyBorder="1" applyAlignment="1">
      <alignment horizontal="right" vertical="center"/>
    </xf>
    <xf numFmtId="176" fontId="201" fillId="54" borderId="42" xfId="0" applyNumberFormat="1" applyFont="1" applyFill="1" applyBorder="1">
      <alignment vertical="center"/>
    </xf>
    <xf numFmtId="176" fontId="201" fillId="54" borderId="16" xfId="0" applyNumberFormat="1" applyFont="1" applyFill="1" applyBorder="1" applyAlignment="1">
      <alignment horizontal="left" vertical="center"/>
    </xf>
    <xf numFmtId="176" fontId="201" fillId="54" borderId="16" xfId="0" applyNumberFormat="1" applyFont="1" applyFill="1" applyBorder="1">
      <alignment vertical="center"/>
    </xf>
    <xf numFmtId="176" fontId="200" fillId="54" borderId="16" xfId="0" applyNumberFormat="1" applyFont="1" applyFill="1" applyBorder="1" applyAlignment="1">
      <alignment horizontal="left" vertical="center" indent="2"/>
    </xf>
    <xf numFmtId="176" fontId="195" fillId="0" borderId="16" xfId="0" applyNumberFormat="1" applyFont="1" applyBorder="1" applyAlignment="1">
      <alignment horizontal="left" vertical="center" indent="1"/>
    </xf>
    <xf numFmtId="176" fontId="201" fillId="54" borderId="0" xfId="0" applyNumberFormat="1" applyFont="1" applyFill="1" applyAlignment="1">
      <alignment horizontal="left" vertical="center" indent="1"/>
    </xf>
    <xf numFmtId="176" fontId="195" fillId="54" borderId="0" xfId="0" applyNumberFormat="1" applyFont="1" applyFill="1" applyAlignment="1">
      <alignment horizontal="right" vertical="center"/>
    </xf>
    <xf numFmtId="176" fontId="195" fillId="54" borderId="0" xfId="0" applyNumberFormat="1" applyFont="1" applyFill="1">
      <alignment vertical="center"/>
    </xf>
    <xf numFmtId="176" fontId="11" fillId="54" borderId="0" xfId="0" applyNumberFormat="1" applyFont="1" applyFill="1">
      <alignment vertical="center"/>
    </xf>
    <xf numFmtId="176" fontId="210" fillId="54" borderId="0" xfId="0" applyNumberFormat="1" applyFont="1" applyFill="1">
      <alignment vertical="center"/>
    </xf>
    <xf numFmtId="176" fontId="200" fillId="54" borderId="0" xfId="2023" applyNumberFormat="1" applyFont="1" applyFill="1">
      <alignment vertical="center"/>
    </xf>
    <xf numFmtId="176" fontId="195" fillId="54" borderId="0" xfId="0" applyNumberFormat="1" applyFont="1" applyFill="1" applyAlignment="1">
      <alignment horizontal="left" vertical="center" indent="1"/>
    </xf>
    <xf numFmtId="176" fontId="11" fillId="54" borderId="0" xfId="0" applyNumberFormat="1" applyFont="1" applyFill="1" applyAlignment="1">
      <alignment horizontal="right" vertical="center"/>
    </xf>
    <xf numFmtId="14" fontId="245" fillId="55" borderId="140" xfId="1919" applyNumberFormat="1" applyFont="1" applyFill="1" applyBorder="1" applyAlignment="1">
      <alignment horizontal="centerContinuous" vertical="center" wrapText="1"/>
    </xf>
    <xf numFmtId="176" fontId="201" fillId="54" borderId="114" xfId="0" applyNumberFormat="1" applyFont="1" applyFill="1" applyBorder="1">
      <alignment vertical="center"/>
    </xf>
    <xf numFmtId="176" fontId="201" fillId="54" borderId="163" xfId="0" applyNumberFormat="1" applyFont="1" applyFill="1" applyBorder="1">
      <alignment vertical="center"/>
    </xf>
    <xf numFmtId="176" fontId="200" fillId="0" borderId="8" xfId="0" applyNumberFormat="1" applyFont="1" applyBorder="1" applyAlignment="1">
      <alignment horizontal="right" vertical="center"/>
    </xf>
    <xf numFmtId="176" fontId="195" fillId="0" borderId="0" xfId="2023" applyNumberFormat="1" applyFont="1" applyAlignment="1">
      <alignment horizontal="center" vertical="center"/>
    </xf>
    <xf numFmtId="176" fontId="201" fillId="60" borderId="39" xfId="0" applyNumberFormat="1" applyFont="1" applyFill="1" applyBorder="1" applyAlignment="1">
      <alignment horizontal="center" vertical="center"/>
    </xf>
    <xf numFmtId="14" fontId="201" fillId="60" borderId="39" xfId="0" applyNumberFormat="1" applyFont="1" applyFill="1" applyBorder="1" applyAlignment="1">
      <alignment horizontal="center" vertical="center"/>
    </xf>
    <xf numFmtId="14" fontId="201" fillId="60" borderId="11" xfId="0" applyNumberFormat="1" applyFont="1" applyFill="1" applyBorder="1" applyAlignment="1">
      <alignment horizontal="center" vertical="center"/>
    </xf>
    <xf numFmtId="0" fontId="200" fillId="0" borderId="0" xfId="0" quotePrefix="1" applyFont="1">
      <alignment vertical="center"/>
    </xf>
    <xf numFmtId="176" fontId="200" fillId="56" borderId="16" xfId="0" applyNumberFormat="1" applyFont="1" applyFill="1" applyBorder="1">
      <alignment vertical="center"/>
    </xf>
    <xf numFmtId="176" fontId="200" fillId="56" borderId="0" xfId="0" applyNumberFormat="1" applyFont="1" applyFill="1">
      <alignment vertical="center"/>
    </xf>
    <xf numFmtId="41" fontId="237" fillId="0" borderId="0" xfId="1498" applyFont="1" applyAlignment="1">
      <alignment vertical="center"/>
    </xf>
    <xf numFmtId="41" fontId="237" fillId="0" borderId="0" xfId="1919" applyNumberFormat="1" applyFont="1" applyAlignment="1">
      <alignment vertical="center"/>
    </xf>
    <xf numFmtId="0" fontId="11" fillId="44" borderId="22" xfId="1969" quotePrefix="1" applyFont="1" applyFill="1" applyBorder="1" applyAlignment="1">
      <alignment horizontal="center" vertical="center"/>
    </xf>
    <xf numFmtId="0" fontId="11" fillId="44" borderId="22" xfId="1969" applyFont="1" applyFill="1" applyBorder="1" applyAlignment="1">
      <alignment horizontal="center" vertical="center"/>
    </xf>
    <xf numFmtId="176" fontId="11" fillId="44" borderId="22" xfId="1969" quotePrefix="1" applyNumberFormat="1" applyFont="1" applyFill="1" applyBorder="1" applyAlignment="1">
      <alignment horizontal="center" vertical="center"/>
    </xf>
    <xf numFmtId="176" fontId="201" fillId="45" borderId="2" xfId="0" applyNumberFormat="1" applyFont="1" applyFill="1" applyBorder="1" applyAlignment="1">
      <alignment horizontal="left" vertical="center"/>
    </xf>
    <xf numFmtId="176" fontId="195" fillId="45" borderId="2" xfId="0" applyNumberFormat="1" applyFont="1" applyFill="1" applyBorder="1">
      <alignment vertical="center"/>
    </xf>
    <xf numFmtId="176" fontId="201" fillId="45" borderId="2" xfId="0" applyNumberFormat="1" applyFont="1" applyFill="1" applyBorder="1">
      <alignment vertical="center"/>
    </xf>
    <xf numFmtId="176" fontId="195" fillId="45" borderId="2" xfId="2023" applyNumberFormat="1" applyFont="1" applyFill="1" applyBorder="1">
      <alignment vertical="center"/>
    </xf>
    <xf numFmtId="176" fontId="201" fillId="45" borderId="136" xfId="0" applyNumberFormat="1" applyFont="1" applyFill="1" applyBorder="1" applyAlignment="1">
      <alignment horizontal="left" vertical="center"/>
    </xf>
    <xf numFmtId="176" fontId="195" fillId="45" borderId="136" xfId="0" applyNumberFormat="1" applyFont="1" applyFill="1" applyBorder="1">
      <alignment vertical="center"/>
    </xf>
    <xf numFmtId="176" fontId="200" fillId="45" borderId="136" xfId="0" applyNumberFormat="1" applyFont="1" applyFill="1" applyBorder="1">
      <alignment vertical="center"/>
    </xf>
    <xf numFmtId="176" fontId="195" fillId="45" borderId="136" xfId="2023" applyNumberFormat="1" applyFont="1" applyFill="1" applyBorder="1">
      <alignment vertical="center"/>
    </xf>
    <xf numFmtId="176" fontId="200" fillId="45" borderId="136" xfId="2023" applyNumberFormat="1" applyFont="1" applyFill="1" applyBorder="1">
      <alignment vertical="center"/>
    </xf>
    <xf numFmtId="176" fontId="195" fillId="23" borderId="114" xfId="0" applyNumberFormat="1" applyFont="1" applyFill="1" applyBorder="1">
      <alignment vertical="center"/>
    </xf>
    <xf numFmtId="176" fontId="201" fillId="54" borderId="13" xfId="0" applyNumberFormat="1" applyFont="1" applyFill="1" applyBorder="1" applyAlignment="1">
      <alignment horizontal="center" vertical="center"/>
    </xf>
    <xf numFmtId="176" fontId="195" fillId="54" borderId="13" xfId="0" applyNumberFormat="1" applyFont="1" applyFill="1" applyBorder="1" applyAlignment="1">
      <alignment horizontal="center" vertical="center"/>
    </xf>
    <xf numFmtId="176" fontId="195" fillId="54" borderId="13" xfId="2023" applyNumberFormat="1" applyFont="1" applyFill="1" applyBorder="1" applyAlignment="1">
      <alignment horizontal="center" vertical="center"/>
    </xf>
    <xf numFmtId="176" fontId="195" fillId="54" borderId="167" xfId="0" applyNumberFormat="1" applyFont="1" applyFill="1" applyBorder="1" applyAlignment="1">
      <alignment horizontal="left" vertical="center"/>
    </xf>
    <xf numFmtId="176" fontId="195" fillId="54" borderId="167" xfId="0" applyNumberFormat="1" applyFont="1" applyFill="1" applyBorder="1" applyAlignment="1">
      <alignment horizontal="right" vertical="center"/>
    </xf>
    <xf numFmtId="176" fontId="200" fillId="0" borderId="167" xfId="0" applyNumberFormat="1" applyFont="1" applyBorder="1">
      <alignment vertical="center"/>
    </xf>
    <xf numFmtId="176" fontId="195" fillId="54" borderId="136" xfId="0" applyNumberFormat="1" applyFont="1" applyFill="1" applyBorder="1" applyAlignment="1">
      <alignment horizontal="left" vertical="center"/>
    </xf>
    <xf numFmtId="176" fontId="11" fillId="54" borderId="136" xfId="0" applyNumberFormat="1" applyFont="1" applyFill="1" applyBorder="1">
      <alignment vertical="center"/>
    </xf>
    <xf numFmtId="176" fontId="210" fillId="54" borderId="136" xfId="0" applyNumberFormat="1" applyFont="1" applyFill="1" applyBorder="1">
      <alignment vertical="center"/>
    </xf>
    <xf numFmtId="176" fontId="10" fillId="54" borderId="136" xfId="0" applyNumberFormat="1" applyFont="1" applyFill="1" applyBorder="1">
      <alignment vertical="center"/>
    </xf>
    <xf numFmtId="0" fontId="219" fillId="0" borderId="44" xfId="1919" applyFont="1" applyBorder="1" applyAlignment="1">
      <alignment horizontal="center" vertical="center"/>
    </xf>
    <xf numFmtId="0" fontId="219" fillId="0" borderId="113" xfId="1919" applyFont="1" applyBorder="1" applyAlignment="1">
      <alignment horizontal="center" vertical="center"/>
    </xf>
    <xf numFmtId="176" fontId="200" fillId="56" borderId="0" xfId="0" applyNumberFormat="1" applyFont="1" applyFill="1" applyAlignment="1">
      <alignment horizontal="left" vertical="center" indent="2"/>
    </xf>
    <xf numFmtId="176" fontId="11" fillId="56" borderId="0" xfId="0" applyNumberFormat="1" applyFont="1" applyFill="1" applyAlignment="1">
      <alignment horizontal="right" vertical="center"/>
    </xf>
    <xf numFmtId="176" fontId="200" fillId="56" borderId="0" xfId="2023" applyNumberFormat="1" applyFont="1" applyFill="1" applyAlignment="1">
      <alignment horizontal="right" vertical="center"/>
    </xf>
    <xf numFmtId="176" fontId="200" fillId="56" borderId="0" xfId="2023" applyNumberFormat="1" applyFont="1" applyFill="1">
      <alignment vertical="center"/>
    </xf>
    <xf numFmtId="176" fontId="218" fillId="0" borderId="0" xfId="0" applyNumberFormat="1" applyFont="1">
      <alignment vertical="center"/>
    </xf>
    <xf numFmtId="0" fontId="218" fillId="44" borderId="22" xfId="1969" quotePrefix="1" applyFont="1" applyFill="1" applyBorder="1" applyAlignment="1">
      <alignment horizontal="center" vertical="center"/>
    </xf>
    <xf numFmtId="0" fontId="226" fillId="0" borderId="8" xfId="0" applyFont="1" applyBorder="1">
      <alignment vertical="center"/>
    </xf>
    <xf numFmtId="302" fontId="13" fillId="0" borderId="166" xfId="1499" applyNumberFormat="1" applyFont="1" applyFill="1" applyBorder="1"/>
    <xf numFmtId="302" fontId="13" fillId="0" borderId="166" xfId="1498" applyNumberFormat="1" applyFont="1" applyFill="1" applyBorder="1" applyAlignment="1">
      <alignment vertical="center"/>
    </xf>
    <xf numFmtId="302" fontId="13" fillId="0" borderId="168" xfId="1498" applyNumberFormat="1" applyFont="1" applyFill="1" applyBorder="1" applyAlignment="1"/>
    <xf numFmtId="302" fontId="13" fillId="0" borderId="166" xfId="1498" applyNumberFormat="1" applyFont="1" applyFill="1" applyBorder="1" applyAlignment="1"/>
    <xf numFmtId="302" fontId="206" fillId="0" borderId="168" xfId="1498" applyNumberFormat="1" applyFont="1" applyFill="1" applyBorder="1">
      <alignment vertical="center"/>
    </xf>
    <xf numFmtId="302" fontId="223" fillId="43" borderId="0" xfId="0" applyNumberFormat="1" applyFont="1" applyFill="1">
      <alignment vertical="center"/>
    </xf>
    <xf numFmtId="0" fontId="11" fillId="24" borderId="8" xfId="1433" applyFont="1" applyFill="1" applyBorder="1" applyAlignment="1">
      <alignment horizontal="left" vertical="top" wrapText="1" indent="3"/>
    </xf>
    <xf numFmtId="14" fontId="236" fillId="61" borderId="8" xfId="0" applyNumberFormat="1" applyFont="1" applyFill="1" applyBorder="1" applyAlignment="1">
      <alignment horizontal="center" vertical="center"/>
    </xf>
    <xf numFmtId="302" fontId="236" fillId="61" borderId="8" xfId="0" applyNumberFormat="1" applyFont="1" applyFill="1" applyBorder="1">
      <alignment vertical="center"/>
    </xf>
    <xf numFmtId="302" fontId="245" fillId="46" borderId="8" xfId="0" applyNumberFormat="1" applyFont="1" applyFill="1" applyBorder="1" applyAlignment="1">
      <alignment horizontal="center" vertical="center"/>
    </xf>
    <xf numFmtId="14" fontId="236" fillId="59" borderId="8" xfId="0" applyNumberFormat="1" applyFont="1" applyFill="1" applyBorder="1" applyAlignment="1">
      <alignment horizontal="center" vertical="center"/>
    </xf>
    <xf numFmtId="302" fontId="220" fillId="52" borderId="8" xfId="0" applyNumberFormat="1" applyFont="1" applyFill="1" applyBorder="1">
      <alignment vertical="center"/>
    </xf>
    <xf numFmtId="302" fontId="236" fillId="52" borderId="8" xfId="0" applyNumberFormat="1" applyFont="1" applyFill="1" applyBorder="1" applyAlignment="1">
      <alignment horizontal="right" vertical="center"/>
    </xf>
    <xf numFmtId="302" fontId="219" fillId="0" borderId="8" xfId="0" applyNumberFormat="1" applyFont="1" applyBorder="1" applyAlignment="1">
      <alignment horizontal="left" vertical="center"/>
    </xf>
    <xf numFmtId="302" fontId="236" fillId="0" borderId="8" xfId="0" applyNumberFormat="1" applyFont="1" applyBorder="1" applyAlignment="1">
      <alignment horizontal="right" vertical="center"/>
    </xf>
    <xf numFmtId="302" fontId="219" fillId="52" borderId="8" xfId="0" applyNumberFormat="1" applyFont="1" applyFill="1" applyBorder="1" applyAlignment="1">
      <alignment horizontal="right" vertical="center"/>
    </xf>
    <xf numFmtId="302" fontId="220" fillId="0" borderId="8" xfId="0" applyNumberFormat="1" applyFont="1" applyBorder="1">
      <alignment vertical="center"/>
    </xf>
    <xf numFmtId="302" fontId="219" fillId="0" borderId="8" xfId="0" applyNumberFormat="1" applyFont="1" applyBorder="1" applyAlignment="1">
      <alignment horizontal="right" vertical="center"/>
    </xf>
    <xf numFmtId="302" fontId="219" fillId="0" borderId="8" xfId="0" applyNumberFormat="1" applyFont="1" applyBorder="1">
      <alignment vertical="center"/>
    </xf>
    <xf numFmtId="302" fontId="220" fillId="0" borderId="8" xfId="0" applyNumberFormat="1" applyFont="1" applyBorder="1" applyAlignment="1">
      <alignment horizontal="right" vertical="center"/>
    </xf>
    <xf numFmtId="302" fontId="236" fillId="0" borderId="0" xfId="0" applyNumberFormat="1" applyFont="1">
      <alignment vertical="center"/>
    </xf>
    <xf numFmtId="302" fontId="239" fillId="0" borderId="0" xfId="0" applyNumberFormat="1" applyFont="1">
      <alignment vertical="center"/>
    </xf>
    <xf numFmtId="0" fontId="223" fillId="56" borderId="8" xfId="0" applyFont="1" applyFill="1" applyBorder="1" applyAlignment="1">
      <alignment horizontal="center" vertical="center"/>
    </xf>
    <xf numFmtId="302" fontId="11" fillId="0" borderId="167" xfId="1260" applyNumberFormat="1" applyFont="1" applyBorder="1" applyAlignment="1" applyProtection="1">
      <alignment horizontal="center" vertical="center"/>
    </xf>
    <xf numFmtId="302" fontId="11" fillId="0" borderId="0" xfId="1260" applyNumberFormat="1" applyFont="1" applyAlignment="1" applyProtection="1">
      <alignment vertical="center"/>
    </xf>
    <xf numFmtId="0" fontId="223" fillId="57" borderId="8" xfId="0" applyFont="1" applyFill="1" applyBorder="1" applyAlignment="1">
      <alignment horizontal="center" vertical="center"/>
    </xf>
    <xf numFmtId="0" fontId="223" fillId="58" borderId="8" xfId="0" applyFont="1" applyFill="1" applyBorder="1" applyAlignment="1">
      <alignment horizontal="center" vertical="center"/>
    </xf>
    <xf numFmtId="302" fontId="206" fillId="43" borderId="0" xfId="1498" applyNumberFormat="1" applyFont="1" applyFill="1">
      <alignment vertical="center"/>
    </xf>
    <xf numFmtId="301" fontId="195" fillId="52" borderId="169" xfId="0" applyNumberFormat="1" applyFont="1" applyFill="1" applyBorder="1" applyAlignment="1">
      <alignment horizontal="center" vertical="center" wrapText="1"/>
    </xf>
    <xf numFmtId="301" fontId="223" fillId="0" borderId="0" xfId="0" quotePrefix="1" applyNumberFormat="1" applyFont="1" applyAlignment="1">
      <alignment horizontal="left" vertical="center"/>
    </xf>
    <xf numFmtId="302" fontId="223" fillId="0" borderId="0" xfId="0" quotePrefix="1" applyNumberFormat="1" applyFont="1">
      <alignment vertical="center"/>
    </xf>
    <xf numFmtId="0" fontId="242" fillId="23" borderId="130" xfId="0" applyFont="1" applyFill="1" applyBorder="1" applyAlignment="1">
      <alignment horizontal="center" vertical="center" wrapText="1"/>
    </xf>
    <xf numFmtId="0" fontId="242" fillId="24" borderId="130" xfId="0" applyFont="1" applyFill="1" applyBorder="1" applyAlignment="1">
      <alignment horizontal="center" vertical="center"/>
    </xf>
    <xf numFmtId="311" fontId="242" fillId="24" borderId="130" xfId="0" applyNumberFormat="1" applyFont="1" applyFill="1" applyBorder="1" applyAlignment="1">
      <alignment horizontal="right" vertical="center"/>
    </xf>
    <xf numFmtId="301" fontId="200" fillId="0" borderId="120" xfId="0" applyNumberFormat="1" applyFont="1" applyBorder="1" applyAlignment="1">
      <alignment horizontal="right" vertical="center" wrapText="1"/>
    </xf>
    <xf numFmtId="301" fontId="235" fillId="0" borderId="0" xfId="0" applyNumberFormat="1" applyFont="1" applyAlignment="1">
      <alignment horizontal="left" vertical="center"/>
    </xf>
    <xf numFmtId="178" fontId="235" fillId="0" borderId="132" xfId="1458" applyNumberFormat="1" applyFont="1" applyBorder="1">
      <alignment vertical="center"/>
    </xf>
    <xf numFmtId="178" fontId="235" fillId="0" borderId="132" xfId="0" applyNumberFormat="1" applyFont="1" applyBorder="1">
      <alignment vertical="center"/>
    </xf>
    <xf numFmtId="178" fontId="200" fillId="0" borderId="8" xfId="1498" applyNumberFormat="1" applyFont="1" applyFill="1" applyBorder="1" applyAlignment="1">
      <alignment horizontal="right" vertical="center" wrapText="1"/>
    </xf>
    <xf numFmtId="301" fontId="200" fillId="0" borderId="145" xfId="0" applyNumberFormat="1" applyFont="1" applyBorder="1" applyAlignment="1">
      <alignment horizontal="left" vertical="center" wrapText="1" indent="1"/>
    </xf>
    <xf numFmtId="301" fontId="200" fillId="0" borderId="150" xfId="0" applyNumberFormat="1" applyFont="1" applyBorder="1" applyAlignment="1">
      <alignment horizontal="left" vertical="center"/>
    </xf>
    <xf numFmtId="301" fontId="200" fillId="0" borderId="149" xfId="0" applyNumberFormat="1" applyFont="1" applyBorder="1" applyAlignment="1">
      <alignment horizontal="right" vertical="center"/>
    </xf>
    <xf numFmtId="301" fontId="230" fillId="0" borderId="52" xfId="0" applyNumberFormat="1" applyFont="1" applyBorder="1" applyAlignment="1">
      <alignment horizontal="center" vertical="center"/>
    </xf>
    <xf numFmtId="301" fontId="195" fillId="52" borderId="8" xfId="0" applyNumberFormat="1" applyFont="1" applyFill="1" applyBorder="1" applyAlignment="1">
      <alignment horizontal="centerContinuous" vertical="center"/>
    </xf>
    <xf numFmtId="301" fontId="200" fillId="0" borderId="45" xfId="0" applyNumberFormat="1" applyFont="1" applyBorder="1" applyAlignment="1">
      <alignment horizontal="right" vertical="center" wrapText="1"/>
    </xf>
    <xf numFmtId="301" fontId="200" fillId="0" borderId="96" xfId="0" applyNumberFormat="1" applyFont="1" applyBorder="1" applyAlignment="1">
      <alignment horizontal="right" vertical="center" wrapText="1"/>
    </xf>
    <xf numFmtId="301" fontId="200" fillId="0" borderId="170" xfId="1498" applyNumberFormat="1" applyFont="1" applyFill="1" applyBorder="1" applyAlignment="1">
      <alignment horizontal="right" vertical="center" wrapText="1"/>
    </xf>
    <xf numFmtId="0" fontId="241" fillId="0" borderId="171" xfId="0" applyFont="1" applyBorder="1" applyAlignment="1">
      <alignment horizontal="center" vertical="center"/>
    </xf>
    <xf numFmtId="314" fontId="241" fillId="0" borderId="171" xfId="1532" applyNumberFormat="1" applyFont="1" applyBorder="1">
      <alignment vertical="center"/>
    </xf>
    <xf numFmtId="314" fontId="241" fillId="0" borderId="171" xfId="1532" applyNumberFormat="1" applyFont="1" applyFill="1" applyBorder="1">
      <alignment vertical="center"/>
    </xf>
    <xf numFmtId="301" fontId="200" fillId="0" borderId="171" xfId="0" applyNumberFormat="1" applyFont="1" applyBorder="1" applyAlignment="1">
      <alignment horizontal="center" vertical="center" wrapText="1"/>
    </xf>
    <xf numFmtId="302" fontId="200" fillId="0" borderId="171" xfId="1498" applyNumberFormat="1" applyFont="1" applyFill="1" applyBorder="1" applyAlignment="1" applyProtection="1">
      <alignment vertical="center"/>
    </xf>
    <xf numFmtId="0" fontId="171" fillId="0" borderId="0" xfId="0" applyFont="1" applyAlignment="1">
      <alignment horizontal="center"/>
    </xf>
    <xf numFmtId="41" fontId="242" fillId="0" borderId="0" xfId="2037" applyFont="1" applyFill="1" applyBorder="1" applyAlignment="1" applyProtection="1"/>
    <xf numFmtId="0" fontId="242" fillId="0" borderId="0" xfId="0" applyFont="1" applyAlignment="1">
      <alignment horizontal="center"/>
    </xf>
    <xf numFmtId="41" fontId="242" fillId="0" borderId="0" xfId="0" applyNumberFormat="1" applyFont="1" applyAlignment="1"/>
    <xf numFmtId="0" fontId="223" fillId="56" borderId="8" xfId="0" quotePrefix="1" applyFont="1" applyFill="1" applyBorder="1" applyAlignment="1">
      <alignment horizontal="center" vertical="center"/>
    </xf>
    <xf numFmtId="302" fontId="219" fillId="0" borderId="171" xfId="0" applyNumberFormat="1" applyFont="1" applyBorder="1" applyAlignment="1">
      <alignment horizontal="left" vertical="center"/>
    </xf>
    <xf numFmtId="0" fontId="204" fillId="0" borderId="171" xfId="0" applyFont="1" applyBorder="1" applyAlignment="1">
      <alignment horizontal="left" vertical="top" wrapText="1" indent="3"/>
    </xf>
    <xf numFmtId="176" fontId="204" fillId="0" borderId="171" xfId="0" applyNumberFormat="1" applyFont="1" applyBorder="1" applyAlignment="1">
      <alignment vertical="top" wrapText="1"/>
    </xf>
    <xf numFmtId="176" fontId="204" fillId="0" borderId="171" xfId="0" applyNumberFormat="1" applyFont="1" applyBorder="1" applyAlignment="1">
      <alignment horizontal="right" vertical="top" wrapText="1"/>
    </xf>
    <xf numFmtId="301" fontId="200" fillId="0" borderId="172" xfId="0" applyNumberFormat="1" applyFont="1" applyBorder="1" applyAlignment="1">
      <alignment horizontal="left" vertical="center" wrapText="1"/>
    </xf>
    <xf numFmtId="315" fontId="223" fillId="0" borderId="0" xfId="0" applyNumberFormat="1" applyFont="1">
      <alignment vertical="center"/>
    </xf>
    <xf numFmtId="176" fontId="223" fillId="0" borderId="0" xfId="1498" applyNumberFormat="1" applyFont="1">
      <alignment vertical="center"/>
    </xf>
    <xf numFmtId="176" fontId="200" fillId="0" borderId="0" xfId="1498" applyNumberFormat="1" applyFont="1" applyFill="1" applyBorder="1" applyAlignment="1">
      <alignment horizontal="right" vertical="center" wrapText="1"/>
    </xf>
    <xf numFmtId="176" fontId="223" fillId="0" borderId="0" xfId="0" applyNumberFormat="1" applyFont="1">
      <alignment vertical="center"/>
    </xf>
    <xf numFmtId="301" fontId="200" fillId="0" borderId="174" xfId="0" applyNumberFormat="1" applyFont="1" applyBorder="1" applyAlignment="1">
      <alignment horizontal="right" vertical="center"/>
    </xf>
    <xf numFmtId="301" fontId="200" fillId="0" borderId="173" xfId="0" applyNumberFormat="1" applyFont="1" applyBorder="1" applyAlignment="1">
      <alignment horizontal="center" vertical="center"/>
    </xf>
    <xf numFmtId="301" fontId="200" fillId="0" borderId="175" xfId="0" applyNumberFormat="1" applyFont="1" applyBorder="1" applyAlignment="1">
      <alignment horizontal="left" vertical="center" wrapText="1"/>
    </xf>
    <xf numFmtId="301" fontId="200" fillId="0" borderId="176" xfId="0" applyNumberFormat="1" applyFont="1" applyBorder="1" applyAlignment="1">
      <alignment horizontal="right" vertical="center" wrapText="1"/>
    </xf>
    <xf numFmtId="301" fontId="200" fillId="0" borderId="177" xfId="0" applyNumberFormat="1" applyFont="1" applyBorder="1" applyAlignment="1">
      <alignment horizontal="right" vertical="center" wrapText="1"/>
    </xf>
    <xf numFmtId="0" fontId="256" fillId="0" borderId="126" xfId="0" applyFont="1" applyBorder="1" applyAlignment="1">
      <alignment horizontal="center" vertical="top" wrapText="1"/>
    </xf>
    <xf numFmtId="301" fontId="229" fillId="45" borderId="70" xfId="0" applyNumberFormat="1" applyFont="1" applyFill="1" applyBorder="1" applyAlignment="1">
      <alignment horizontal="center" vertical="center"/>
    </xf>
    <xf numFmtId="301" fontId="195" fillId="45" borderId="178" xfId="0" applyNumberFormat="1" applyFont="1" applyFill="1" applyBorder="1" applyAlignment="1">
      <alignment horizontal="center" vertical="center" wrapText="1"/>
    </xf>
    <xf numFmtId="302" fontId="219" fillId="0" borderId="132" xfId="0" applyNumberFormat="1" applyFont="1" applyBorder="1" applyAlignment="1">
      <alignment horizontal="left" vertical="center"/>
    </xf>
    <xf numFmtId="302" fontId="223" fillId="0" borderId="160" xfId="0" applyNumberFormat="1" applyFont="1" applyBorder="1">
      <alignment vertical="center"/>
    </xf>
    <xf numFmtId="302" fontId="13" fillId="43" borderId="3" xfId="1499" applyNumberFormat="1" applyFont="1" applyFill="1" applyBorder="1"/>
    <xf numFmtId="302" fontId="206" fillId="43" borderId="3" xfId="1498" applyNumberFormat="1" applyFont="1" applyFill="1" applyBorder="1">
      <alignment vertical="center"/>
    </xf>
    <xf numFmtId="0" fontId="258" fillId="0" borderId="0" xfId="0" applyFont="1">
      <alignment vertical="center"/>
    </xf>
    <xf numFmtId="0" fontId="257" fillId="0" borderId="132" xfId="0" applyFont="1" applyBorder="1" applyAlignment="1">
      <alignment horizontal="left" vertical="center" wrapText="1"/>
    </xf>
    <xf numFmtId="302" fontId="257" fillId="0" borderId="132" xfId="0" applyNumberFormat="1" applyFont="1" applyBorder="1" applyAlignment="1">
      <alignment horizontal="right" vertical="center"/>
    </xf>
    <xf numFmtId="10" fontId="258" fillId="0" borderId="0" xfId="0" applyNumberFormat="1" applyFont="1">
      <alignment vertical="center"/>
    </xf>
    <xf numFmtId="302" fontId="219" fillId="62" borderId="104" xfId="0" applyNumberFormat="1" applyFont="1" applyFill="1" applyBorder="1" applyAlignment="1">
      <alignment horizontal="left" vertical="center"/>
    </xf>
    <xf numFmtId="302" fontId="219" fillId="62" borderId="126" xfId="0" applyNumberFormat="1" applyFont="1" applyFill="1" applyBorder="1" applyAlignment="1">
      <alignment horizontal="right" vertical="center"/>
    </xf>
    <xf numFmtId="302" fontId="219" fillId="62" borderId="127" xfId="0" applyNumberFormat="1" applyFont="1" applyFill="1" applyBorder="1" applyAlignment="1">
      <alignment horizontal="right" vertical="center"/>
    </xf>
    <xf numFmtId="301" fontId="195" fillId="52" borderId="60" xfId="0" applyNumberFormat="1" applyFont="1" applyFill="1" applyBorder="1" applyAlignment="1">
      <alignment horizontal="centerContinuous" vertical="center" wrapText="1"/>
    </xf>
    <xf numFmtId="302" fontId="223" fillId="0" borderId="2" xfId="0" applyNumberFormat="1" applyFont="1" applyBorder="1">
      <alignment vertical="center"/>
    </xf>
    <xf numFmtId="302" fontId="223" fillId="0" borderId="171" xfId="1498" applyNumberFormat="1" applyFont="1" applyBorder="1" applyAlignment="1">
      <alignment vertical="center"/>
    </xf>
    <xf numFmtId="302" fontId="200" fillId="0" borderId="171" xfId="1498" applyNumberFormat="1" applyFont="1" applyBorder="1" applyAlignment="1">
      <alignment horizontal="right" vertical="center" wrapText="1"/>
    </xf>
    <xf numFmtId="0" fontId="226" fillId="53" borderId="158" xfId="0" applyFont="1" applyFill="1" applyBorder="1" applyAlignment="1">
      <alignment horizontal="center" vertical="center"/>
    </xf>
    <xf numFmtId="0" fontId="226" fillId="53" borderId="159" xfId="0" applyFont="1" applyFill="1" applyBorder="1" applyAlignment="1">
      <alignment horizontal="center" vertical="center"/>
    </xf>
    <xf numFmtId="41" fontId="226" fillId="0" borderId="126" xfId="1498" applyFont="1" applyBorder="1" applyAlignment="1">
      <alignment horizontal="right" vertical="center"/>
    </xf>
    <xf numFmtId="176" fontId="200" fillId="43" borderId="0" xfId="0" applyNumberFormat="1" applyFont="1" applyFill="1" applyAlignment="1">
      <alignment horizontal="left" vertical="center" indent="1"/>
    </xf>
    <xf numFmtId="0" fontId="200" fillId="0" borderId="171" xfId="0" applyFont="1" applyBorder="1" applyAlignment="1">
      <alignment horizontal="left" vertical="top" wrapText="1" indent="3"/>
    </xf>
    <xf numFmtId="301" fontId="195" fillId="52" borderId="132" xfId="0" applyNumberFormat="1" applyFont="1" applyFill="1" applyBorder="1" applyAlignment="1">
      <alignment horizontal="center" vertical="center" wrapText="1"/>
    </xf>
    <xf numFmtId="14" fontId="223" fillId="0" borderId="0" xfId="0" applyNumberFormat="1" applyFont="1">
      <alignment vertical="center"/>
    </xf>
    <xf numFmtId="314" fontId="223" fillId="0" borderId="0" xfId="1498" applyNumberFormat="1" applyFont="1">
      <alignment vertical="center"/>
    </xf>
    <xf numFmtId="14" fontId="236" fillId="0" borderId="0" xfId="0" applyNumberFormat="1" applyFont="1" applyAlignment="1">
      <alignment horizontal="left" vertical="center"/>
    </xf>
    <xf numFmtId="41" fontId="236" fillId="0" borderId="0" xfId="0" applyNumberFormat="1" applyFont="1" applyAlignment="1">
      <alignment horizontal="center" vertical="center"/>
    </xf>
    <xf numFmtId="0" fontId="219" fillId="0" borderId="0" xfId="0" applyFont="1">
      <alignment vertical="center"/>
    </xf>
    <xf numFmtId="0" fontId="236" fillId="0" borderId="0" xfId="0" applyFont="1" applyAlignment="1">
      <alignment horizontal="left" vertical="center"/>
    </xf>
    <xf numFmtId="41" fontId="219" fillId="0" borderId="0" xfId="0" applyNumberFormat="1" applyFont="1" applyAlignment="1">
      <alignment horizontal="center" vertical="center"/>
    </xf>
    <xf numFmtId="41" fontId="219" fillId="0" borderId="0" xfId="2020" applyFont="1" applyBorder="1" applyAlignment="1">
      <alignment horizontal="center" vertical="center"/>
    </xf>
    <xf numFmtId="14" fontId="236" fillId="0" borderId="160" xfId="0" applyNumberFormat="1" applyFont="1" applyBorder="1" applyAlignment="1">
      <alignment horizontal="left" vertical="center"/>
    </xf>
    <xf numFmtId="41" fontId="236" fillId="0" borderId="160" xfId="2020" applyFont="1" applyBorder="1" applyAlignment="1">
      <alignment horizontal="center" vertical="center"/>
    </xf>
    <xf numFmtId="41" fontId="219" fillId="0" borderId="160" xfId="2020" applyFont="1" applyBorder="1">
      <alignment vertical="center"/>
    </xf>
    <xf numFmtId="41" fontId="219" fillId="0" borderId="0" xfId="0" applyNumberFormat="1" applyFont="1">
      <alignment vertical="center"/>
    </xf>
    <xf numFmtId="41" fontId="219" fillId="0" borderId="0" xfId="2020" applyFont="1" applyBorder="1">
      <alignment vertical="center"/>
    </xf>
    <xf numFmtId="41" fontId="236" fillId="0" borderId="0" xfId="2020" applyFont="1" applyBorder="1" applyAlignment="1">
      <alignment horizontal="center" vertical="center"/>
    </xf>
    <xf numFmtId="41" fontId="236" fillId="43" borderId="0" xfId="0" applyNumberFormat="1" applyFont="1" applyFill="1" applyAlignment="1">
      <alignment horizontal="center" vertical="center"/>
    </xf>
    <xf numFmtId="41" fontId="219" fillId="0" borderId="160" xfId="0" applyNumberFormat="1" applyFont="1" applyBorder="1">
      <alignment vertical="center"/>
    </xf>
    <xf numFmtId="0" fontId="226" fillId="53" borderId="159" xfId="0" applyFont="1" applyFill="1" applyBorder="1" applyAlignment="1">
      <alignment horizontal="center" vertical="center" wrapText="1"/>
    </xf>
    <xf numFmtId="316" fontId="223" fillId="0" borderId="0" xfId="0" applyNumberFormat="1" applyFont="1">
      <alignment vertical="center"/>
    </xf>
    <xf numFmtId="0" fontId="219" fillId="0" borderId="114" xfId="1919" applyFont="1" applyBorder="1" applyAlignment="1">
      <alignment horizontal="center" vertical="center"/>
    </xf>
    <xf numFmtId="0" fontId="219" fillId="0" borderId="0" xfId="1919" applyFont="1" applyAlignment="1">
      <alignment horizontal="center" vertical="center"/>
    </xf>
    <xf numFmtId="0" fontId="219" fillId="0" borderId="55" xfId="1919" applyFont="1" applyBorder="1" applyAlignment="1">
      <alignment horizontal="center" vertical="center"/>
    </xf>
    <xf numFmtId="301" fontId="219" fillId="0" borderId="2" xfId="1919" applyNumberFormat="1" applyFont="1" applyBorder="1" applyAlignment="1">
      <alignment vertical="center"/>
    </xf>
    <xf numFmtId="300" fontId="219" fillId="0" borderId="168" xfId="1919" applyNumberFormat="1" applyFont="1" applyBorder="1" applyAlignment="1">
      <alignment horizontal="center" vertical="center"/>
    </xf>
    <xf numFmtId="0" fontId="219" fillId="0" borderId="168" xfId="1919" applyFont="1" applyBorder="1" applyAlignment="1">
      <alignment horizontal="center" vertical="center"/>
    </xf>
    <xf numFmtId="300" fontId="219" fillId="0" borderId="168" xfId="1919" applyNumberFormat="1" applyFont="1" applyBorder="1" applyAlignment="1">
      <alignment vertical="center"/>
    </xf>
    <xf numFmtId="313" fontId="219" fillId="0" borderId="168" xfId="1919" applyNumberFormat="1" applyFont="1" applyBorder="1" applyAlignment="1">
      <alignment horizontal="right" vertical="center"/>
    </xf>
    <xf numFmtId="300" fontId="219" fillId="0" borderId="168" xfId="1919" applyNumberFormat="1" applyFont="1" applyBorder="1" applyAlignment="1">
      <alignment horizontal="left" vertical="center" wrapText="1"/>
    </xf>
    <xf numFmtId="300" fontId="219" fillId="0" borderId="164" xfId="1919" applyNumberFormat="1" applyFont="1" applyBorder="1" applyAlignment="1">
      <alignment horizontal="center" vertical="center"/>
    </xf>
    <xf numFmtId="0" fontId="219" fillId="0" borderId="164" xfId="1919" applyFont="1" applyBorder="1" applyAlignment="1">
      <alignment horizontal="center" vertical="center"/>
    </xf>
    <xf numFmtId="300" fontId="219" fillId="0" borderId="164" xfId="1919" applyNumberFormat="1" applyFont="1" applyBorder="1" applyAlignment="1">
      <alignment vertical="center"/>
    </xf>
    <xf numFmtId="313" fontId="219" fillId="0" borderId="164" xfId="1919" applyNumberFormat="1" applyFont="1" applyBorder="1" applyAlignment="1">
      <alignment horizontal="right" vertical="center"/>
    </xf>
    <xf numFmtId="300" fontId="219" fillId="0" borderId="164" xfId="1919" applyNumberFormat="1" applyFont="1" applyBorder="1" applyAlignment="1">
      <alignment horizontal="left" vertical="center" wrapText="1"/>
    </xf>
    <xf numFmtId="300" fontId="220" fillId="0" borderId="168" xfId="1919" applyNumberFormat="1" applyFont="1" applyBorder="1" applyAlignment="1">
      <alignment horizontal="center" vertical="center"/>
    </xf>
    <xf numFmtId="300" fontId="222" fillId="0" borderId="113" xfId="1919" applyNumberFormat="1" applyFont="1" applyBorder="1" applyAlignment="1">
      <alignment horizontal="left" vertical="center" wrapText="1"/>
    </xf>
    <xf numFmtId="300" fontId="222" fillId="0" borderId="113" xfId="1919" applyNumberFormat="1" applyFont="1" applyBorder="1" applyAlignment="1">
      <alignment vertical="center"/>
    </xf>
    <xf numFmtId="0" fontId="219" fillId="0" borderId="168" xfId="1919" applyFont="1" applyBorder="1" applyAlignment="1">
      <alignment vertical="center"/>
    </xf>
    <xf numFmtId="0" fontId="219" fillId="0" borderId="164" xfId="1919" applyFont="1" applyBorder="1" applyAlignment="1">
      <alignment vertical="center"/>
    </xf>
    <xf numFmtId="300" fontId="219" fillId="0" borderId="165" xfId="1919" applyNumberFormat="1" applyFont="1" applyBorder="1" applyAlignment="1">
      <alignment horizontal="center" vertical="center"/>
    </xf>
    <xf numFmtId="300" fontId="219" fillId="0" borderId="0" xfId="1919" applyNumberFormat="1" applyFont="1" applyAlignment="1">
      <alignment horizontal="center" vertical="center"/>
    </xf>
    <xf numFmtId="300" fontId="219" fillId="0" borderId="55" xfId="1919" applyNumberFormat="1" applyFont="1" applyBorder="1" applyAlignment="1">
      <alignment horizontal="center" vertical="center"/>
    </xf>
    <xf numFmtId="300" fontId="219" fillId="0" borderId="114" xfId="1919" applyNumberFormat="1" applyFont="1" applyBorder="1" applyAlignment="1">
      <alignment horizontal="center" vertical="center"/>
    </xf>
    <xf numFmtId="301" fontId="219" fillId="0" borderId="167" xfId="1919" applyNumberFormat="1" applyFont="1" applyBorder="1" applyAlignment="1">
      <alignment vertical="center"/>
    </xf>
    <xf numFmtId="300" fontId="219" fillId="0" borderId="166" xfId="1919" applyNumberFormat="1" applyFont="1" applyBorder="1" applyAlignment="1">
      <alignment horizontal="center" vertical="center"/>
    </xf>
    <xf numFmtId="300" fontId="222" fillId="0" borderId="168" xfId="1919" applyNumberFormat="1" applyFont="1" applyBorder="1" applyAlignment="1">
      <alignment vertical="center"/>
    </xf>
    <xf numFmtId="300" fontId="219" fillId="0" borderId="113" xfId="1919" quotePrefix="1" applyNumberFormat="1" applyFont="1" applyBorder="1" applyAlignment="1">
      <alignment horizontal="center" vertical="center"/>
    </xf>
    <xf numFmtId="0" fontId="230" fillId="0" borderId="0" xfId="1892" applyFont="1"/>
    <xf numFmtId="0" fontId="221" fillId="0" borderId="133" xfId="1892" applyFont="1" applyBorder="1" applyAlignment="1">
      <alignment horizontal="left" vertical="center"/>
    </xf>
    <xf numFmtId="0" fontId="221" fillId="0" borderId="133" xfId="1892" applyFont="1" applyBorder="1" applyAlignment="1">
      <alignment horizontal="right" vertical="center"/>
    </xf>
    <xf numFmtId="0" fontId="222" fillId="0" borderId="0" xfId="0" applyFont="1" applyAlignment="1">
      <alignment horizontal="center"/>
    </xf>
    <xf numFmtId="0" fontId="230" fillId="0" borderId="0" xfId="1892" applyFont="1" applyAlignment="1">
      <alignment horizontal="center"/>
    </xf>
    <xf numFmtId="176" fontId="11" fillId="0" borderId="0" xfId="0" applyNumberFormat="1" applyFont="1" applyAlignment="1">
      <alignment horizontal="left" vertical="center" indent="2"/>
    </xf>
    <xf numFmtId="0" fontId="222" fillId="0" borderId="0" xfId="1892" applyFont="1" applyAlignment="1">
      <alignment horizontal="center"/>
    </xf>
    <xf numFmtId="176" fontId="11" fillId="0" borderId="0" xfId="0" applyNumberFormat="1" applyFont="1">
      <alignment vertical="center"/>
    </xf>
    <xf numFmtId="176" fontId="11" fillId="44" borderId="84" xfId="1969" applyNumberFormat="1" applyFont="1" applyFill="1" applyBorder="1" applyAlignment="1">
      <alignment horizontal="center" vertical="center"/>
    </xf>
    <xf numFmtId="176" fontId="11" fillId="44" borderId="22" xfId="1969" applyNumberFormat="1" applyFont="1" applyFill="1" applyBorder="1" applyAlignment="1">
      <alignment horizontal="center" vertical="center"/>
    </xf>
    <xf numFmtId="176" fontId="11" fillId="0" borderId="22" xfId="1969" applyNumberFormat="1" applyFont="1" applyBorder="1" applyAlignment="1">
      <alignment horizontal="center" vertical="center"/>
    </xf>
    <xf numFmtId="176" fontId="11" fillId="44" borderId="85" xfId="1969" applyNumberFormat="1" applyFont="1" applyFill="1" applyBorder="1" applyAlignment="1">
      <alignment horizontal="center" vertical="center"/>
    </xf>
    <xf numFmtId="176" fontId="11" fillId="44" borderId="84" xfId="1969" quotePrefix="1" applyNumberFormat="1" applyFont="1" applyFill="1" applyBorder="1" applyAlignment="1">
      <alignment horizontal="center" vertical="center"/>
    </xf>
    <xf numFmtId="176" fontId="11" fillId="44" borderId="85" xfId="1969" quotePrefix="1" applyNumberFormat="1" applyFont="1" applyFill="1" applyBorder="1" applyAlignment="1">
      <alignment horizontal="center" vertical="center"/>
    </xf>
    <xf numFmtId="3" fontId="230" fillId="0" borderId="0" xfId="1892" applyNumberFormat="1" applyFont="1"/>
    <xf numFmtId="0" fontId="222" fillId="0" borderId="0" xfId="1892" applyFont="1" applyAlignment="1">
      <alignment horizontal="left"/>
    </xf>
    <xf numFmtId="299" fontId="221" fillId="0" borderId="133" xfId="1892" applyNumberFormat="1" applyFont="1" applyBorder="1" applyAlignment="1">
      <alignment horizontal="right" vertical="center" wrapText="1"/>
    </xf>
    <xf numFmtId="0" fontId="222" fillId="0" borderId="0" xfId="0" applyFont="1" applyAlignment="1">
      <alignment horizontal="center" vertical="center"/>
    </xf>
    <xf numFmtId="176" fontId="11" fillId="0" borderId="0" xfId="0" applyNumberFormat="1" applyFont="1" applyAlignment="1">
      <alignment horizontal="left" vertical="center" indent="1"/>
    </xf>
    <xf numFmtId="49" fontId="217" fillId="41" borderId="162" xfId="1892" applyNumberFormat="1" applyFont="1" applyFill="1" applyBorder="1" applyAlignment="1">
      <alignment vertical="center"/>
    </xf>
    <xf numFmtId="176" fontId="200" fillId="56" borderId="0" xfId="0" applyNumberFormat="1" applyFont="1" applyFill="1" applyAlignment="1">
      <alignment horizontal="right" vertical="center"/>
    </xf>
    <xf numFmtId="176" fontId="218" fillId="0" borderId="16" xfId="0" applyNumberFormat="1" applyFont="1" applyBorder="1" applyAlignment="1">
      <alignment horizontal="left" vertical="center" indent="1"/>
    </xf>
    <xf numFmtId="49" fontId="217" fillId="41" borderId="162" xfId="0" applyNumberFormat="1" applyFont="1" applyFill="1" applyBorder="1">
      <alignment vertical="center"/>
    </xf>
    <xf numFmtId="0" fontId="221" fillId="0" borderId="133" xfId="0" applyFont="1" applyBorder="1" applyAlignment="1">
      <alignment horizontal="left" vertical="center"/>
    </xf>
    <xf numFmtId="299" fontId="221" fillId="0" borderId="133" xfId="0" applyNumberFormat="1" applyFont="1" applyBorder="1" applyAlignment="1">
      <alignment horizontal="right" vertical="center" wrapText="1"/>
    </xf>
    <xf numFmtId="0" fontId="221" fillId="43" borderId="133" xfId="0" applyFont="1" applyFill="1" applyBorder="1" applyAlignment="1">
      <alignment horizontal="left" vertical="center"/>
    </xf>
    <xf numFmtId="0" fontId="192" fillId="0" borderId="133" xfId="0" applyFont="1" applyBorder="1" applyAlignment="1">
      <alignment horizontal="left" vertical="center"/>
    </xf>
    <xf numFmtId="299" fontId="192" fillId="0" borderId="133" xfId="0" applyNumberFormat="1" applyFont="1" applyBorder="1" applyAlignment="1">
      <alignment horizontal="right" vertical="center" wrapText="1"/>
    </xf>
    <xf numFmtId="49" fontId="251" fillId="41" borderId="162" xfId="0" applyNumberFormat="1" applyFont="1" applyFill="1" applyBorder="1">
      <alignment vertical="center"/>
    </xf>
    <xf numFmtId="0" fontId="236" fillId="0" borderId="167" xfId="0" applyFont="1" applyBorder="1" applyAlignment="1">
      <alignment horizontal="center" vertical="center"/>
    </xf>
    <xf numFmtId="41" fontId="236" fillId="0" borderId="167" xfId="0" applyNumberFormat="1" applyFont="1" applyBorder="1" applyAlignment="1">
      <alignment horizontal="center" vertical="center"/>
    </xf>
    <xf numFmtId="0" fontId="219" fillId="0" borderId="167" xfId="0" applyFont="1" applyBorder="1" applyAlignment="1">
      <alignment horizontal="center" vertical="center"/>
    </xf>
    <xf numFmtId="0" fontId="259" fillId="0" borderId="0" xfId="0" applyFont="1" applyAlignment="1">
      <alignment horizontal="left" vertical="center"/>
    </xf>
    <xf numFmtId="0" fontId="236" fillId="0" borderId="147" xfId="0" applyFont="1" applyBorder="1" applyAlignment="1">
      <alignment horizontal="left" vertical="center"/>
    </xf>
    <xf numFmtId="41" fontId="236" fillId="0" borderId="137" xfId="0" applyNumberFormat="1" applyFont="1" applyBorder="1" applyAlignment="1">
      <alignment horizontal="center" vertical="center"/>
    </xf>
    <xf numFmtId="41" fontId="219" fillId="0" borderId="137" xfId="0" applyNumberFormat="1" applyFont="1" applyBorder="1">
      <alignment vertical="center"/>
    </xf>
    <xf numFmtId="0" fontId="219" fillId="0" borderId="138" xfId="0" applyFont="1" applyBorder="1">
      <alignment vertical="center"/>
    </xf>
    <xf numFmtId="0" fontId="236" fillId="0" borderId="165" xfId="0" applyFont="1" applyBorder="1" applyAlignment="1">
      <alignment horizontal="left" vertical="center"/>
    </xf>
    <xf numFmtId="0" fontId="236" fillId="0" borderId="167" xfId="0" applyFont="1" applyBorder="1" applyAlignment="1">
      <alignment horizontal="left" vertical="center"/>
    </xf>
    <xf numFmtId="0" fontId="219" fillId="0" borderId="167" xfId="0" applyFont="1" applyBorder="1">
      <alignment vertical="center"/>
    </xf>
    <xf numFmtId="41" fontId="219" fillId="0" borderId="37" xfId="0" applyNumberFormat="1" applyFont="1" applyBorder="1">
      <alignment vertical="center"/>
    </xf>
    <xf numFmtId="0" fontId="260" fillId="0" borderId="0" xfId="2044" applyFont="1">
      <alignment vertical="center"/>
    </xf>
    <xf numFmtId="0" fontId="261" fillId="63" borderId="0" xfId="2044" applyFont="1" applyFill="1">
      <alignment vertical="center"/>
    </xf>
    <xf numFmtId="41" fontId="0" fillId="63" borderId="0" xfId="2045" applyFont="1" applyFill="1">
      <alignment vertical="center"/>
    </xf>
    <xf numFmtId="0" fontId="1" fillId="63" borderId="0" xfId="2044" applyFill="1">
      <alignment vertical="center"/>
    </xf>
    <xf numFmtId="0" fontId="1" fillId="0" borderId="0" xfId="2044">
      <alignment vertical="center"/>
    </xf>
    <xf numFmtId="0" fontId="224" fillId="64" borderId="132" xfId="2044" applyFont="1" applyFill="1" applyBorder="1" applyAlignment="1">
      <alignment horizontal="center" vertical="center"/>
    </xf>
    <xf numFmtId="41" fontId="224" fillId="64" borderId="132" xfId="2045" applyFont="1" applyFill="1" applyBorder="1" applyAlignment="1">
      <alignment horizontal="center" vertical="center" wrapText="1"/>
    </xf>
    <xf numFmtId="0" fontId="224" fillId="64" borderId="132" xfId="2044" applyFont="1" applyFill="1" applyBorder="1" applyAlignment="1">
      <alignment horizontal="center" vertical="center" wrapText="1"/>
    </xf>
    <xf numFmtId="0" fontId="1" fillId="0" borderId="0" xfId="2044" applyAlignment="1">
      <alignment horizontal="center" vertical="center"/>
    </xf>
    <xf numFmtId="0" fontId="242" fillId="0" borderId="132" xfId="2044" applyFont="1" applyBorder="1" applyAlignment="1">
      <alignment horizontal="center" vertical="center"/>
    </xf>
    <xf numFmtId="14" fontId="242" fillId="0" borderId="132" xfId="2044" applyNumberFormat="1" applyFont="1" applyBorder="1" applyAlignment="1">
      <alignment horizontal="center" vertical="center"/>
    </xf>
    <xf numFmtId="41" fontId="242" fillId="0" borderId="132" xfId="2045" applyFont="1" applyBorder="1">
      <alignment vertical="center"/>
    </xf>
    <xf numFmtId="14" fontId="242" fillId="0" borderId="132" xfId="2045" applyNumberFormat="1" applyFont="1" applyBorder="1" applyAlignment="1">
      <alignment horizontal="center" vertical="center"/>
    </xf>
    <xf numFmtId="41" fontId="242" fillId="0" borderId="132" xfId="2045" applyFont="1" applyBorder="1" applyAlignment="1">
      <alignment horizontal="center" vertical="center"/>
    </xf>
    <xf numFmtId="0" fontId="242" fillId="0" borderId="0" xfId="2044" applyFont="1">
      <alignment vertical="center"/>
    </xf>
    <xf numFmtId="0" fontId="242" fillId="65" borderId="132" xfId="2044" applyFont="1" applyFill="1" applyBorder="1" applyAlignment="1">
      <alignment horizontal="center" vertical="center"/>
    </xf>
    <xf numFmtId="14" fontId="242" fillId="65" borderId="132" xfId="2044" applyNumberFormat="1" applyFont="1" applyFill="1" applyBorder="1" applyAlignment="1">
      <alignment horizontal="center" vertical="center"/>
    </xf>
    <xf numFmtId="41" fontId="242" fillId="65" borderId="132" xfId="2045" applyFont="1" applyFill="1" applyBorder="1">
      <alignment vertical="center"/>
    </xf>
    <xf numFmtId="41" fontId="242" fillId="65" borderId="132" xfId="2044" applyNumberFormat="1" applyFont="1" applyFill="1" applyBorder="1">
      <alignment vertical="center"/>
    </xf>
    <xf numFmtId="41" fontId="242" fillId="0" borderId="132" xfId="2045" applyFont="1" applyFill="1" applyBorder="1">
      <alignment vertical="center"/>
    </xf>
    <xf numFmtId="41" fontId="242" fillId="0" borderId="132" xfId="2044" applyNumberFormat="1" applyFont="1" applyBorder="1">
      <alignment vertical="center"/>
    </xf>
    <xf numFmtId="0" fontId="242" fillId="0" borderId="132" xfId="2044" applyFont="1" applyBorder="1">
      <alignment vertical="center"/>
    </xf>
    <xf numFmtId="0" fontId="242" fillId="65" borderId="132" xfId="2044" applyFont="1" applyFill="1" applyBorder="1">
      <alignment vertical="center"/>
    </xf>
    <xf numFmtId="41" fontId="242" fillId="0" borderId="132" xfId="2045" applyFont="1" applyFill="1" applyBorder="1" applyAlignment="1">
      <alignment horizontal="center" vertical="center"/>
    </xf>
    <xf numFmtId="41" fontId="242" fillId="65" borderId="132" xfId="2045" applyFont="1" applyFill="1" applyBorder="1" applyAlignment="1">
      <alignment horizontal="center" vertical="center"/>
    </xf>
    <xf numFmtId="0" fontId="262" fillId="0" borderId="132" xfId="2044" applyFont="1" applyBorder="1">
      <alignment vertical="center"/>
    </xf>
    <xf numFmtId="0" fontId="262" fillId="0" borderId="0" xfId="2044" applyFont="1">
      <alignment vertical="center"/>
    </xf>
    <xf numFmtId="41" fontId="242" fillId="0" borderId="0" xfId="2045" applyFont="1">
      <alignment vertical="center"/>
    </xf>
    <xf numFmtId="41" fontId="242" fillId="0" borderId="0" xfId="2044" applyNumberFormat="1" applyFont="1">
      <alignment vertical="center"/>
    </xf>
    <xf numFmtId="0" fontId="242" fillId="0" borderId="0" xfId="2044" applyFont="1" applyAlignment="1">
      <alignment horizontal="right" vertical="center"/>
    </xf>
    <xf numFmtId="41" fontId="0" fillId="0" borderId="0" xfId="2045" applyFont="1">
      <alignment vertical="center"/>
    </xf>
    <xf numFmtId="41" fontId="263" fillId="0" borderId="0" xfId="2044" applyNumberFormat="1" applyFont="1">
      <alignment vertical="center"/>
    </xf>
    <xf numFmtId="41" fontId="0" fillId="0" borderId="0" xfId="0" applyNumberFormat="1">
      <alignment vertical="center"/>
    </xf>
    <xf numFmtId="301" fontId="200" fillId="0" borderId="154" xfId="1498" applyNumberFormat="1" applyFont="1" applyFill="1" applyBorder="1" applyAlignment="1">
      <alignment horizontal="right" vertical="center" wrapText="1"/>
    </xf>
    <xf numFmtId="0" fontId="223" fillId="56" borderId="132" xfId="0" applyFont="1" applyFill="1" applyBorder="1" applyAlignment="1">
      <alignment horizontal="center" vertical="center"/>
    </xf>
    <xf numFmtId="302" fontId="13" fillId="57" borderId="113" xfId="1498" applyNumberFormat="1" applyFont="1" applyFill="1" applyBorder="1" applyAlignment="1"/>
    <xf numFmtId="301" fontId="200" fillId="0" borderId="145" xfId="0" applyNumberFormat="1" applyFont="1" applyBorder="1" applyAlignment="1">
      <alignment horizontal="left" vertical="center" wrapText="1"/>
    </xf>
    <xf numFmtId="301" fontId="200" fillId="0" borderId="176" xfId="1498" applyNumberFormat="1" applyFont="1" applyFill="1" applyBorder="1" applyAlignment="1">
      <alignment horizontal="right" vertical="center" wrapText="1"/>
    </xf>
    <xf numFmtId="301" fontId="200" fillId="0" borderId="173" xfId="0" applyNumberFormat="1" applyFont="1" applyBorder="1" applyAlignment="1">
      <alignment horizontal="left" vertical="center" wrapText="1"/>
    </xf>
    <xf numFmtId="301" fontId="200" fillId="0" borderId="174" xfId="1498" applyNumberFormat="1" applyFont="1" applyFill="1" applyBorder="1" applyAlignment="1">
      <alignment horizontal="right" vertical="center" wrapText="1"/>
    </xf>
    <xf numFmtId="301" fontId="200" fillId="0" borderId="174" xfId="0" applyNumberFormat="1" applyFont="1" applyBorder="1" applyAlignment="1">
      <alignment horizontal="right" vertical="center" wrapText="1"/>
    </xf>
    <xf numFmtId="3" fontId="226" fillId="0" borderId="121" xfId="0" applyNumberFormat="1" applyFont="1" applyBorder="1" applyAlignment="1">
      <alignment horizontal="left" vertical="top"/>
    </xf>
    <xf numFmtId="3" fontId="226" fillId="0" borderId="126" xfId="0" applyNumberFormat="1" applyFont="1" applyBorder="1" applyAlignment="1">
      <alignment horizontal="left" vertical="top"/>
    </xf>
    <xf numFmtId="3" fontId="226" fillId="0" borderId="121" xfId="0" applyNumberFormat="1" applyFont="1" applyBorder="1" applyAlignment="1">
      <alignment horizontal="right" vertical="top"/>
    </xf>
    <xf numFmtId="3" fontId="226" fillId="0" borderId="126" xfId="0" applyNumberFormat="1" applyFont="1" applyBorder="1" applyAlignment="1">
      <alignment horizontal="right" vertical="top"/>
    </xf>
    <xf numFmtId="0" fontId="255" fillId="0" borderId="0" xfId="0" applyFont="1">
      <alignment vertical="center"/>
    </xf>
    <xf numFmtId="0" fontId="237" fillId="56" borderId="0" xfId="0" applyFont="1" applyFill="1">
      <alignment vertical="center"/>
    </xf>
    <xf numFmtId="0" fontId="237" fillId="56" borderId="0" xfId="0" applyFont="1" applyFill="1" applyAlignment="1">
      <alignment horizontal="center" vertical="center"/>
    </xf>
    <xf numFmtId="0" fontId="242" fillId="24" borderId="157" xfId="0" applyFont="1" applyFill="1" applyBorder="1" applyAlignment="1">
      <alignment horizontal="center" vertical="center"/>
    </xf>
    <xf numFmtId="311" fontId="242" fillId="24" borderId="157" xfId="0" applyNumberFormat="1" applyFont="1" applyFill="1" applyBorder="1" applyAlignment="1">
      <alignment horizontal="right" vertical="center"/>
    </xf>
    <xf numFmtId="0" fontId="242" fillId="24" borderId="0" xfId="0" applyFont="1" applyFill="1" applyAlignment="1">
      <alignment horizontal="center" vertical="center"/>
    </xf>
    <xf numFmtId="311" fontId="242" fillId="24" borderId="0" xfId="0" applyNumberFormat="1" applyFont="1" applyFill="1" applyAlignment="1">
      <alignment horizontal="right" vertical="center"/>
    </xf>
    <xf numFmtId="0" fontId="221" fillId="0" borderId="182" xfId="0" applyFont="1" applyBorder="1" applyAlignment="1">
      <alignment horizontal="left" vertical="center"/>
    </xf>
    <xf numFmtId="299" fontId="221" fillId="0" borderId="182" xfId="0" applyNumberFormat="1" applyFont="1" applyBorder="1" applyAlignment="1">
      <alignment horizontal="right" vertical="center" wrapText="1"/>
    </xf>
    <xf numFmtId="301" fontId="200" fillId="0" borderId="154" xfId="0" applyNumberFormat="1" applyFont="1" applyBorder="1" applyAlignment="1">
      <alignment horizontal="center" vertical="center" wrapText="1"/>
    </xf>
    <xf numFmtId="0" fontId="226" fillId="0" borderId="107" xfId="0" applyFont="1" applyBorder="1" applyAlignment="1">
      <alignment vertical="top"/>
    </xf>
    <xf numFmtId="0" fontId="226" fillId="0" borderId="109" xfId="0" applyFont="1" applyBorder="1" applyAlignment="1">
      <alignment vertical="top"/>
    </xf>
    <xf numFmtId="0" fontId="221" fillId="0" borderId="182" xfId="1892" applyFont="1" applyBorder="1" applyAlignment="1">
      <alignment horizontal="left" vertical="center"/>
    </xf>
    <xf numFmtId="0" fontId="226" fillId="0" borderId="126" xfId="0" applyFont="1" applyBorder="1" applyAlignment="1">
      <alignment horizontal="right" vertical="center"/>
    </xf>
    <xf numFmtId="0" fontId="226" fillId="53" borderId="181" xfId="0" applyFont="1" applyFill="1" applyBorder="1" applyAlignment="1">
      <alignment horizontal="center" vertical="center"/>
    </xf>
    <xf numFmtId="301" fontId="226" fillId="0" borderId="122" xfId="0" applyNumberFormat="1" applyFont="1" applyBorder="1" applyAlignment="1">
      <alignment vertical="top"/>
    </xf>
    <xf numFmtId="302" fontId="13" fillId="43" borderId="3" xfId="1498" applyNumberFormat="1" applyFont="1" applyFill="1" applyBorder="1" applyAlignment="1"/>
    <xf numFmtId="302" fontId="13" fillId="43" borderId="21" xfId="1498" applyNumberFormat="1" applyFont="1" applyFill="1" applyBorder="1" applyAlignment="1"/>
    <xf numFmtId="302" fontId="223" fillId="56" borderId="0" xfId="0" applyNumberFormat="1" applyFont="1" applyFill="1" applyAlignment="1">
      <alignment horizontal="center" vertical="center"/>
    </xf>
    <xf numFmtId="301" fontId="11" fillId="0" borderId="8" xfId="0" applyNumberFormat="1" applyFont="1" applyBorder="1">
      <alignment vertical="center"/>
    </xf>
    <xf numFmtId="178" fontId="200" fillId="0" borderId="24" xfId="0" applyNumberFormat="1" applyFont="1" applyBorder="1" applyAlignment="1">
      <alignment horizontal="right" vertical="center"/>
    </xf>
    <xf numFmtId="301" fontId="11" fillId="0" borderId="8" xfId="1498" applyNumberFormat="1" applyFont="1" applyFill="1" applyBorder="1" applyAlignment="1">
      <alignment horizontal="right" vertical="center" wrapText="1"/>
    </xf>
    <xf numFmtId="301" fontId="200" fillId="0" borderId="8" xfId="1498" applyNumberFormat="1" applyFont="1" applyFill="1" applyBorder="1" applyAlignment="1">
      <alignment horizontal="right" vertical="top" wrapText="1"/>
    </xf>
    <xf numFmtId="176" fontId="195" fillId="23" borderId="8" xfId="0" applyNumberFormat="1" applyFont="1" applyFill="1" applyBorder="1" applyAlignment="1">
      <alignment horizontal="right" vertical="top" wrapText="1"/>
    </xf>
    <xf numFmtId="176" fontId="200" fillId="0" borderId="132" xfId="0" applyNumberFormat="1" applyFont="1" applyBorder="1" applyAlignment="1">
      <alignment horizontal="right" vertical="top" wrapText="1"/>
    </xf>
    <xf numFmtId="176" fontId="200" fillId="0" borderId="8" xfId="0" applyNumberFormat="1" applyFont="1" applyBorder="1" applyAlignment="1">
      <alignment horizontal="right" vertical="top" wrapText="1"/>
    </xf>
    <xf numFmtId="176" fontId="195" fillId="23" borderId="8" xfId="0" applyNumberFormat="1" applyFont="1" applyFill="1" applyBorder="1" applyAlignment="1">
      <alignment vertical="top" wrapText="1"/>
    </xf>
    <xf numFmtId="176" fontId="11" fillId="24" borderId="8" xfId="1433" applyNumberFormat="1" applyFont="1" applyFill="1" applyBorder="1" applyAlignment="1">
      <alignment horizontal="right" vertical="top" wrapText="1"/>
    </xf>
    <xf numFmtId="301" fontId="226" fillId="53" borderId="159" xfId="0" applyNumberFormat="1" applyFont="1" applyFill="1" applyBorder="1" applyAlignment="1">
      <alignment horizontal="center" vertical="center"/>
    </xf>
    <xf numFmtId="176" fontId="200" fillId="56" borderId="132" xfId="0" applyNumberFormat="1" applyFont="1" applyFill="1" applyBorder="1" applyAlignment="1">
      <alignment horizontal="right" vertical="center"/>
    </xf>
    <xf numFmtId="0" fontId="192" fillId="0" borderId="182" xfId="0" applyFont="1" applyBorder="1" applyAlignment="1">
      <alignment horizontal="left" vertical="center"/>
    </xf>
    <xf numFmtId="0" fontId="192" fillId="0" borderId="182" xfId="0" applyFont="1" applyBorder="1" applyAlignment="1">
      <alignment horizontal="right" vertical="center"/>
    </xf>
    <xf numFmtId="3" fontId="192" fillId="0" borderId="182" xfId="0" applyNumberFormat="1" applyFont="1" applyBorder="1" applyAlignment="1">
      <alignment horizontal="right" vertical="center"/>
    </xf>
    <xf numFmtId="41" fontId="230" fillId="0" borderId="0" xfId="1498" applyFont="1" applyAlignment="1"/>
    <xf numFmtId="41" fontId="230" fillId="0" borderId="0" xfId="1892" applyNumberFormat="1" applyFont="1"/>
    <xf numFmtId="301" fontId="230" fillId="0" borderId="24" xfId="0" applyNumberFormat="1" applyFont="1" applyBorder="1" applyAlignment="1">
      <alignment horizontal="right" vertical="center" wrapText="1"/>
    </xf>
    <xf numFmtId="301" fontId="200" fillId="0" borderId="24" xfId="1532" applyNumberFormat="1" applyFont="1" applyFill="1" applyBorder="1" applyAlignment="1">
      <alignment horizontal="right" vertical="center"/>
    </xf>
    <xf numFmtId="301" fontId="200" fillId="0" borderId="49" xfId="0" applyNumberFormat="1" applyFont="1" applyBorder="1" applyAlignment="1">
      <alignment horizontal="left" vertical="center"/>
    </xf>
    <xf numFmtId="301" fontId="230" fillId="0" borderId="8" xfId="1498" applyNumberFormat="1" applyFont="1" applyFill="1" applyBorder="1">
      <alignment vertical="center"/>
    </xf>
    <xf numFmtId="301" fontId="200" fillId="43" borderId="24" xfId="0" applyNumberFormat="1" applyFont="1" applyFill="1" applyBorder="1" applyAlignment="1">
      <alignment horizontal="right" vertical="center" wrapText="1"/>
    </xf>
    <xf numFmtId="301" fontId="230" fillId="0" borderId="187" xfId="0" applyNumberFormat="1" applyFont="1" applyBorder="1" applyAlignment="1">
      <alignment horizontal="center" vertical="center"/>
    </xf>
    <xf numFmtId="301" fontId="230" fillId="0" borderId="171" xfId="0" applyNumberFormat="1" applyFont="1" applyBorder="1" applyAlignment="1">
      <alignment horizontal="right" vertical="center" wrapText="1"/>
    </xf>
    <xf numFmtId="0" fontId="249" fillId="0" borderId="0" xfId="1892" applyFont="1"/>
    <xf numFmtId="0" fontId="249" fillId="0" borderId="0" xfId="1892" applyFont="1" applyAlignment="1">
      <alignment vertical="center"/>
    </xf>
    <xf numFmtId="3" fontId="264" fillId="0" borderId="188" xfId="1892" applyNumberFormat="1" applyFont="1" applyBorder="1" applyAlignment="1">
      <alignment horizontal="right" vertical="center"/>
    </xf>
    <xf numFmtId="0" fontId="264" fillId="0" borderId="188" xfId="1892" applyFont="1" applyBorder="1" applyAlignment="1">
      <alignment horizontal="right" vertical="center"/>
    </xf>
    <xf numFmtId="0" fontId="264" fillId="0" borderId="188" xfId="1892" applyFont="1" applyBorder="1" applyAlignment="1">
      <alignment horizontal="left" vertical="center"/>
    </xf>
    <xf numFmtId="41" fontId="249" fillId="0" borderId="0" xfId="1892" applyNumberFormat="1" applyFont="1"/>
    <xf numFmtId="41" fontId="241" fillId="0" borderId="0" xfId="2037" applyFont="1" applyFill="1" applyAlignment="1">
      <alignment horizontal="center" vertical="center"/>
    </xf>
    <xf numFmtId="41" fontId="264" fillId="0" borderId="171" xfId="2037" applyFont="1" applyFill="1" applyBorder="1" applyAlignment="1" applyProtection="1">
      <alignment horizontal="right" vertical="center"/>
    </xf>
    <xf numFmtId="0" fontId="264" fillId="0" borderId="171" xfId="1892" applyFont="1" applyBorder="1" applyAlignment="1">
      <alignment vertical="center"/>
    </xf>
    <xf numFmtId="3" fontId="264" fillId="0" borderId="182" xfId="1892" applyNumberFormat="1" applyFont="1" applyBorder="1" applyAlignment="1">
      <alignment horizontal="right" vertical="center"/>
    </xf>
    <xf numFmtId="0" fontId="264" fillId="0" borderId="182" xfId="1892" applyFont="1" applyBorder="1" applyAlignment="1">
      <alignment horizontal="right" vertical="center"/>
    </xf>
    <xf numFmtId="0" fontId="264" fillId="0" borderId="182" xfId="1892" applyFont="1" applyBorder="1" applyAlignment="1">
      <alignment horizontal="left" vertical="center"/>
    </xf>
    <xf numFmtId="41" fontId="241" fillId="0" borderId="171" xfId="2037" applyFont="1" applyFill="1" applyBorder="1" applyAlignment="1">
      <alignment horizontal="center" vertical="center"/>
    </xf>
    <xf numFmtId="0" fontId="241" fillId="0" borderId="171" xfId="1892" applyFont="1" applyBorder="1" applyAlignment="1">
      <alignment vertical="center"/>
    </xf>
    <xf numFmtId="41" fontId="249" fillId="66" borderId="189" xfId="2037" applyFont="1" applyFill="1" applyBorder="1" applyAlignment="1" applyProtection="1">
      <alignment vertical="center"/>
    </xf>
    <xf numFmtId="41" fontId="249" fillId="66" borderId="190" xfId="2037" applyFont="1" applyFill="1" applyBorder="1" applyAlignment="1" applyProtection="1">
      <alignment horizontal="center" vertical="center"/>
    </xf>
    <xf numFmtId="41" fontId="241" fillId="66" borderId="190" xfId="1892" applyNumberFormat="1" applyFont="1" applyFill="1" applyBorder="1" applyAlignment="1">
      <alignment vertical="center"/>
    </xf>
    <xf numFmtId="41" fontId="241" fillId="66" borderId="190" xfId="2037" applyFont="1" applyFill="1" applyBorder="1" applyAlignment="1">
      <alignment vertical="center"/>
    </xf>
    <xf numFmtId="0" fontId="241" fillId="66" borderId="191" xfId="1892" applyFont="1" applyFill="1" applyBorder="1" applyAlignment="1">
      <alignment horizontal="center" vertical="center"/>
    </xf>
    <xf numFmtId="41" fontId="249" fillId="66" borderId="26" xfId="2037" applyFont="1" applyFill="1" applyBorder="1" applyAlignment="1" applyProtection="1">
      <alignment vertical="center"/>
    </xf>
    <xf numFmtId="41" fontId="249" fillId="66" borderId="8" xfId="2037" applyFont="1" applyFill="1" applyBorder="1" applyAlignment="1" applyProtection="1">
      <alignment horizontal="center" vertical="center"/>
    </xf>
    <xf numFmtId="41" fontId="241" fillId="66" borderId="8" xfId="1892" applyNumberFormat="1" applyFont="1" applyFill="1" applyBorder="1" applyAlignment="1">
      <alignment vertical="center"/>
    </xf>
    <xf numFmtId="41" fontId="241" fillId="66" borderId="8" xfId="2037" applyFont="1" applyFill="1" applyBorder="1" applyAlignment="1">
      <alignment horizontal="center" vertical="center"/>
    </xf>
    <xf numFmtId="41" fontId="241" fillId="66" borderId="27" xfId="2037" applyFont="1" applyFill="1" applyBorder="1" applyAlignment="1">
      <alignment horizontal="center" vertical="center"/>
    </xf>
    <xf numFmtId="43" fontId="249" fillId="66" borderId="8" xfId="2037" applyNumberFormat="1" applyFont="1" applyFill="1" applyBorder="1" applyAlignment="1" applyProtection="1">
      <alignment horizontal="center" vertical="center"/>
    </xf>
    <xf numFmtId="0" fontId="249" fillId="66" borderId="192" xfId="1892" applyFont="1" applyFill="1" applyBorder="1" applyAlignment="1">
      <alignment horizontal="center" vertical="center"/>
    </xf>
    <xf numFmtId="0" fontId="249" fillId="66" borderId="193" xfId="1892" applyFont="1" applyFill="1" applyBorder="1" applyAlignment="1">
      <alignment horizontal="center" vertical="center"/>
    </xf>
    <xf numFmtId="0" fontId="241" fillId="66" borderId="193" xfId="1892" applyFont="1" applyFill="1" applyBorder="1" applyAlignment="1">
      <alignment horizontal="center" vertical="center"/>
    </xf>
    <xf numFmtId="41" fontId="241" fillId="66" borderId="193" xfId="2037" applyFont="1" applyFill="1" applyBorder="1" applyAlignment="1">
      <alignment horizontal="center" vertical="center"/>
    </xf>
    <xf numFmtId="0" fontId="241" fillId="66" borderId="194" xfId="1892" applyFont="1" applyFill="1" applyBorder="1" applyAlignment="1">
      <alignment horizontal="center" vertical="center"/>
    </xf>
    <xf numFmtId="41" fontId="241" fillId="0" borderId="189" xfId="1892" applyNumberFormat="1" applyFont="1" applyBorder="1" applyAlignment="1">
      <alignment vertical="center"/>
    </xf>
    <xf numFmtId="41" fontId="241" fillId="0" borderId="190" xfId="2037" applyFont="1" applyFill="1" applyBorder="1" applyAlignment="1">
      <alignment vertical="center"/>
    </xf>
    <xf numFmtId="0" fontId="241" fillId="0" borderId="191" xfId="1892" applyFont="1" applyBorder="1" applyAlignment="1">
      <alignment horizontal="center" vertical="center"/>
    </xf>
    <xf numFmtId="3" fontId="249" fillId="64" borderId="0" xfId="1892" applyNumberFormat="1" applyFont="1" applyFill="1" applyAlignment="1">
      <alignment vertical="center"/>
    </xf>
    <xf numFmtId="3" fontId="264" fillId="43" borderId="182" xfId="1892" applyNumberFormat="1" applyFont="1" applyFill="1" applyBorder="1" applyAlignment="1">
      <alignment horizontal="right" vertical="center"/>
    </xf>
    <xf numFmtId="0" fontId="264" fillId="43" borderId="182" xfId="1892" applyFont="1" applyFill="1" applyBorder="1" applyAlignment="1">
      <alignment horizontal="right" vertical="center"/>
    </xf>
    <xf numFmtId="0" fontId="264" fillId="43" borderId="182" xfId="1892" applyFont="1" applyFill="1" applyBorder="1" applyAlignment="1">
      <alignment horizontal="left" vertical="center"/>
    </xf>
    <xf numFmtId="41" fontId="241" fillId="0" borderId="26" xfId="1892" applyNumberFormat="1" applyFont="1" applyBorder="1" applyAlignment="1">
      <alignment vertical="center"/>
    </xf>
    <xf numFmtId="41" fontId="241" fillId="0" borderId="8" xfId="2037" applyFont="1" applyFill="1" applyBorder="1" applyAlignment="1">
      <alignment vertical="center"/>
    </xf>
    <xf numFmtId="0" fontId="241" fillId="0" borderId="27" xfId="1892" applyFont="1" applyBorder="1" applyAlignment="1">
      <alignment horizontal="center" vertical="center"/>
    </xf>
    <xf numFmtId="41" fontId="241" fillId="0" borderId="192" xfId="1892" applyNumberFormat="1" applyFont="1" applyBorder="1" applyAlignment="1">
      <alignment vertical="center"/>
    </xf>
    <xf numFmtId="41" fontId="241" fillId="0" borderId="193" xfId="2037" applyFont="1" applyFill="1" applyBorder="1" applyAlignment="1">
      <alignment vertical="center"/>
    </xf>
    <xf numFmtId="295" fontId="241" fillId="0" borderId="194" xfId="1892" applyNumberFormat="1" applyFont="1" applyBorder="1" applyAlignment="1">
      <alignment horizontal="center" vertical="center"/>
    </xf>
    <xf numFmtId="0" fontId="241" fillId="0" borderId="0" xfId="1892" applyFont="1" applyAlignment="1">
      <alignment vertical="center"/>
    </xf>
    <xf numFmtId="41" fontId="241" fillId="0" borderId="0" xfId="2037" applyFont="1" applyFill="1" applyAlignment="1">
      <alignment vertical="center"/>
    </xf>
    <xf numFmtId="41" fontId="241" fillId="0" borderId="8" xfId="1892" applyNumberFormat="1" applyFont="1" applyBorder="1" applyAlignment="1">
      <alignment vertical="center"/>
    </xf>
    <xf numFmtId="0" fontId="241" fillId="0" borderId="8" xfId="1892" applyFont="1" applyBorder="1" applyAlignment="1">
      <alignment vertical="center"/>
    </xf>
    <xf numFmtId="41" fontId="249" fillId="0" borderId="0" xfId="2037" applyFont="1" applyFill="1" applyBorder="1" applyAlignment="1" applyProtection="1">
      <alignment vertical="center"/>
    </xf>
    <xf numFmtId="41" fontId="249" fillId="64" borderId="0" xfId="2037" applyFont="1" applyFill="1" applyBorder="1" applyAlignment="1" applyProtection="1">
      <alignment vertical="center"/>
    </xf>
    <xf numFmtId="41" fontId="264" fillId="43" borderId="182" xfId="2037" applyFont="1" applyFill="1" applyBorder="1" applyAlignment="1" applyProtection="1">
      <alignment horizontal="right" vertical="center"/>
    </xf>
    <xf numFmtId="0" fontId="241" fillId="0" borderId="8" xfId="1892" applyFont="1" applyBorder="1" applyAlignment="1">
      <alignment horizontal="center" vertical="center"/>
    </xf>
    <xf numFmtId="41" fontId="241" fillId="0" borderId="8" xfId="2037" applyFont="1" applyFill="1" applyBorder="1" applyAlignment="1">
      <alignment horizontal="center" vertical="center"/>
    </xf>
    <xf numFmtId="41" fontId="249" fillId="0" borderId="0" xfId="2037" applyFont="1" applyFill="1" applyBorder="1" applyAlignment="1" applyProtection="1">
      <alignment horizontal="center" vertical="center"/>
    </xf>
    <xf numFmtId="301" fontId="200" fillId="0" borderId="0" xfId="1498" applyNumberFormat="1" applyFont="1" applyFill="1" applyAlignment="1">
      <alignment horizontal="left" vertical="center" indent="1"/>
    </xf>
    <xf numFmtId="301" fontId="223" fillId="0" borderId="160" xfId="0" applyNumberFormat="1" applyFont="1" applyBorder="1">
      <alignment vertical="center"/>
    </xf>
    <xf numFmtId="301" fontId="195" fillId="45" borderId="171" xfId="0" applyNumberFormat="1" applyFont="1" applyFill="1" applyBorder="1" applyAlignment="1">
      <alignment horizontal="center" vertical="center" wrapText="1"/>
    </xf>
    <xf numFmtId="301" fontId="195" fillId="0" borderId="171" xfId="0" applyNumberFormat="1" applyFont="1" applyBorder="1" applyAlignment="1">
      <alignment horizontal="center" vertical="center" wrapText="1"/>
    </xf>
    <xf numFmtId="301" fontId="229" fillId="45" borderId="198" xfId="0" applyNumberFormat="1" applyFont="1" applyFill="1" applyBorder="1" applyAlignment="1">
      <alignment horizontal="center" vertical="center" wrapText="1"/>
    </xf>
    <xf numFmtId="301" fontId="230" fillId="0" borderId="153" xfId="0" applyNumberFormat="1" applyFont="1" applyBorder="1" applyAlignment="1">
      <alignment horizontal="left" vertical="center"/>
    </xf>
    <xf numFmtId="301" fontId="230" fillId="0" borderId="184" xfId="0" applyNumberFormat="1" applyFont="1" applyBorder="1" applyAlignment="1">
      <alignment horizontal="left" vertical="center" wrapText="1"/>
    </xf>
    <xf numFmtId="301" fontId="230" fillId="0" borderId="8" xfId="0" applyNumberFormat="1" applyFont="1" applyBorder="1" applyAlignment="1">
      <alignment horizontal="right" vertical="center"/>
    </xf>
    <xf numFmtId="0" fontId="226" fillId="0" borderId="103" xfId="0" applyFont="1" applyBorder="1" applyAlignment="1">
      <alignment vertical="center" wrapText="1"/>
    </xf>
    <xf numFmtId="0" fontId="226" fillId="0" borderId="104" xfId="0" applyFont="1" applyBorder="1" applyAlignment="1">
      <alignment horizontal="center" vertical="top" wrapText="1"/>
    </xf>
    <xf numFmtId="301" fontId="226" fillId="0" borderId="121" xfId="0" applyNumberFormat="1" applyFont="1" applyBorder="1" applyAlignment="1">
      <alignment horizontal="right" vertical="center" wrapText="1"/>
    </xf>
    <xf numFmtId="301" fontId="226" fillId="0" borderId="139" xfId="0" applyNumberFormat="1" applyFont="1" applyBorder="1" applyAlignment="1">
      <alignment horizontal="right" vertical="top" wrapText="1"/>
    </xf>
    <xf numFmtId="301" fontId="226" fillId="0" borderId="126" xfId="0" applyNumberFormat="1" applyFont="1" applyBorder="1" applyAlignment="1">
      <alignment horizontal="right" vertical="center" wrapText="1"/>
    </xf>
    <xf numFmtId="301" fontId="226" fillId="0" borderId="121" xfId="0" applyNumberFormat="1" applyFont="1" applyBorder="1" applyAlignment="1">
      <alignment horizontal="right" vertical="top" wrapText="1"/>
    </xf>
    <xf numFmtId="0" fontId="262" fillId="59" borderId="8" xfId="0" applyFont="1" applyFill="1" applyBorder="1" applyAlignment="1">
      <alignment horizontal="center" vertical="center"/>
    </xf>
    <xf numFmtId="41" fontId="262" fillId="59" borderId="8" xfId="1498" applyFont="1" applyFill="1" applyBorder="1" applyAlignment="1">
      <alignment horizontal="center" vertical="center"/>
    </xf>
    <xf numFmtId="41" fontId="242" fillId="0" borderId="8" xfId="1498" applyFont="1" applyBorder="1" applyAlignment="1">
      <alignment horizontal="center" vertical="center"/>
    </xf>
    <xf numFmtId="41" fontId="242" fillId="0" borderId="8" xfId="1498" applyFont="1" applyFill="1" applyBorder="1" applyAlignment="1">
      <alignment horizontal="center" vertical="center"/>
    </xf>
    <xf numFmtId="10" fontId="242" fillId="0" borderId="8" xfId="1458" applyNumberFormat="1" applyFont="1" applyFill="1" applyBorder="1" applyAlignment="1">
      <alignment horizontal="center" vertical="center"/>
    </xf>
    <xf numFmtId="14" fontId="242" fillId="0" borderId="8" xfId="0" applyNumberFormat="1" applyFont="1" applyBorder="1" applyAlignment="1">
      <alignment horizontal="center" vertical="center"/>
    </xf>
    <xf numFmtId="41" fontId="242" fillId="0" borderId="8" xfId="0" applyNumberFormat="1" applyFont="1" applyBorder="1">
      <alignment vertical="center"/>
    </xf>
    <xf numFmtId="0" fontId="223" fillId="0" borderId="183" xfId="0" applyFont="1" applyBorder="1">
      <alignment vertical="center"/>
    </xf>
    <xf numFmtId="301" fontId="223" fillId="0" borderId="183" xfId="0" applyNumberFormat="1" applyFont="1" applyBorder="1">
      <alignment vertical="center"/>
    </xf>
    <xf numFmtId="302" fontId="223" fillId="0" borderId="56" xfId="0" applyNumberFormat="1" applyFont="1" applyBorder="1">
      <alignment vertical="center"/>
    </xf>
    <xf numFmtId="302" fontId="223" fillId="0" borderId="11" xfId="0" applyNumberFormat="1" applyFont="1" applyBorder="1">
      <alignment vertical="center"/>
    </xf>
    <xf numFmtId="301" fontId="223" fillId="0" borderId="11" xfId="0" applyNumberFormat="1" applyFont="1" applyBorder="1">
      <alignment vertical="center"/>
    </xf>
    <xf numFmtId="301" fontId="223" fillId="0" borderId="58" xfId="0" applyNumberFormat="1" applyFont="1" applyBorder="1">
      <alignment vertical="center"/>
    </xf>
    <xf numFmtId="302" fontId="223" fillId="0" borderId="80" xfId="0" applyNumberFormat="1" applyFont="1" applyBorder="1">
      <alignment vertical="center"/>
    </xf>
    <xf numFmtId="302" fontId="223" fillId="0" borderId="57" xfId="0" applyNumberFormat="1" applyFont="1" applyBorder="1">
      <alignment vertical="center"/>
    </xf>
    <xf numFmtId="302" fontId="223" fillId="0" borderId="15" xfId="0" applyNumberFormat="1" applyFont="1" applyBorder="1">
      <alignment vertical="center"/>
    </xf>
    <xf numFmtId="301" fontId="223" fillId="0" borderId="59" xfId="0" applyNumberFormat="1" applyFont="1" applyBorder="1">
      <alignment vertical="center"/>
    </xf>
    <xf numFmtId="176" fontId="218" fillId="44" borderId="22" xfId="1969" applyNumberFormat="1" applyFont="1" applyFill="1" applyBorder="1" applyAlignment="1">
      <alignment horizontal="center" vertical="center"/>
    </xf>
    <xf numFmtId="0" fontId="192" fillId="0" borderId="188" xfId="0" applyFont="1" applyBorder="1" applyAlignment="1">
      <alignment horizontal="left" vertical="center"/>
    </xf>
    <xf numFmtId="3" fontId="192" fillId="0" borderId="188" xfId="0" applyNumberFormat="1" applyFont="1" applyBorder="1" applyAlignment="1">
      <alignment horizontal="right" vertical="center"/>
    </xf>
    <xf numFmtId="0" fontId="192" fillId="0" borderId="188" xfId="0" applyFont="1" applyBorder="1" applyAlignment="1">
      <alignment horizontal="right" vertical="center"/>
    </xf>
    <xf numFmtId="3" fontId="230" fillId="0" borderId="0" xfId="0" applyNumberFormat="1" applyFont="1">
      <alignment vertical="center"/>
    </xf>
    <xf numFmtId="177" fontId="247" fillId="0" borderId="0" xfId="1937" applyNumberFormat="1" applyFont="1" applyAlignment="1"/>
    <xf numFmtId="314" fontId="223" fillId="0" borderId="0" xfId="1498" applyNumberFormat="1" applyFont="1" applyFill="1">
      <alignment vertical="center"/>
    </xf>
    <xf numFmtId="301" fontId="237" fillId="56" borderId="0" xfId="0" applyNumberFormat="1" applyFont="1" applyFill="1">
      <alignment vertical="center"/>
    </xf>
    <xf numFmtId="0" fontId="242" fillId="24" borderId="199" xfId="0" applyFont="1" applyFill="1" applyBorder="1" applyAlignment="1">
      <alignment horizontal="center" vertical="center"/>
    </xf>
    <xf numFmtId="311" fontId="242" fillId="24" borderId="199" xfId="0" applyNumberFormat="1" applyFont="1" applyFill="1" applyBorder="1" applyAlignment="1">
      <alignment horizontal="right" vertical="center"/>
    </xf>
    <xf numFmtId="14" fontId="237" fillId="0" borderId="0" xfId="0" applyNumberFormat="1" applyFont="1" applyAlignment="1">
      <alignment horizontal="center" vertical="center"/>
    </xf>
    <xf numFmtId="0" fontId="221" fillId="0" borderId="188" xfId="1892" applyFont="1" applyBorder="1" applyAlignment="1">
      <alignment horizontal="left" vertical="center"/>
    </xf>
    <xf numFmtId="299" fontId="221" fillId="0" borderId="188" xfId="1892" applyNumberFormat="1" applyFont="1" applyBorder="1" applyAlignment="1">
      <alignment horizontal="right" vertical="center" wrapText="1"/>
    </xf>
    <xf numFmtId="0" fontId="221" fillId="0" borderId="188" xfId="0" applyFont="1" applyBorder="1" applyAlignment="1">
      <alignment horizontal="left" vertical="center"/>
    </xf>
    <xf numFmtId="299" fontId="221" fillId="0" borderId="188" xfId="0" applyNumberFormat="1" applyFont="1" applyBorder="1" applyAlignment="1">
      <alignment horizontal="right" vertical="center" wrapText="1"/>
    </xf>
    <xf numFmtId="299" fontId="192" fillId="0" borderId="188" xfId="0" applyNumberFormat="1" applyFont="1" applyBorder="1" applyAlignment="1">
      <alignment horizontal="right" vertical="center" wrapText="1"/>
    </xf>
    <xf numFmtId="176" fontId="11" fillId="43" borderId="0" xfId="0" applyNumberFormat="1" applyFont="1" applyFill="1" applyAlignment="1">
      <alignment horizontal="right" vertical="center"/>
    </xf>
    <xf numFmtId="302" fontId="236" fillId="0" borderId="171" xfId="0" applyNumberFormat="1" applyFont="1" applyBorder="1" applyAlignment="1">
      <alignment horizontal="right" vertical="center"/>
    </xf>
    <xf numFmtId="0" fontId="248" fillId="0" borderId="0" xfId="0" applyFont="1" applyAlignment="1">
      <alignment horizontal="center" vertical="center"/>
    </xf>
    <xf numFmtId="0" fontId="204" fillId="0" borderId="171" xfId="0" applyFont="1" applyBorder="1" applyAlignment="1">
      <alignment horizontal="left" vertical="top" indent="3"/>
    </xf>
    <xf numFmtId="302" fontId="13" fillId="56" borderId="113" xfId="1498" applyNumberFormat="1" applyFont="1" applyFill="1" applyBorder="1" applyAlignment="1"/>
    <xf numFmtId="302" fontId="206" fillId="56" borderId="113" xfId="1498" applyNumberFormat="1" applyFont="1" applyFill="1" applyBorder="1">
      <alignment vertical="center"/>
    </xf>
    <xf numFmtId="302" fontId="206" fillId="43" borderId="114" xfId="1498" applyNumberFormat="1" applyFont="1" applyFill="1" applyBorder="1">
      <alignment vertical="center"/>
    </xf>
    <xf numFmtId="302" fontId="13" fillId="43" borderId="114" xfId="1498" applyNumberFormat="1" applyFont="1" applyFill="1" applyBorder="1" applyAlignment="1"/>
    <xf numFmtId="301" fontId="200" fillId="0" borderId="200" xfId="0" applyNumberFormat="1" applyFont="1" applyBorder="1" applyAlignment="1">
      <alignment horizontal="right" vertical="center" wrapText="1"/>
    </xf>
    <xf numFmtId="0" fontId="192" fillId="59" borderId="8" xfId="0" applyFont="1" applyFill="1" applyBorder="1" applyAlignment="1">
      <alignment horizontal="center" vertical="center"/>
    </xf>
    <xf numFmtId="299" fontId="192" fillId="59" borderId="8" xfId="0" applyNumberFormat="1" applyFont="1" applyFill="1" applyBorder="1" applyAlignment="1">
      <alignment horizontal="center" vertical="center" wrapText="1"/>
    </xf>
    <xf numFmtId="0" fontId="171" fillId="59" borderId="8" xfId="0" applyFont="1" applyFill="1" applyBorder="1" applyAlignment="1">
      <alignment horizontal="center" vertical="center"/>
    </xf>
    <xf numFmtId="0" fontId="192" fillId="0" borderId="8" xfId="0" applyFont="1" applyBorder="1" applyAlignment="1">
      <alignment horizontal="left" vertical="center"/>
    </xf>
    <xf numFmtId="299" fontId="192" fillId="0" borderId="8" xfId="0" applyNumberFormat="1" applyFont="1" applyBorder="1" applyAlignment="1">
      <alignment horizontal="right" vertical="center" wrapText="1"/>
    </xf>
    <xf numFmtId="299" fontId="0" fillId="0" borderId="8" xfId="0" applyNumberFormat="1" applyBorder="1">
      <alignment vertical="center"/>
    </xf>
    <xf numFmtId="299" fontId="192" fillId="59" borderId="8" xfId="0" applyNumberFormat="1" applyFont="1" applyFill="1" applyBorder="1" applyAlignment="1">
      <alignment horizontal="right" vertical="center" wrapText="1"/>
    </xf>
    <xf numFmtId="0" fontId="192" fillId="0" borderId="8" xfId="0" applyFont="1" applyBorder="1" applyAlignment="1">
      <alignment horizontal="center" vertical="center"/>
    </xf>
    <xf numFmtId="299" fontId="0" fillId="59" borderId="8" xfId="0" applyNumberFormat="1" applyFill="1" applyBorder="1">
      <alignment vertical="center"/>
    </xf>
    <xf numFmtId="0" fontId="0" fillId="0" borderId="8" xfId="0" applyBorder="1">
      <alignment vertical="center"/>
    </xf>
    <xf numFmtId="0" fontId="224" fillId="52" borderId="201" xfId="0" applyFont="1" applyFill="1" applyBorder="1" applyAlignment="1">
      <alignment horizontal="centerContinuous" vertical="center"/>
    </xf>
    <xf numFmtId="301" fontId="195" fillId="52" borderId="171" xfId="0" applyNumberFormat="1" applyFont="1" applyFill="1" applyBorder="1" applyAlignment="1">
      <alignment horizontal="center" vertical="center" wrapText="1"/>
    </xf>
    <xf numFmtId="301" fontId="200" fillId="43" borderId="45" xfId="0" applyNumberFormat="1" applyFont="1" applyFill="1" applyBorder="1" applyAlignment="1">
      <alignment horizontal="right" vertical="center" wrapText="1"/>
    </xf>
    <xf numFmtId="301" fontId="200" fillId="43" borderId="146" xfId="0" applyNumberFormat="1" applyFont="1" applyFill="1" applyBorder="1" applyAlignment="1">
      <alignment horizontal="right" vertical="center" wrapText="1"/>
    </xf>
    <xf numFmtId="0" fontId="266" fillId="0" borderId="8" xfId="0" applyFont="1" applyBorder="1" applyAlignment="1">
      <alignment horizontal="center" vertical="center" wrapText="1"/>
    </xf>
    <xf numFmtId="41" fontId="267" fillId="0" borderId="8" xfId="1498" applyFont="1" applyFill="1" applyBorder="1" applyAlignment="1">
      <alignment horizontal="center" vertical="center" wrapText="1"/>
    </xf>
    <xf numFmtId="41" fontId="242" fillId="0" borderId="8" xfId="1498" applyFont="1" applyFill="1" applyBorder="1">
      <alignment vertical="center"/>
    </xf>
    <xf numFmtId="0" fontId="242" fillId="0" borderId="8" xfId="0" applyFont="1" applyBorder="1">
      <alignment vertical="center"/>
    </xf>
    <xf numFmtId="301" fontId="200" fillId="0" borderId="176" xfId="0" applyNumberFormat="1" applyFont="1" applyBorder="1" applyAlignment="1">
      <alignment horizontal="right" vertical="center"/>
    </xf>
    <xf numFmtId="301" fontId="228" fillId="45" borderId="107" xfId="0" applyNumberFormat="1" applyFont="1" applyFill="1" applyBorder="1" applyAlignment="1">
      <alignment horizontal="centerContinuous" vertical="center" wrapText="1"/>
    </xf>
    <xf numFmtId="301" fontId="195" fillId="45" borderId="203" xfId="0" applyNumberFormat="1" applyFont="1" applyFill="1" applyBorder="1" applyAlignment="1">
      <alignment horizontal="center" vertical="center"/>
    </xf>
    <xf numFmtId="301" fontId="195" fillId="45" borderId="204" xfId="0" applyNumberFormat="1" applyFont="1" applyFill="1" applyBorder="1" applyAlignment="1">
      <alignment horizontal="center" vertical="center"/>
    </xf>
    <xf numFmtId="0" fontId="242" fillId="0" borderId="8" xfId="0" applyFont="1" applyBorder="1" applyAlignment="1">
      <alignment horizontal="center" vertical="center"/>
    </xf>
    <xf numFmtId="3" fontId="0" fillId="0" borderId="0" xfId="0" applyNumberFormat="1">
      <alignment vertical="center"/>
    </xf>
    <xf numFmtId="0" fontId="268" fillId="0" borderId="158" xfId="0" applyFont="1" applyBorder="1" applyAlignment="1">
      <alignment horizontal="center" vertical="center"/>
    </xf>
    <xf numFmtId="0" fontId="268" fillId="0" borderId="159" xfId="0" applyFont="1" applyBorder="1" applyAlignment="1">
      <alignment horizontal="center" vertical="center"/>
    </xf>
    <xf numFmtId="0" fontId="268" fillId="0" borderId="181" xfId="0" applyFont="1" applyBorder="1" applyAlignment="1">
      <alignment horizontal="center" vertical="center"/>
    </xf>
    <xf numFmtId="0" fontId="268" fillId="0" borderId="103" xfId="0" applyFont="1" applyBorder="1" applyAlignment="1">
      <alignment vertical="top"/>
    </xf>
    <xf numFmtId="0" fontId="256" fillId="0" borderId="121" xfId="0" applyFont="1" applyBorder="1" applyAlignment="1">
      <alignment vertical="top"/>
    </xf>
    <xf numFmtId="0" fontId="269" fillId="0" borderId="121" xfId="0" applyFont="1" applyBorder="1">
      <alignment vertical="center"/>
    </xf>
    <xf numFmtId="0" fontId="269" fillId="0" borderId="139" xfId="0" applyFont="1" applyBorder="1">
      <alignment vertical="center"/>
    </xf>
    <xf numFmtId="0" fontId="256" fillId="0" borderId="121" xfId="0" applyFont="1" applyBorder="1" applyAlignment="1">
      <alignment horizontal="center" vertical="center"/>
    </xf>
    <xf numFmtId="3" fontId="270" fillId="0" borderId="121" xfId="0" applyNumberFormat="1" applyFont="1" applyBorder="1" applyAlignment="1">
      <alignment horizontal="right" vertical="center"/>
    </xf>
    <xf numFmtId="3" fontId="270" fillId="0" borderId="139" xfId="0" applyNumberFormat="1" applyFont="1" applyBorder="1" applyAlignment="1">
      <alignment horizontal="right" vertical="center"/>
    </xf>
    <xf numFmtId="0" fontId="256" fillId="0" borderId="103" xfId="0" applyFont="1" applyBorder="1">
      <alignment vertical="center"/>
    </xf>
    <xf numFmtId="3" fontId="269" fillId="0" borderId="121" xfId="0" applyNumberFormat="1" applyFont="1" applyBorder="1" applyAlignment="1">
      <alignment horizontal="right" vertical="center"/>
    </xf>
    <xf numFmtId="3" fontId="269" fillId="0" borderId="139" xfId="0" applyNumberFormat="1" applyFont="1" applyBorder="1" applyAlignment="1">
      <alignment horizontal="right" vertical="center"/>
    </xf>
    <xf numFmtId="0" fontId="269" fillId="0" borderId="121" xfId="0" applyFont="1" applyBorder="1" applyAlignment="1">
      <alignment horizontal="right" vertical="center"/>
    </xf>
    <xf numFmtId="0" fontId="268" fillId="0" borderId="103" xfId="0" applyFont="1" applyBorder="1" applyAlignment="1">
      <alignment horizontal="center" vertical="center"/>
    </xf>
    <xf numFmtId="3" fontId="270" fillId="67" borderId="121" xfId="0" applyNumberFormat="1" applyFont="1" applyFill="1" applyBorder="1" applyAlignment="1">
      <alignment horizontal="right" vertical="center"/>
    </xf>
    <xf numFmtId="3" fontId="270" fillId="67" borderId="139" xfId="0" applyNumberFormat="1" applyFont="1" applyFill="1" applyBorder="1" applyAlignment="1">
      <alignment horizontal="right" vertical="center"/>
    </xf>
    <xf numFmtId="0" fontId="270" fillId="0" borderId="121" xfId="0" applyFont="1" applyBorder="1">
      <alignment vertical="center"/>
    </xf>
    <xf numFmtId="0" fontId="270" fillId="0" borderId="139" xfId="0" applyFont="1" applyBorder="1">
      <alignment vertical="center"/>
    </xf>
    <xf numFmtId="0" fontId="256" fillId="0" borderId="103" xfId="0" applyFont="1" applyBorder="1" applyAlignment="1">
      <alignment vertical="top"/>
    </xf>
    <xf numFmtId="0" fontId="269" fillId="0" borderId="139" xfId="0" applyFont="1" applyBorder="1" applyAlignment="1">
      <alignment horizontal="right" vertical="center"/>
    </xf>
    <xf numFmtId="0" fontId="270" fillId="0" borderId="139" xfId="0" applyFont="1" applyBorder="1" applyAlignment="1">
      <alignment horizontal="right" vertical="center"/>
    </xf>
    <xf numFmtId="0" fontId="268" fillId="0" borderId="104" xfId="0" applyFont="1" applyBorder="1" applyAlignment="1">
      <alignment horizontal="center" vertical="center"/>
    </xf>
    <xf numFmtId="0" fontId="256" fillId="0" borderId="126" xfId="0" applyFont="1" applyBorder="1" applyAlignment="1">
      <alignment horizontal="center" vertical="center"/>
    </xf>
    <xf numFmtId="3" fontId="270" fillId="67" borderId="126" xfId="0" applyNumberFormat="1" applyFont="1" applyFill="1" applyBorder="1" applyAlignment="1">
      <alignment horizontal="right" vertical="center"/>
    </xf>
    <xf numFmtId="3" fontId="270" fillId="67" borderId="127" xfId="0" applyNumberFormat="1" applyFont="1" applyFill="1" applyBorder="1" applyAlignment="1">
      <alignment horizontal="right" vertical="center"/>
    </xf>
    <xf numFmtId="306" fontId="200" fillId="0" borderId="0" xfId="0" applyNumberFormat="1" applyFont="1">
      <alignment vertical="center"/>
    </xf>
    <xf numFmtId="317" fontId="195" fillId="45" borderId="8" xfId="0" applyNumberFormat="1" applyFont="1" applyFill="1" applyBorder="1" applyAlignment="1">
      <alignment horizontal="centerContinuous" vertical="center" wrapText="1"/>
    </xf>
    <xf numFmtId="3" fontId="226" fillId="43" borderId="121" xfId="0" applyNumberFormat="1" applyFont="1" applyFill="1" applyBorder="1" applyAlignment="1">
      <alignment horizontal="right" vertical="center"/>
    </xf>
    <xf numFmtId="302" fontId="223" fillId="0" borderId="171" xfId="1498" applyNumberFormat="1" applyFont="1" applyFill="1" applyBorder="1" applyAlignment="1">
      <alignment vertical="center"/>
    </xf>
    <xf numFmtId="302" fontId="223" fillId="0" borderId="8" xfId="1498" applyNumberFormat="1" applyFont="1" applyFill="1" applyBorder="1" applyAlignment="1">
      <alignment vertical="center"/>
    </xf>
    <xf numFmtId="302" fontId="223" fillId="0" borderId="171" xfId="1498" applyNumberFormat="1" applyFont="1" applyFill="1" applyBorder="1" applyAlignment="1">
      <alignment vertical="center" wrapText="1"/>
    </xf>
    <xf numFmtId="302" fontId="200" fillId="0" borderId="171" xfId="1498" applyNumberFormat="1" applyFont="1" applyFill="1" applyBorder="1" applyAlignment="1">
      <alignment horizontal="right" vertical="center" wrapText="1"/>
    </xf>
    <xf numFmtId="302" fontId="200" fillId="0" borderId="8" xfId="1498" applyNumberFormat="1" applyFont="1" applyFill="1" applyBorder="1" applyAlignment="1">
      <alignment vertical="center" wrapText="1"/>
    </xf>
    <xf numFmtId="302" fontId="221" fillId="0" borderId="133" xfId="1892" applyNumberFormat="1" applyFont="1" applyBorder="1" applyAlignment="1">
      <alignment horizontal="right" vertical="center"/>
    </xf>
    <xf numFmtId="302" fontId="221" fillId="0" borderId="133" xfId="1498" applyNumberFormat="1" applyFont="1" applyBorder="1" applyAlignment="1">
      <alignment horizontal="right" vertical="center"/>
    </xf>
    <xf numFmtId="302" fontId="221" fillId="0" borderId="133" xfId="1498" applyNumberFormat="1" applyFont="1" applyFill="1" applyBorder="1" applyAlignment="1">
      <alignment horizontal="right" vertical="center"/>
    </xf>
    <xf numFmtId="302" fontId="221" fillId="0" borderId="188" xfId="1498" applyNumberFormat="1" applyFont="1" applyFill="1" applyBorder="1" applyAlignment="1">
      <alignment horizontal="right" vertical="center"/>
    </xf>
    <xf numFmtId="302" fontId="221" fillId="0" borderId="188" xfId="1498" applyNumberFormat="1" applyFont="1" applyBorder="1" applyAlignment="1">
      <alignment horizontal="right" vertical="center"/>
    </xf>
    <xf numFmtId="302" fontId="221" fillId="0" borderId="188" xfId="1892" applyNumberFormat="1" applyFont="1" applyBorder="1" applyAlignment="1">
      <alignment horizontal="right" vertical="center"/>
    </xf>
    <xf numFmtId="0" fontId="221" fillId="43" borderId="188" xfId="1892" applyFont="1" applyFill="1" applyBorder="1" applyAlignment="1">
      <alignment horizontal="left" vertical="center"/>
    </xf>
    <xf numFmtId="302" fontId="221" fillId="43" borderId="188" xfId="1892" applyNumberFormat="1" applyFont="1" applyFill="1" applyBorder="1" applyAlignment="1">
      <alignment horizontal="right" vertical="center"/>
    </xf>
    <xf numFmtId="299" fontId="221" fillId="43" borderId="188" xfId="1892" applyNumberFormat="1" applyFont="1" applyFill="1" applyBorder="1" applyAlignment="1">
      <alignment horizontal="right" vertical="center" wrapText="1"/>
    </xf>
    <xf numFmtId="0" fontId="222" fillId="0" borderId="0" xfId="1892" applyFont="1"/>
    <xf numFmtId="0" fontId="271" fillId="70" borderId="205" xfId="0" applyFont="1" applyFill="1" applyBorder="1" applyAlignment="1">
      <alignment horizontal="center" vertical="center"/>
    </xf>
    <xf numFmtId="41" fontId="237" fillId="0" borderId="0" xfId="1498" applyFont="1">
      <alignment vertical="center"/>
    </xf>
    <xf numFmtId="49" fontId="272" fillId="68" borderId="205" xfId="0" applyNumberFormat="1" applyFont="1" applyFill="1" applyBorder="1" applyAlignment="1">
      <alignment horizontal="center" vertical="center"/>
    </xf>
    <xf numFmtId="3" fontId="272" fillId="68" borderId="205" xfId="0" applyNumberFormat="1" applyFont="1" applyFill="1" applyBorder="1" applyAlignment="1">
      <alignment horizontal="right" vertical="center"/>
    </xf>
    <xf numFmtId="49" fontId="272" fillId="68" borderId="205" xfId="0" applyNumberFormat="1" applyFont="1" applyFill="1" applyBorder="1" applyAlignment="1">
      <alignment horizontal="left" vertical="center"/>
    </xf>
    <xf numFmtId="49" fontId="272" fillId="68" borderId="0" xfId="0" applyNumberFormat="1" applyFont="1" applyFill="1" applyAlignment="1">
      <alignment horizontal="center" vertical="center"/>
    </xf>
    <xf numFmtId="318" fontId="272" fillId="68" borderId="205" xfId="0" applyNumberFormat="1" applyFont="1" applyFill="1" applyBorder="1" applyAlignment="1">
      <alignment horizontal="left" vertical="center"/>
    </xf>
    <xf numFmtId="0" fontId="272" fillId="69" borderId="205" xfId="0" applyFont="1" applyFill="1" applyBorder="1" applyAlignment="1">
      <alignment horizontal="center" vertical="center"/>
    </xf>
    <xf numFmtId="3" fontId="272" fillId="69" borderId="205" xfId="0" applyNumberFormat="1" applyFont="1" applyFill="1" applyBorder="1" applyAlignment="1">
      <alignment horizontal="right" vertical="center"/>
    </xf>
    <xf numFmtId="0" fontId="272" fillId="69" borderId="205" xfId="0" applyFont="1" applyFill="1" applyBorder="1" applyAlignment="1">
      <alignment horizontal="left" vertical="center"/>
    </xf>
    <xf numFmtId="0" fontId="272" fillId="69" borderId="0" xfId="0" applyFont="1" applyFill="1" applyAlignment="1">
      <alignment horizontal="center" vertical="center"/>
    </xf>
    <xf numFmtId="0" fontId="237" fillId="0" borderId="0" xfId="0" applyFont="1" applyAlignment="1">
      <alignment horizontal="left" vertical="center"/>
    </xf>
    <xf numFmtId="49" fontId="272" fillId="68" borderId="0" xfId="0" applyNumberFormat="1" applyFont="1" applyFill="1" applyAlignment="1">
      <alignment horizontal="left" vertical="center"/>
    </xf>
    <xf numFmtId="0" fontId="0" fillId="0" borderId="0" xfId="0" applyAlignment="1">
      <alignment horizontal="left" vertical="center"/>
    </xf>
    <xf numFmtId="0" fontId="272" fillId="69" borderId="0" xfId="0" applyFont="1" applyFill="1" applyAlignment="1">
      <alignment horizontal="left" vertical="center"/>
    </xf>
    <xf numFmtId="3" fontId="237" fillId="0" borderId="0" xfId="0" applyNumberFormat="1" applyFont="1">
      <alignment vertical="center"/>
    </xf>
    <xf numFmtId="302" fontId="13" fillId="71" borderId="113" xfId="1498" applyNumberFormat="1" applyFont="1" applyFill="1" applyBorder="1" applyAlignment="1"/>
    <xf numFmtId="301" fontId="235" fillId="43" borderId="8" xfId="0" applyNumberFormat="1" applyFont="1" applyFill="1" applyBorder="1">
      <alignment vertical="center"/>
    </xf>
    <xf numFmtId="301" fontId="230" fillId="0" borderId="206" xfId="0" applyNumberFormat="1" applyFont="1" applyBorder="1" applyAlignment="1">
      <alignment horizontal="center" vertical="center"/>
    </xf>
    <xf numFmtId="14" fontId="273" fillId="0" borderId="0" xfId="0" applyNumberFormat="1" applyFont="1">
      <alignment vertical="center"/>
    </xf>
    <xf numFmtId="0" fontId="224" fillId="52" borderId="207" xfId="0" applyFont="1" applyFill="1" applyBorder="1" applyAlignment="1">
      <alignment horizontal="centerContinuous" vertical="center"/>
    </xf>
    <xf numFmtId="0" fontId="274" fillId="53" borderId="121" xfId="0" applyFont="1" applyFill="1" applyBorder="1" applyAlignment="1">
      <alignment horizontal="center" vertical="center"/>
    </xf>
    <xf numFmtId="0" fontId="274" fillId="53" borderId="121" xfId="0" applyFont="1" applyFill="1" applyBorder="1" applyAlignment="1">
      <alignment horizontal="center" vertical="top"/>
    </xf>
    <xf numFmtId="0" fontId="274" fillId="53" borderId="139" xfId="0" applyFont="1" applyFill="1" applyBorder="1" applyAlignment="1">
      <alignment horizontal="center" vertical="top"/>
    </xf>
    <xf numFmtId="0" fontId="274" fillId="0" borderId="103" xfId="0" applyFont="1" applyBorder="1">
      <alignment vertical="center"/>
    </xf>
    <xf numFmtId="0" fontId="274" fillId="0" borderId="121" xfId="0" applyFont="1" applyBorder="1" applyAlignment="1">
      <alignment horizontal="center" vertical="center"/>
    </xf>
    <xf numFmtId="3" fontId="274" fillId="0" borderId="121" xfId="0" applyNumberFormat="1" applyFont="1" applyBorder="1" applyAlignment="1">
      <alignment horizontal="right" vertical="center"/>
    </xf>
    <xf numFmtId="3" fontId="274" fillId="0" borderId="139" xfId="0" applyNumberFormat="1" applyFont="1" applyBorder="1" applyAlignment="1">
      <alignment horizontal="right" vertical="center"/>
    </xf>
    <xf numFmtId="0" fontId="274" fillId="0" borderId="121" xfId="0" applyFont="1" applyBorder="1" applyAlignment="1">
      <alignment horizontal="right" vertical="center"/>
    </xf>
    <xf numFmtId="0" fontId="274" fillId="0" borderId="139" xfId="0" applyFont="1" applyBorder="1" applyAlignment="1">
      <alignment horizontal="right" vertical="center"/>
    </xf>
    <xf numFmtId="0" fontId="274" fillId="0" borderId="104" xfId="0" applyFont="1" applyBorder="1">
      <alignment vertical="center"/>
    </xf>
    <xf numFmtId="0" fontId="274" fillId="0" borderId="126" xfId="0" applyFont="1" applyBorder="1" applyAlignment="1">
      <alignment horizontal="center" vertical="center"/>
    </xf>
    <xf numFmtId="0" fontId="274" fillId="0" borderId="126" xfId="0" applyFont="1" applyBorder="1" applyAlignment="1">
      <alignment horizontal="right" vertical="center"/>
    </xf>
    <xf numFmtId="0" fontId="274" fillId="0" borderId="127" xfId="0" applyFont="1" applyBorder="1" applyAlignment="1">
      <alignment horizontal="right" vertical="center"/>
    </xf>
    <xf numFmtId="0" fontId="226" fillId="53" borderId="121" xfId="0" applyFont="1" applyFill="1" applyBorder="1" applyAlignment="1">
      <alignment horizontal="center" vertical="center"/>
    </xf>
    <xf numFmtId="0" fontId="226" fillId="53" borderId="139" xfId="0" applyFont="1" applyFill="1" applyBorder="1" applyAlignment="1">
      <alignment horizontal="center" vertical="center"/>
    </xf>
    <xf numFmtId="0" fontId="226" fillId="0" borderId="127" xfId="0" applyFont="1" applyBorder="1" applyAlignment="1">
      <alignment horizontal="right" vertical="center"/>
    </xf>
    <xf numFmtId="302" fontId="13" fillId="56" borderId="168" xfId="1498" applyNumberFormat="1" applyFont="1" applyFill="1" applyBorder="1" applyAlignment="1"/>
    <xf numFmtId="302" fontId="13" fillId="43" borderId="21" xfId="1719" applyNumberFormat="1" applyFont="1" applyFill="1" applyBorder="1" applyAlignment="1">
      <alignment vertical="center"/>
    </xf>
    <xf numFmtId="0" fontId="226" fillId="53" borderId="121" xfId="0" applyFont="1" applyFill="1" applyBorder="1" applyAlignment="1">
      <alignment horizontal="center" vertical="center" wrapText="1"/>
    </xf>
    <xf numFmtId="0" fontId="226" fillId="53" borderId="121" xfId="0" applyFont="1" applyFill="1" applyBorder="1" applyAlignment="1">
      <alignment horizontal="center" vertical="top" wrapText="1"/>
    </xf>
    <xf numFmtId="0" fontId="226" fillId="53" borderId="139" xfId="0" applyFont="1" applyFill="1" applyBorder="1" applyAlignment="1">
      <alignment horizontal="center" vertical="top" wrapText="1"/>
    </xf>
    <xf numFmtId="3" fontId="226" fillId="0" borderId="121" xfId="0" applyNumberFormat="1" applyFont="1" applyBorder="1" applyAlignment="1">
      <alignment horizontal="right" vertical="center" wrapText="1"/>
    </xf>
    <xf numFmtId="3" fontId="226" fillId="0" borderId="139" xfId="0" applyNumberFormat="1" applyFont="1" applyBorder="1" applyAlignment="1">
      <alignment horizontal="right" vertical="center" wrapText="1"/>
    </xf>
    <xf numFmtId="0" fontId="226" fillId="0" borderId="121" xfId="0" applyFont="1" applyBorder="1" applyAlignment="1">
      <alignment horizontal="right" vertical="center" wrapText="1"/>
    </xf>
    <xf numFmtId="0" fontId="226" fillId="0" borderId="104" xfId="0" applyFont="1" applyBorder="1" applyAlignment="1">
      <alignment horizontal="center" vertical="center" wrapText="1"/>
    </xf>
    <xf numFmtId="3" fontId="226" fillId="0" borderId="126" xfId="0" applyNumberFormat="1" applyFont="1" applyBorder="1" applyAlignment="1">
      <alignment horizontal="right" vertical="center" wrapText="1"/>
    </xf>
    <xf numFmtId="3" fontId="226" fillId="0" borderId="127" xfId="0" applyNumberFormat="1" applyFont="1" applyBorder="1" applyAlignment="1">
      <alignment horizontal="right" vertical="center" wrapText="1"/>
    </xf>
    <xf numFmtId="0" fontId="226" fillId="53" borderId="158" xfId="0" applyFont="1" applyFill="1" applyBorder="1" applyAlignment="1">
      <alignment horizontal="center" vertical="center" wrapText="1"/>
    </xf>
    <xf numFmtId="0" fontId="226" fillId="53" borderId="181" xfId="0" applyFont="1" applyFill="1" applyBorder="1" applyAlignment="1">
      <alignment horizontal="center" vertical="center" wrapText="1"/>
    </xf>
    <xf numFmtId="0" fontId="192" fillId="0" borderId="171" xfId="0" applyFont="1" applyBorder="1" applyAlignment="1">
      <alignment horizontal="left" vertical="center"/>
    </xf>
    <xf numFmtId="299" fontId="192" fillId="0" borderId="171" xfId="0" applyNumberFormat="1" applyFont="1" applyBorder="1" applyAlignment="1">
      <alignment horizontal="right" vertical="center" wrapText="1"/>
    </xf>
    <xf numFmtId="299" fontId="0" fillId="0" borderId="171" xfId="0" applyNumberFormat="1" applyBorder="1">
      <alignment vertical="center"/>
    </xf>
    <xf numFmtId="9" fontId="200" fillId="43" borderId="8" xfId="1458" applyFont="1" applyFill="1" applyBorder="1" applyAlignment="1">
      <alignment horizontal="right" vertical="center"/>
    </xf>
    <xf numFmtId="0" fontId="226" fillId="0" borderId="0" xfId="0" applyFont="1" applyAlignment="1">
      <alignment horizontal="justify" vertical="center"/>
    </xf>
    <xf numFmtId="0" fontId="226" fillId="0" borderId="0" xfId="0" applyFont="1" applyAlignment="1">
      <alignment horizontal="right" vertical="top"/>
    </xf>
    <xf numFmtId="0" fontId="226" fillId="0" borderId="122" xfId="0" applyFont="1" applyBorder="1">
      <alignment vertical="center"/>
    </xf>
    <xf numFmtId="0" fontId="226" fillId="0" borderId="107" xfId="0" applyFont="1" applyBorder="1">
      <alignment vertical="center"/>
    </xf>
    <xf numFmtId="0" fontId="226" fillId="0" borderId="109" xfId="0" applyFont="1" applyBorder="1">
      <alignment vertical="center"/>
    </xf>
    <xf numFmtId="3" fontId="223" fillId="0" borderId="8" xfId="0" applyNumberFormat="1" applyFont="1" applyBorder="1">
      <alignment vertical="center"/>
    </xf>
    <xf numFmtId="0" fontId="242" fillId="24" borderId="209" xfId="0" applyFont="1" applyFill="1" applyBorder="1" applyAlignment="1">
      <alignment horizontal="center" vertical="center"/>
    </xf>
    <xf numFmtId="311" fontId="242" fillId="24" borderId="209" xfId="0" applyNumberFormat="1" applyFont="1" applyFill="1" applyBorder="1" applyAlignment="1">
      <alignment horizontal="right" vertical="center"/>
    </xf>
    <xf numFmtId="300" fontId="219" fillId="0" borderId="210" xfId="1919" applyNumberFormat="1" applyFont="1" applyBorder="1" applyAlignment="1">
      <alignment horizontal="center" vertical="center"/>
    </xf>
    <xf numFmtId="300" fontId="219" fillId="0" borderId="210" xfId="1919" applyNumberFormat="1" applyFont="1" applyBorder="1" applyAlignment="1">
      <alignment vertical="center"/>
    </xf>
    <xf numFmtId="301" fontId="219" fillId="0" borderId="211" xfId="1919" applyNumberFormat="1" applyFont="1" applyBorder="1" applyAlignment="1">
      <alignment vertical="center"/>
    </xf>
    <xf numFmtId="313" fontId="219" fillId="0" borderId="210" xfId="1919" applyNumberFormat="1" applyFont="1" applyBorder="1" applyAlignment="1">
      <alignment horizontal="right" vertical="center"/>
    </xf>
    <xf numFmtId="300" fontId="219" fillId="0" borderId="210" xfId="1919" applyNumberFormat="1" applyFont="1" applyBorder="1" applyAlignment="1">
      <alignment horizontal="left" vertical="center" wrapText="1"/>
    </xf>
    <xf numFmtId="301" fontId="224" fillId="52" borderId="171" xfId="0" applyNumberFormat="1" applyFont="1" applyFill="1" applyBorder="1" applyAlignment="1">
      <alignment horizontal="centerContinuous" vertical="center"/>
    </xf>
    <xf numFmtId="0" fontId="224" fillId="52" borderId="212" xfId="0" applyFont="1" applyFill="1" applyBorder="1" applyAlignment="1">
      <alignment horizontal="centerContinuous" vertical="center"/>
    </xf>
    <xf numFmtId="0" fontId="224" fillId="52" borderId="213" xfId="0" applyFont="1" applyFill="1" applyBorder="1" applyAlignment="1">
      <alignment horizontal="centerContinuous" vertical="center"/>
    </xf>
    <xf numFmtId="301" fontId="200" fillId="0" borderId="0" xfId="0" applyNumberFormat="1" applyFont="1" applyAlignment="1">
      <alignment horizontal="left" vertical="center"/>
    </xf>
    <xf numFmtId="301" fontId="195" fillId="52" borderId="4" xfId="0" applyNumberFormat="1" applyFont="1" applyFill="1" applyBorder="1" applyAlignment="1">
      <alignment horizontal="center" vertical="center" wrapText="1"/>
    </xf>
    <xf numFmtId="301" fontId="195" fillId="52" borderId="44" xfId="0" applyNumberFormat="1" applyFont="1" applyFill="1" applyBorder="1" applyAlignment="1">
      <alignment horizontal="center" vertical="center" wrapText="1"/>
    </xf>
    <xf numFmtId="302" fontId="223" fillId="0" borderId="43" xfId="0" applyNumberFormat="1" applyFont="1" applyBorder="1" applyAlignment="1">
      <alignment horizontal="center" vertical="center"/>
    </xf>
    <xf numFmtId="302" fontId="223" fillId="0" borderId="14" xfId="0" applyNumberFormat="1" applyFont="1" applyBorder="1" applyAlignment="1">
      <alignment horizontal="center" vertical="center"/>
    </xf>
    <xf numFmtId="302" fontId="223" fillId="0" borderId="41" xfId="0" applyNumberFormat="1" applyFont="1" applyBorder="1" applyAlignment="1">
      <alignment horizontal="center" vertical="center"/>
    </xf>
    <xf numFmtId="302" fontId="223" fillId="0" borderId="4" xfId="0" applyNumberFormat="1" applyFont="1" applyBorder="1" applyAlignment="1">
      <alignment horizontal="center" vertical="center"/>
    </xf>
    <xf numFmtId="302" fontId="223" fillId="0" borderId="113" xfId="0" applyNumberFormat="1" applyFont="1" applyBorder="1" applyAlignment="1">
      <alignment horizontal="center" vertical="center"/>
    </xf>
    <xf numFmtId="302" fontId="223" fillId="0" borderId="44" xfId="0" applyNumberFormat="1" applyFont="1" applyBorder="1" applyAlignment="1">
      <alignment horizontal="center" vertical="center"/>
    </xf>
    <xf numFmtId="302" fontId="223" fillId="0" borderId="202" xfId="0" applyNumberFormat="1" applyFont="1" applyBorder="1" applyAlignment="1">
      <alignment horizontal="center" vertical="center"/>
    </xf>
    <xf numFmtId="0" fontId="274" fillId="53" borderId="142" xfId="0" applyFont="1" applyFill="1" applyBorder="1" applyAlignment="1">
      <alignment horizontal="center" vertical="center"/>
    </xf>
    <xf numFmtId="0" fontId="274" fillId="53" borderId="144" xfId="0" applyFont="1" applyFill="1" applyBorder="1" applyAlignment="1">
      <alignment horizontal="center" vertical="center"/>
    </xf>
    <xf numFmtId="0" fontId="226" fillId="53" borderId="142" xfId="0" applyFont="1" applyFill="1" applyBorder="1" applyAlignment="1">
      <alignment horizontal="center" vertical="center"/>
    </xf>
    <xf numFmtId="0" fontId="226" fillId="53" borderId="144" xfId="0" applyFont="1" applyFill="1" applyBorder="1" applyAlignment="1">
      <alignment horizontal="center" vertical="center"/>
    </xf>
    <xf numFmtId="0" fontId="226" fillId="53" borderId="143" xfId="0" applyFont="1" applyFill="1" applyBorder="1" applyAlignment="1">
      <alignment horizontal="center" vertical="center"/>
    </xf>
    <xf numFmtId="0" fontId="226" fillId="53" borderId="141" xfId="0" applyFont="1" applyFill="1" applyBorder="1" applyAlignment="1">
      <alignment horizontal="center" vertical="center"/>
    </xf>
    <xf numFmtId="0" fontId="226" fillId="53" borderId="111" xfId="0" applyFont="1" applyFill="1" applyBorder="1" applyAlignment="1">
      <alignment horizontal="center" vertical="center"/>
    </xf>
    <xf numFmtId="0" fontId="274" fillId="53" borderId="141" xfId="0" applyFont="1" applyFill="1" applyBorder="1" applyAlignment="1">
      <alignment horizontal="center" vertical="center"/>
    </xf>
    <xf numFmtId="0" fontId="274" fillId="53" borderId="111" xfId="0" applyFont="1" applyFill="1" applyBorder="1" applyAlignment="1">
      <alignment horizontal="center" vertical="center"/>
    </xf>
    <xf numFmtId="0" fontId="274" fillId="53" borderId="208" xfId="0" applyFont="1" applyFill="1" applyBorder="1" applyAlignment="1">
      <alignment horizontal="center" vertical="center"/>
    </xf>
    <xf numFmtId="0" fontId="274" fillId="53" borderId="112" xfId="0" applyFont="1" applyFill="1" applyBorder="1" applyAlignment="1">
      <alignment horizontal="center" vertical="center"/>
    </xf>
    <xf numFmtId="0" fontId="274" fillId="53" borderId="143" xfId="0" applyFont="1" applyFill="1" applyBorder="1" applyAlignment="1">
      <alignment horizontal="center" vertical="center"/>
    </xf>
    <xf numFmtId="300" fontId="220" fillId="54" borderId="161" xfId="1919" applyNumberFormat="1" applyFont="1" applyFill="1" applyBorder="1" applyAlignment="1">
      <alignment horizontal="center" vertical="center"/>
    </xf>
    <xf numFmtId="300" fontId="220" fillId="54" borderId="44" xfId="1919" applyNumberFormat="1" applyFont="1" applyFill="1" applyBorder="1" applyAlignment="1">
      <alignment horizontal="center" vertical="center"/>
    </xf>
    <xf numFmtId="300" fontId="220" fillId="54" borderId="8" xfId="1919" applyNumberFormat="1" applyFont="1" applyFill="1" applyBorder="1" applyAlignment="1">
      <alignment horizontal="center" vertical="center" wrapText="1"/>
    </xf>
    <xf numFmtId="177" fontId="231" fillId="51" borderId="43" xfId="1499" applyNumberFormat="1" applyFont="1" applyFill="1" applyBorder="1" applyAlignment="1">
      <alignment horizontal="center"/>
    </xf>
    <xf numFmtId="177" fontId="231" fillId="51" borderId="14" xfId="1499" applyNumberFormat="1" applyFont="1" applyFill="1" applyBorder="1" applyAlignment="1">
      <alignment horizontal="center"/>
    </xf>
    <xf numFmtId="177" fontId="231" fillId="51" borderId="41" xfId="1499" applyNumberFormat="1" applyFont="1" applyFill="1" applyBorder="1" applyAlignment="1">
      <alignment horizontal="center"/>
    </xf>
    <xf numFmtId="177" fontId="231" fillId="51" borderId="55" xfId="1499" applyNumberFormat="1" applyFont="1" applyFill="1" applyBorder="1" applyAlignment="1">
      <alignment horizontal="center"/>
    </xf>
    <xf numFmtId="177" fontId="231" fillId="51" borderId="37" xfId="1499" applyNumberFormat="1" applyFont="1" applyFill="1" applyBorder="1" applyAlignment="1">
      <alignment horizontal="center"/>
    </xf>
    <xf numFmtId="41" fontId="231" fillId="51" borderId="43" xfId="1498" applyFont="1" applyFill="1" applyBorder="1" applyAlignment="1">
      <alignment horizontal="center"/>
    </xf>
    <xf numFmtId="41" fontId="231" fillId="51" borderId="41" xfId="1498" applyFont="1" applyFill="1" applyBorder="1" applyAlignment="1">
      <alignment horizontal="center"/>
    </xf>
    <xf numFmtId="177" fontId="231" fillId="46" borderId="4" xfId="1499" applyNumberFormat="1" applyFont="1" applyFill="1" applyBorder="1" applyAlignment="1">
      <alignment horizontal="center" vertical="center"/>
    </xf>
    <xf numFmtId="177" fontId="231" fillId="46" borderId="44" xfId="1499" applyNumberFormat="1" applyFont="1" applyFill="1" applyBorder="1" applyAlignment="1">
      <alignment horizontal="center" vertical="center"/>
    </xf>
    <xf numFmtId="14" fontId="231" fillId="46" borderId="4" xfId="1499" applyNumberFormat="1" applyFont="1" applyFill="1" applyBorder="1" applyAlignment="1">
      <alignment horizontal="center" vertical="center"/>
    </xf>
    <xf numFmtId="14" fontId="231" fillId="46" borderId="44" xfId="1499" applyNumberFormat="1" applyFont="1" applyFill="1" applyBorder="1" applyAlignment="1">
      <alignment horizontal="center" vertical="center"/>
    </xf>
    <xf numFmtId="177" fontId="231" fillId="47" borderId="4" xfId="1499" applyNumberFormat="1" applyFont="1" applyFill="1" applyBorder="1" applyAlignment="1">
      <alignment horizontal="center" vertical="center"/>
    </xf>
    <xf numFmtId="177" fontId="231" fillId="47" borderId="44" xfId="1499" applyNumberFormat="1" applyFont="1" applyFill="1" applyBorder="1" applyAlignment="1">
      <alignment horizontal="center" vertical="center"/>
    </xf>
    <xf numFmtId="179" fontId="231" fillId="47" borderId="4" xfId="1499" applyNumberFormat="1" applyFont="1" applyFill="1" applyBorder="1" applyAlignment="1">
      <alignment horizontal="center" vertical="center"/>
    </xf>
    <xf numFmtId="179" fontId="231" fillId="47" borderId="44" xfId="1499" applyNumberFormat="1" applyFont="1" applyFill="1" applyBorder="1" applyAlignment="1">
      <alignment horizontal="center" vertical="center"/>
    </xf>
    <xf numFmtId="0" fontId="220" fillId="54" borderId="161" xfId="1919" applyFont="1" applyFill="1" applyBorder="1" applyAlignment="1">
      <alignment horizontal="center" vertical="center"/>
    </xf>
    <xf numFmtId="0" fontId="220" fillId="54" borderId="44" xfId="1919" applyFont="1" applyFill="1" applyBorder="1" applyAlignment="1">
      <alignment horizontal="center" vertical="center"/>
    </xf>
    <xf numFmtId="301" fontId="195" fillId="45" borderId="93" xfId="0" applyNumberFormat="1" applyFont="1" applyFill="1" applyBorder="1" applyAlignment="1">
      <alignment horizontal="center" vertical="center"/>
    </xf>
    <xf numFmtId="301" fontId="195" fillId="45" borderId="90" xfId="0" applyNumberFormat="1" applyFont="1" applyFill="1" applyBorder="1" applyAlignment="1">
      <alignment horizontal="center" vertical="center"/>
    </xf>
    <xf numFmtId="301" fontId="195" fillId="45" borderId="63" xfId="0" applyNumberFormat="1" applyFont="1" applyFill="1" applyBorder="1" applyAlignment="1">
      <alignment horizontal="center" vertical="center"/>
    </xf>
    <xf numFmtId="301" fontId="195" fillId="45" borderId="101" xfId="0" applyNumberFormat="1" applyFont="1" applyFill="1" applyBorder="1" applyAlignment="1">
      <alignment horizontal="center" vertical="center"/>
    </xf>
    <xf numFmtId="301" fontId="195" fillId="45" borderId="95" xfId="0" applyNumberFormat="1" applyFont="1" applyFill="1" applyBorder="1" applyAlignment="1">
      <alignment horizontal="center" vertical="center"/>
    </xf>
    <xf numFmtId="301" fontId="195" fillId="45" borderId="96" xfId="0" applyNumberFormat="1" applyFont="1" applyFill="1" applyBorder="1" applyAlignment="1">
      <alignment horizontal="center" vertical="center"/>
    </xf>
    <xf numFmtId="301" fontId="195" fillId="52" borderId="8" xfId="0" applyNumberFormat="1" applyFont="1" applyFill="1" applyBorder="1" applyAlignment="1">
      <alignment horizontal="center" vertical="center" wrapText="1"/>
    </xf>
    <xf numFmtId="301" fontId="200" fillId="0" borderId="4" xfId="0" applyNumberFormat="1" applyFont="1" applyBorder="1" applyAlignment="1">
      <alignment horizontal="center" vertical="center" wrapText="1"/>
    </xf>
    <xf numFmtId="301" fontId="200" fillId="0" borderId="168" xfId="0" applyNumberFormat="1" applyFont="1" applyBorder="1" applyAlignment="1">
      <alignment horizontal="center" vertical="center" wrapText="1"/>
    </xf>
    <xf numFmtId="301" fontId="200" fillId="0" borderId="44" xfId="0" applyNumberFormat="1" applyFont="1" applyBorder="1" applyAlignment="1">
      <alignment horizontal="center" vertical="center" wrapText="1"/>
    </xf>
    <xf numFmtId="301" fontId="195" fillId="52" borderId="63" xfId="0" applyNumberFormat="1" applyFont="1" applyFill="1" applyBorder="1" applyAlignment="1">
      <alignment horizontal="center" vertical="center" wrapText="1"/>
    </xf>
    <xf numFmtId="301" fontId="195" fillId="52" borderId="89" xfId="0" applyNumberFormat="1" applyFont="1" applyFill="1" applyBorder="1" applyAlignment="1">
      <alignment horizontal="center" vertical="center" wrapText="1"/>
    </xf>
    <xf numFmtId="301" fontId="200" fillId="0" borderId="202" xfId="0" applyNumberFormat="1" applyFont="1" applyBorder="1" applyAlignment="1">
      <alignment horizontal="center" vertical="center" wrapText="1"/>
    </xf>
    <xf numFmtId="301" fontId="195" fillId="52" borderId="179" xfId="0" applyNumberFormat="1" applyFont="1" applyFill="1" applyBorder="1" applyAlignment="1">
      <alignment horizontal="center" vertical="center" wrapText="1"/>
    </xf>
    <xf numFmtId="301" fontId="195" fillId="52" borderId="180" xfId="0" applyNumberFormat="1" applyFont="1" applyFill="1" applyBorder="1" applyAlignment="1">
      <alignment horizontal="center" vertical="center" wrapText="1"/>
    </xf>
    <xf numFmtId="301" fontId="200" fillId="0" borderId="0" xfId="0" applyNumberFormat="1" applyFont="1" applyAlignment="1">
      <alignment horizontal="left" vertical="center" wrapText="1" shrinkToFit="1"/>
    </xf>
    <xf numFmtId="301" fontId="200" fillId="0" borderId="8" xfId="0" applyNumberFormat="1" applyFont="1" applyBorder="1" applyAlignment="1">
      <alignment horizontal="center" vertical="center" wrapText="1"/>
    </xf>
    <xf numFmtId="301" fontId="195" fillId="52" borderId="70" xfId="0" applyNumberFormat="1" applyFont="1" applyFill="1" applyBorder="1" applyAlignment="1">
      <alignment horizontal="center" vertical="center" wrapText="1"/>
    </xf>
    <xf numFmtId="301" fontId="195" fillId="52" borderId="45" xfId="0" applyNumberFormat="1" applyFont="1" applyFill="1" applyBorder="1" applyAlignment="1">
      <alignment horizontal="center" vertical="center" wrapText="1"/>
    </xf>
    <xf numFmtId="301" fontId="195" fillId="52" borderId="93" xfId="0" applyNumberFormat="1" applyFont="1" applyFill="1" applyBorder="1" applyAlignment="1">
      <alignment horizontal="center" vertical="center" wrapText="1"/>
    </xf>
    <xf numFmtId="301" fontId="195" fillId="52" borderId="90" xfId="0" applyNumberFormat="1" applyFont="1" applyFill="1" applyBorder="1" applyAlignment="1">
      <alignment horizontal="center" vertical="center" wrapText="1"/>
    </xf>
    <xf numFmtId="301" fontId="195" fillId="45" borderId="4" xfId="0" applyNumberFormat="1" applyFont="1" applyFill="1" applyBorder="1" applyAlignment="1">
      <alignment horizontal="center" vertical="center" wrapText="1"/>
    </xf>
    <xf numFmtId="301" fontId="195" fillId="45" borderId="44" xfId="0" applyNumberFormat="1" applyFont="1" applyFill="1" applyBorder="1" applyAlignment="1">
      <alignment horizontal="center" vertical="center" wrapText="1"/>
    </xf>
    <xf numFmtId="0" fontId="228" fillId="45" borderId="105" xfId="0" applyFont="1" applyFill="1" applyBorder="1" applyAlignment="1">
      <alignment horizontal="center" vertical="center" wrapText="1"/>
    </xf>
    <xf numFmtId="0" fontId="228" fillId="45" borderId="110" xfId="0" applyFont="1" applyFill="1" applyBorder="1" applyAlignment="1">
      <alignment horizontal="center" vertical="center" wrapText="1"/>
    </xf>
    <xf numFmtId="0" fontId="228" fillId="45" borderId="111" xfId="0" applyFont="1" applyFill="1" applyBorder="1" applyAlignment="1">
      <alignment horizontal="center" vertical="center" wrapText="1"/>
    </xf>
    <xf numFmtId="301" fontId="195" fillId="45" borderId="93" xfId="0" applyNumberFormat="1" applyFont="1" applyFill="1" applyBorder="1" applyAlignment="1">
      <alignment horizontal="center" vertical="center" wrapText="1"/>
    </xf>
    <xf numFmtId="301" fontId="195" fillId="45" borderId="90" xfId="0" applyNumberFormat="1" applyFont="1" applyFill="1" applyBorder="1" applyAlignment="1">
      <alignment horizontal="center" vertical="center" wrapText="1"/>
    </xf>
    <xf numFmtId="301" fontId="195" fillId="45" borderId="161" xfId="0" applyNumberFormat="1" applyFont="1" applyFill="1" applyBorder="1" applyAlignment="1">
      <alignment horizontal="center" vertical="center" wrapText="1"/>
    </xf>
    <xf numFmtId="301" fontId="195" fillId="45" borderId="164" xfId="0" applyNumberFormat="1" applyFont="1" applyFill="1" applyBorder="1" applyAlignment="1">
      <alignment horizontal="center" vertical="center" wrapText="1"/>
    </xf>
    <xf numFmtId="301" fontId="195" fillId="52" borderId="91" xfId="0" applyNumberFormat="1" applyFont="1" applyFill="1" applyBorder="1" applyAlignment="1">
      <alignment horizontal="center" vertical="center" wrapText="1"/>
    </xf>
    <xf numFmtId="301" fontId="195" fillId="52" borderId="92" xfId="0" applyNumberFormat="1" applyFont="1" applyFill="1" applyBorder="1" applyAlignment="1">
      <alignment horizontal="center" vertical="center" wrapText="1"/>
    </xf>
    <xf numFmtId="301" fontId="195" fillId="52" borderId="8" xfId="0" applyNumberFormat="1" applyFont="1" applyFill="1" applyBorder="1" applyAlignment="1">
      <alignment horizontal="center" vertical="center"/>
    </xf>
    <xf numFmtId="301" fontId="230" fillId="0" borderId="183" xfId="0" applyNumberFormat="1" applyFont="1" applyBorder="1" applyAlignment="1">
      <alignment horizontal="right" vertical="center" wrapText="1"/>
    </xf>
    <xf numFmtId="301" fontId="230" fillId="0" borderId="168" xfId="0" applyNumberFormat="1" applyFont="1" applyBorder="1" applyAlignment="1">
      <alignment horizontal="right" vertical="center" wrapText="1"/>
    </xf>
    <xf numFmtId="301" fontId="230" fillId="0" borderId="195" xfId="0" applyNumberFormat="1" applyFont="1" applyBorder="1" applyAlignment="1">
      <alignment horizontal="right" vertical="center" wrapText="1"/>
    </xf>
    <xf numFmtId="301" fontId="230" fillId="0" borderId="183" xfId="0" applyNumberFormat="1" applyFont="1" applyBorder="1" applyAlignment="1">
      <alignment horizontal="center" vertical="center"/>
    </xf>
    <xf numFmtId="301" fontId="230" fillId="0" borderId="168" xfId="0" applyNumberFormat="1" applyFont="1" applyBorder="1" applyAlignment="1">
      <alignment horizontal="center" vertical="center"/>
    </xf>
    <xf numFmtId="301" fontId="230" fillId="0" borderId="164" xfId="0" applyNumberFormat="1" applyFont="1" applyBorder="1" applyAlignment="1">
      <alignment horizontal="center" vertical="center"/>
    </xf>
    <xf numFmtId="301" fontId="230" fillId="0" borderId="183" xfId="0" applyNumberFormat="1" applyFont="1" applyBorder="1" applyAlignment="1">
      <alignment horizontal="center" vertical="center" wrapText="1"/>
    </xf>
    <xf numFmtId="301" fontId="230" fillId="0" borderId="168" xfId="0" applyNumberFormat="1" applyFont="1" applyBorder="1" applyAlignment="1">
      <alignment horizontal="center" vertical="center" wrapText="1"/>
    </xf>
    <xf numFmtId="301" fontId="230" fillId="0" borderId="164" xfId="0" applyNumberFormat="1" applyFont="1" applyBorder="1" applyAlignment="1">
      <alignment horizontal="center" vertical="center" wrapText="1"/>
    </xf>
    <xf numFmtId="301" fontId="229" fillId="45" borderId="54" xfId="0" applyNumberFormat="1" applyFont="1" applyFill="1" applyBorder="1" applyAlignment="1">
      <alignment horizontal="center" vertical="center"/>
    </xf>
    <xf numFmtId="301" fontId="229" fillId="45" borderId="55" xfId="0" applyNumberFormat="1" applyFont="1" applyFill="1" applyBorder="1" applyAlignment="1">
      <alignment horizontal="center" vertical="center"/>
    </xf>
    <xf numFmtId="301" fontId="229" fillId="45" borderId="70" xfId="0" applyNumberFormat="1" applyFont="1" applyFill="1" applyBorder="1" applyAlignment="1">
      <alignment horizontal="center" vertical="center" wrapText="1"/>
    </xf>
    <xf numFmtId="301" fontId="229" fillId="45" borderId="45" xfId="0" applyNumberFormat="1" applyFont="1" applyFill="1" applyBorder="1" applyAlignment="1">
      <alignment horizontal="center" vertical="center" wrapText="1"/>
    </xf>
    <xf numFmtId="301" fontId="229" fillId="45" borderId="4" xfId="0" applyNumberFormat="1" applyFont="1" applyFill="1" applyBorder="1" applyAlignment="1">
      <alignment horizontal="center" vertical="center"/>
    </xf>
    <xf numFmtId="301" fontId="229" fillId="45" borderId="44" xfId="0" applyNumberFormat="1" applyFont="1" applyFill="1" applyBorder="1" applyAlignment="1">
      <alignment horizontal="center" vertical="center"/>
    </xf>
    <xf numFmtId="301" fontId="229" fillId="45" borderId="8" xfId="0" applyNumberFormat="1" applyFont="1" applyFill="1" applyBorder="1" applyAlignment="1">
      <alignment horizontal="center" vertical="center"/>
    </xf>
    <xf numFmtId="301" fontId="229" fillId="45" borderId="93" xfId="0" applyNumberFormat="1" applyFont="1" applyFill="1" applyBorder="1" applyAlignment="1">
      <alignment horizontal="center" vertical="center" wrapText="1"/>
    </xf>
    <xf numFmtId="301" fontId="229" fillId="45" borderId="90" xfId="0" applyNumberFormat="1" applyFont="1" applyFill="1" applyBorder="1" applyAlignment="1">
      <alignment horizontal="center" vertical="center" wrapText="1"/>
    </xf>
    <xf numFmtId="301" fontId="230" fillId="0" borderId="77" xfId="0" applyNumberFormat="1" applyFont="1" applyBorder="1" applyAlignment="1">
      <alignment horizontal="left" vertical="center" wrapText="1"/>
    </xf>
    <xf numFmtId="301" fontId="230" fillId="0" borderId="97" xfId="0" applyNumberFormat="1" applyFont="1" applyBorder="1" applyAlignment="1">
      <alignment horizontal="left" vertical="center" wrapText="1"/>
    </xf>
    <xf numFmtId="301" fontId="230" fillId="0" borderId="88" xfId="0" applyNumberFormat="1" applyFont="1" applyBorder="1" applyAlignment="1">
      <alignment horizontal="left" vertical="center" wrapText="1"/>
    </xf>
    <xf numFmtId="301" fontId="230" fillId="0" borderId="33" xfId="0" applyNumberFormat="1" applyFont="1" applyBorder="1" applyAlignment="1">
      <alignment horizontal="left" vertical="center" wrapText="1"/>
    </xf>
    <xf numFmtId="301" fontId="230" fillId="0" borderId="98" xfId="0" applyNumberFormat="1" applyFont="1" applyBorder="1" applyAlignment="1">
      <alignment horizontal="left" vertical="center" wrapText="1"/>
    </xf>
    <xf numFmtId="0" fontId="226" fillId="53" borderId="141" xfId="0" applyFont="1" applyFill="1" applyBorder="1" applyAlignment="1">
      <alignment horizontal="center" vertical="center" wrapText="1"/>
    </xf>
    <xf numFmtId="0" fontId="226" fillId="53" borderId="111" xfId="0" applyFont="1" applyFill="1" applyBorder="1" applyAlignment="1">
      <alignment horizontal="center" vertical="center" wrapText="1"/>
    </xf>
    <xf numFmtId="0" fontId="226" fillId="53" borderId="142" xfId="0" applyFont="1" applyFill="1" applyBorder="1" applyAlignment="1">
      <alignment horizontal="center" vertical="center" wrapText="1"/>
    </xf>
    <xf numFmtId="0" fontId="226" fillId="53" borderId="143" xfId="0" applyFont="1" applyFill="1" applyBorder="1" applyAlignment="1">
      <alignment horizontal="center" vertical="center" wrapText="1"/>
    </xf>
    <xf numFmtId="0" fontId="226" fillId="53" borderId="144" xfId="0" applyFont="1" applyFill="1" applyBorder="1" applyAlignment="1">
      <alignment horizontal="center" vertical="center" wrapText="1"/>
    </xf>
    <xf numFmtId="301" fontId="195" fillId="45" borderId="196" xfId="0" applyNumberFormat="1" applyFont="1" applyFill="1" applyBorder="1" applyAlignment="1">
      <alignment horizontal="center" vertical="center" wrapText="1"/>
    </xf>
    <xf numFmtId="301" fontId="195" fillId="45" borderId="197" xfId="0" applyNumberFormat="1" applyFont="1" applyFill="1" applyBorder="1" applyAlignment="1">
      <alignment horizontal="center" vertical="center" wrapText="1"/>
    </xf>
    <xf numFmtId="301" fontId="195" fillId="45" borderId="155" xfId="0" applyNumberFormat="1" applyFont="1" applyFill="1" applyBorder="1" applyAlignment="1">
      <alignment horizontal="center" vertical="center" wrapText="1"/>
    </xf>
    <xf numFmtId="301" fontId="195" fillId="45" borderId="156" xfId="0" applyNumberFormat="1" applyFont="1" applyFill="1" applyBorder="1" applyAlignment="1">
      <alignment horizontal="center" vertical="center" wrapText="1"/>
    </xf>
    <xf numFmtId="301" fontId="195" fillId="45" borderId="183" xfId="0" applyNumberFormat="1" applyFont="1" applyFill="1" applyBorder="1" applyAlignment="1">
      <alignment horizontal="center" vertical="center" wrapText="1"/>
    </xf>
    <xf numFmtId="301" fontId="200" fillId="0" borderId="151" xfId="0" applyNumberFormat="1" applyFont="1" applyBorder="1" applyAlignment="1">
      <alignment horizontal="center" vertical="center" wrapText="1"/>
    </xf>
    <xf numFmtId="301" fontId="200" fillId="0" borderId="45" xfId="0" applyNumberFormat="1" applyFont="1" applyBorder="1" applyAlignment="1">
      <alignment horizontal="center" vertical="center" wrapText="1"/>
    </xf>
    <xf numFmtId="301" fontId="200" fillId="0" borderId="184" xfId="0" applyNumberFormat="1" applyFont="1" applyBorder="1" applyAlignment="1">
      <alignment horizontal="center" vertical="center" wrapText="1"/>
    </xf>
    <xf numFmtId="301" fontId="200" fillId="0" borderId="185" xfId="0" applyNumberFormat="1" applyFont="1" applyBorder="1" applyAlignment="1">
      <alignment horizontal="center" vertical="center" wrapText="1"/>
    </xf>
    <xf numFmtId="301" fontId="200" fillId="0" borderId="186" xfId="0" applyNumberFormat="1" applyFont="1" applyBorder="1" applyAlignment="1">
      <alignment horizontal="center" vertical="center" wrapText="1"/>
    </xf>
    <xf numFmtId="0" fontId="226" fillId="0" borderId="122" xfId="0" applyFont="1" applyBorder="1" applyAlignment="1">
      <alignment horizontal="center" vertical="center"/>
    </xf>
    <xf numFmtId="0" fontId="226" fillId="0" borderId="107" xfId="0" applyFont="1" applyBorder="1" applyAlignment="1">
      <alignment horizontal="center" vertical="center"/>
    </xf>
    <xf numFmtId="0" fontId="226" fillId="0" borderId="108" xfId="0" applyFont="1" applyBorder="1" applyAlignment="1">
      <alignment horizontal="center" vertical="center"/>
    </xf>
    <xf numFmtId="0" fontId="226" fillId="0" borderId="123" xfId="0" applyFont="1" applyBorder="1" applyAlignment="1">
      <alignment horizontal="center" vertical="center"/>
    </xf>
    <xf numFmtId="0" fontId="226" fillId="0" borderId="124" xfId="0" applyFont="1" applyBorder="1" applyAlignment="1">
      <alignment horizontal="center" vertical="center"/>
    </xf>
    <xf numFmtId="0" fontId="226" fillId="0" borderId="125" xfId="0" applyFont="1" applyBorder="1" applyAlignment="1">
      <alignment horizontal="center" vertical="center"/>
    </xf>
    <xf numFmtId="301" fontId="228" fillId="45" borderId="43" xfId="0" applyNumberFormat="1" applyFont="1" applyFill="1" applyBorder="1" applyAlignment="1">
      <alignment horizontal="center" vertical="center"/>
    </xf>
    <xf numFmtId="0" fontId="228" fillId="45" borderId="41" xfId="0" applyFont="1" applyFill="1" applyBorder="1" applyAlignment="1">
      <alignment horizontal="center" vertical="center"/>
    </xf>
    <xf numFmtId="0" fontId="223" fillId="0" borderId="0" xfId="0" applyFont="1">
      <alignment vertical="center"/>
    </xf>
    <xf numFmtId="49" fontId="265" fillId="41" borderId="162" xfId="1892" applyNumberFormat="1" applyFont="1" applyFill="1" applyBorder="1" applyAlignment="1">
      <alignment horizontal="center" vertical="center"/>
    </xf>
    <xf numFmtId="49" fontId="217" fillId="41" borderId="162" xfId="0" applyNumberFormat="1" applyFont="1" applyFill="1" applyBorder="1" applyAlignment="1">
      <alignment horizontal="center" vertical="center"/>
    </xf>
    <xf numFmtId="49" fontId="217" fillId="41" borderId="162" xfId="1892" applyNumberFormat="1" applyFont="1" applyFill="1" applyBorder="1" applyAlignment="1">
      <alignment horizontal="center" vertical="center"/>
    </xf>
    <xf numFmtId="49" fontId="251" fillId="41" borderId="162" xfId="0" applyNumberFormat="1" applyFont="1" applyFill="1" applyBorder="1" applyAlignment="1">
      <alignment horizontal="center" vertical="center"/>
    </xf>
    <xf numFmtId="10" fontId="200" fillId="0" borderId="24" xfId="0" applyNumberFormat="1" applyFont="1" applyBorder="1" applyAlignment="1">
      <alignment horizontal="right" vertical="center"/>
    </xf>
    <xf numFmtId="0" fontId="275" fillId="72" borderId="214" xfId="0" applyNumberFormat="1" applyFont="1" applyFill="1" applyBorder="1"/>
    <xf numFmtId="0" fontId="276" fillId="72" borderId="214" xfId="0" applyNumberFormat="1" applyFont="1" applyFill="1" applyBorder="1"/>
    <xf numFmtId="0" fontId="277" fillId="72" borderId="214" xfId="0" applyNumberFormat="1" applyFont="1" applyFill="1" applyBorder="1"/>
    <xf numFmtId="319" fontId="278" fillId="72" borderId="214" xfId="0" applyNumberFormat="1" applyFont="1" applyFill="1" applyBorder="1" applyAlignment="1">
      <alignment horizontal="right"/>
    </xf>
    <xf numFmtId="0" fontId="278" fillId="73" borderId="215" xfId="0" applyNumberFormat="1" applyFont="1" applyFill="1" applyBorder="1" applyAlignment="1">
      <alignment horizontal="center"/>
    </xf>
    <xf numFmtId="0" fontId="278" fillId="74" borderId="214" xfId="0" applyNumberFormat="1" applyFont="1" applyFill="1" applyBorder="1"/>
    <xf numFmtId="0" fontId="275" fillId="74" borderId="214" xfId="0" applyNumberFormat="1" applyFont="1" applyFill="1" applyBorder="1"/>
    <xf numFmtId="0" fontId="279" fillId="72" borderId="214" xfId="0" applyNumberFormat="1" applyFont="1" applyFill="1" applyBorder="1"/>
    <xf numFmtId="320" fontId="279" fillId="72" borderId="214" xfId="0" applyNumberFormat="1" applyFont="1" applyFill="1" applyBorder="1"/>
    <xf numFmtId="0" fontId="275" fillId="75" borderId="214" xfId="0" applyNumberFormat="1" applyFont="1" applyFill="1" applyBorder="1"/>
    <xf numFmtId="0" fontId="278" fillId="75" borderId="214" xfId="0" applyNumberFormat="1" applyFont="1" applyFill="1" applyBorder="1"/>
    <xf numFmtId="320" fontId="278" fillId="75" borderId="216" xfId="0" applyNumberFormat="1" applyFont="1" applyFill="1" applyBorder="1"/>
    <xf numFmtId="0" fontId="275" fillId="75" borderId="217" xfId="0" applyNumberFormat="1" applyFont="1" applyFill="1" applyBorder="1"/>
    <xf numFmtId="0" fontId="278" fillId="75" borderId="217" xfId="0" applyNumberFormat="1" applyFont="1" applyFill="1" applyBorder="1"/>
    <xf numFmtId="320" fontId="278" fillId="75" borderId="217" xfId="0" applyNumberFormat="1" applyFont="1" applyFill="1" applyBorder="1"/>
    <xf numFmtId="0" fontId="275" fillId="75" borderId="218" xfId="0" applyNumberFormat="1" applyFont="1" applyFill="1" applyBorder="1"/>
    <xf numFmtId="0" fontId="278" fillId="75" borderId="218" xfId="0" applyNumberFormat="1" applyFont="1" applyFill="1" applyBorder="1"/>
    <xf numFmtId="320" fontId="278" fillId="75" borderId="218" xfId="0" applyNumberFormat="1" applyFont="1" applyFill="1" applyBorder="1"/>
    <xf numFmtId="0" fontId="278" fillId="72" borderId="214" xfId="0" applyNumberFormat="1" applyFont="1" applyFill="1" applyBorder="1"/>
    <xf numFmtId="0" fontId="280" fillId="72" borderId="214" xfId="0" applyNumberFormat="1" applyFont="1" applyFill="1" applyBorder="1"/>
    <xf numFmtId="0" fontId="279" fillId="72" borderId="214" xfId="0" applyNumberFormat="1" applyFont="1" applyFill="1" applyBorder="1" applyAlignment="1">
      <alignment vertical="top" wrapText="1"/>
    </xf>
    <xf numFmtId="320" fontId="278" fillId="72" borderId="214" xfId="0" applyNumberFormat="1" applyFont="1" applyFill="1" applyBorder="1"/>
    <xf numFmtId="0" fontId="279" fillId="72" borderId="214" xfId="0" applyNumberFormat="1" applyFont="1" applyFill="1" applyBorder="1" applyAlignment="1">
      <alignment wrapText="1"/>
    </xf>
    <xf numFmtId="0" fontId="281" fillId="76" borderId="214" xfId="0" applyNumberFormat="1" applyFont="1" applyFill="1" applyBorder="1"/>
    <xf numFmtId="0" fontId="282" fillId="72" borderId="214" xfId="0" applyNumberFormat="1" applyFont="1" applyFill="1" applyBorder="1" applyAlignment="1">
      <alignment vertical="top" wrapText="1"/>
    </xf>
    <xf numFmtId="0" fontId="278" fillId="73" borderId="215" xfId="0" applyNumberFormat="1" applyFont="1" applyFill="1" applyBorder="1" applyAlignment="1">
      <alignment horizontal="center" wrapText="1"/>
    </xf>
    <xf numFmtId="0" fontId="279" fillId="72" borderId="214" xfId="0" applyNumberFormat="1" applyFont="1" applyFill="1" applyBorder="1" applyAlignment="1">
      <alignment horizontal="left"/>
    </xf>
    <xf numFmtId="0" fontId="279" fillId="72" borderId="214" xfId="0" applyNumberFormat="1" applyFont="1" applyFill="1" applyBorder="1" applyAlignment="1">
      <alignment horizontal="center"/>
    </xf>
    <xf numFmtId="0" fontId="281" fillId="76" borderId="214" xfId="0" applyNumberFormat="1" applyFont="1" applyFill="1" applyBorder="1" applyAlignment="1">
      <alignment horizontal="center"/>
    </xf>
    <xf numFmtId="321" fontId="279" fillId="72" borderId="214" xfId="0" applyNumberFormat="1" applyFont="1" applyFill="1" applyBorder="1" applyAlignment="1">
      <alignment horizontal="center"/>
    </xf>
    <xf numFmtId="1" fontId="279" fillId="72" borderId="214" xfId="0" applyNumberFormat="1" applyFont="1" applyFill="1" applyBorder="1" applyAlignment="1">
      <alignment horizontal="center"/>
    </xf>
    <xf numFmtId="0" fontId="278" fillId="73" borderId="214" xfId="0" applyNumberFormat="1" applyFont="1" applyFill="1" applyBorder="1" applyAlignment="1">
      <alignment horizontal="center"/>
    </xf>
    <xf numFmtId="0" fontId="283" fillId="72" borderId="214" xfId="0" applyNumberFormat="1" applyFont="1" applyFill="1" applyBorder="1"/>
    <xf numFmtId="0" fontId="281" fillId="72" borderId="214" xfId="0" applyNumberFormat="1" applyFont="1" applyFill="1" applyBorder="1" applyAlignment="1">
      <alignment horizontal="center"/>
    </xf>
    <xf numFmtId="321" fontId="281" fillId="72" borderId="214" xfId="0" applyNumberFormat="1" applyFont="1" applyFill="1" applyBorder="1" applyAlignment="1">
      <alignment horizontal="center"/>
    </xf>
    <xf numFmtId="0" fontId="284" fillId="72" borderId="214" xfId="0" applyNumberFormat="1" applyFont="1" applyFill="1" applyBorder="1"/>
    <xf numFmtId="320" fontId="285" fillId="72" borderId="214" xfId="0" applyNumberFormat="1" applyFont="1" applyFill="1" applyBorder="1"/>
  </cellXfs>
  <cellStyles count="2046">
    <cellStyle name="_x0014_" xfId="1" xr:uid="{00000000-0005-0000-0000-000000000000}"/>
    <cellStyle name="-" xfId="2" xr:uid="{00000000-0005-0000-0000-000001000000}"/>
    <cellStyle name="          _x000d__x000a_386grabber=AVGA.3GR_x000d_" xfId="3" xr:uid="{00000000-0005-0000-0000-000002000000}"/>
    <cellStyle name="          _x000d__x000a_386grabber=vga.3gr_x000d__x000a_" xfId="4" xr:uid="{00000000-0005-0000-0000-000003000000}"/>
    <cellStyle name="          _x000d__x000a_shell=progman.exe_x000d__x000a_m" xfId="5" xr:uid="{00000000-0005-0000-0000-000004000000}"/>
    <cellStyle name="- 2" xfId="6" xr:uid="{00000000-0005-0000-0000-000005000000}"/>
    <cellStyle name=" 물류비_실시품의준_4-1실적" xfId="7" xr:uid="{00000000-0005-0000-0000-000006000000}"/>
    <cellStyle name="_x000a_386grabber=M" xfId="8" xr:uid="{00000000-0005-0000-0000-000007000000}"/>
    <cellStyle name="&quot;" xfId="9" xr:uid="{00000000-0005-0000-0000-000008000000}"/>
    <cellStyle name="&quot;_동업계비교" xfId="10" xr:uid="{00000000-0005-0000-0000-000009000000}"/>
    <cellStyle name="-#,###" xfId="11" xr:uid="{00000000-0005-0000-0000-00000A000000}"/>
    <cellStyle name="-#,### 2" xfId="12" xr:uid="{00000000-0005-0000-0000-00000B000000}"/>
    <cellStyle name="$" xfId="13" xr:uid="{00000000-0005-0000-0000-00000C000000}"/>
    <cellStyle name="$_db진흥" xfId="14" xr:uid="{00000000-0005-0000-0000-00000D000000}"/>
    <cellStyle name="$_견적2" xfId="15" xr:uid="{00000000-0005-0000-0000-00000E000000}"/>
    <cellStyle name="$_기아" xfId="16" xr:uid="{00000000-0005-0000-0000-00000F000000}"/>
    <cellStyle name="_x0004__x0004__x0004_-(_x0004_ _x000c_" xfId="17" xr:uid="{00000000-0005-0000-0000-000010000000}"/>
    <cellStyle name="(?)" xfId="18" xr:uid="{00000000-0005-0000-0000-000011000000}"/>
    <cellStyle name="/ea" xfId="19" xr:uid="{00000000-0005-0000-0000-000012000000}"/>
    <cellStyle name="/kg" xfId="20" xr:uid="{00000000-0005-0000-0000-000013000000}"/>
    <cellStyle name="/mt" xfId="21" xr:uid="{00000000-0005-0000-0000-000014000000}"/>
    <cellStyle name=";;;" xfId="22" xr:uid="{00000000-0005-0000-0000-000015000000}"/>
    <cellStyle name="?" xfId="23" xr:uid="{00000000-0005-0000-0000-000016000000}"/>
    <cellStyle name="? 2" xfId="24" xr:uid="{00000000-0005-0000-0000-000017000000}"/>
    <cellStyle name="??" xfId="25" xr:uid="{00000000-0005-0000-0000-000018000000}"/>
    <cellStyle name="?? [0]_VERA" xfId="26" xr:uid="{00000000-0005-0000-0000-000019000000}"/>
    <cellStyle name="??_x000c_@?_x000d_3?_x0001__x000b_" xfId="27" xr:uid="{00000000-0005-0000-0000-00001A000000}"/>
    <cellStyle name="??_x000c_溜_x0012__x000d_肥U_x0001_?_x0006_?_x0007__x0001__x0001_" xfId="28" xr:uid="{00000000-0005-0000-0000-00001B000000}"/>
    <cellStyle name="??&amp;O?&amp;H?_x0008__x000f__x0007_?_x0007__x0001__x0001_" xfId="29" xr:uid="{00000000-0005-0000-0000-00001C000000}"/>
    <cellStyle name="??&amp;O?&amp;H?_x0008_??_x0007__x0001__x0001_" xfId="30" xr:uid="{00000000-0005-0000-0000-00001D000000}"/>
    <cellStyle name="??&amp;O?&amp;H?_x0008_x_x000b_P_x000c__x0007__x0001__x0001_" xfId="31" xr:uid="{00000000-0005-0000-0000-00001E000000}"/>
    <cellStyle name="??&amp;?G_x0008__x0009_X_x000a__x0007__x0001__x0001_" xfId="32" xr:uid="{00000000-0005-0000-0000-00001F000000}"/>
    <cellStyle name="?????" xfId="33" xr:uid="{00000000-0005-0000-0000-000020000000}"/>
    <cellStyle name="??_??? _??? " xfId="34" xr:uid="{00000000-0005-0000-0000-000021000000}"/>
    <cellStyle name="?_x000f__x0001_?잡_x0002_" xfId="35" xr:uid="{00000000-0005-0000-0000-000022000000}"/>
    <cellStyle name="?W?_laroux" xfId="36" xr:uid="{00000000-0005-0000-0000-000023000000}"/>
    <cellStyle name="? [0.00]_sm1(smc021) " xfId="37" xr:uid="{00000000-0005-0000-0000-000024000000}"/>
    <cellStyle name="?_sm1(smc021) " xfId="38" xr:uid="{00000000-0005-0000-0000-000025000000}"/>
    <cellStyle name="?렑띙귒궻긪귽긬?깏깛긏" xfId="39" xr:uid="{00000000-0005-0000-0000-000026000000}"/>
    <cellStyle name="@" xfId="40" xr:uid="{00000000-0005-0000-0000-000027000000}"/>
    <cellStyle name="@_04 3Q KT&amp;G정산표" xfId="41" xr:uid="{00000000-0005-0000-0000-000028000000}"/>
    <cellStyle name="@_04 3Q KT&amp;G정산표_2006년무한투자기말 V.1" xfId="42" xr:uid="{00000000-0005-0000-0000-000029000000}"/>
    <cellStyle name="@_04 3Q KT&amp;G정산표_2006년무한투자반기" xfId="43" xr:uid="{00000000-0005-0000-0000-00002A000000}"/>
    <cellStyle name="@_04 3Q KT&amp;G정산표_2006년무한투자중간" xfId="44" xr:uid="{00000000-0005-0000-0000-00002B000000}"/>
    <cellStyle name="@_2006년무한투자기말 V.1" xfId="45" xr:uid="{00000000-0005-0000-0000-00002C000000}"/>
    <cellStyle name="@_2006년무한투자반기" xfId="46" xr:uid="{00000000-0005-0000-0000-00002D000000}"/>
    <cellStyle name="@_2006년무한투자중간" xfId="47" xr:uid="{00000000-0005-0000-0000-00002E000000}"/>
    <cellStyle name="@_7차 부여분" xfId="48" xr:uid="{00000000-0005-0000-0000-00002F000000}"/>
    <cellStyle name="@_7차 부여분_04 3Q KT&amp;G정산표" xfId="49" xr:uid="{00000000-0005-0000-0000-000030000000}"/>
    <cellStyle name="@_7차 부여분_04 3Q KT&amp;G정산표_2006년무한투자기말 V.1" xfId="50" xr:uid="{00000000-0005-0000-0000-000031000000}"/>
    <cellStyle name="@_7차 부여분_04 3Q KT&amp;G정산표_2006년무한투자반기" xfId="51" xr:uid="{00000000-0005-0000-0000-000032000000}"/>
    <cellStyle name="@_7차 부여분_04 3Q KT&amp;G정산표_2006년무한투자중간" xfId="52" xr:uid="{00000000-0005-0000-0000-000033000000}"/>
    <cellStyle name="@_7차 부여분_2006년무한투자기말 V.1" xfId="53" xr:uid="{00000000-0005-0000-0000-000034000000}"/>
    <cellStyle name="@_7차 부여분_2006년무한투자반기" xfId="54" xr:uid="{00000000-0005-0000-0000-000035000000}"/>
    <cellStyle name="@_7차 부여분_2006년무한투자중간" xfId="55" xr:uid="{00000000-0005-0000-0000-000036000000}"/>
    <cellStyle name="@_7차 부여분_KT&amp;G 2004년 3분기 정산표" xfId="56" xr:uid="{00000000-0005-0000-0000-000037000000}"/>
    <cellStyle name="@_7차 부여분_KT&amp;G 2004년 3분기 정산표_2006년무한투자기말 V.1" xfId="57" xr:uid="{00000000-0005-0000-0000-000038000000}"/>
    <cellStyle name="@_7차 부여분_KT&amp;G 2004년 3분기 정산표_2006년무한투자반기" xfId="58" xr:uid="{00000000-0005-0000-0000-000039000000}"/>
    <cellStyle name="@_7차 부여분_KT&amp;G 2004년 3분기 정산표_2006년무한투자중간" xfId="59" xr:uid="{00000000-0005-0000-0000-00003A000000}"/>
    <cellStyle name="@_7차 부여분_KT&amp;G정산표" xfId="60" xr:uid="{00000000-0005-0000-0000-00003B000000}"/>
    <cellStyle name="@_7차 부여분_KT&amp;G정산표(CF포함)-반기-박세현" xfId="61" xr:uid="{00000000-0005-0000-0000-00003C000000}"/>
    <cellStyle name="@_7차 부여분_KT&amp;G정산표(CF포함)-반기-박세현_2006년무한투자기말 V.1" xfId="62" xr:uid="{00000000-0005-0000-0000-00003D000000}"/>
    <cellStyle name="@_7차 부여분_KT&amp;G정산표(CF포함)-반기-박세현_2006년무한투자반기" xfId="63" xr:uid="{00000000-0005-0000-0000-00003E000000}"/>
    <cellStyle name="@_7차 부여분_KT&amp;G정산표(CF포함)-반기-박세현_2006년무한투자중간" xfId="64" xr:uid="{00000000-0005-0000-0000-00003F000000}"/>
    <cellStyle name="@_7차 부여분_KT&amp;G정산표_2006년무한투자기말 V.1" xfId="65" xr:uid="{00000000-0005-0000-0000-000040000000}"/>
    <cellStyle name="@_7차 부여분_KT&amp;G정산표_2006년무한투자반기" xfId="66" xr:uid="{00000000-0005-0000-0000-000041000000}"/>
    <cellStyle name="@_7차 부여분_KT&amp;G정산표_2006년무한투자중간" xfId="67" xr:uid="{00000000-0005-0000-0000-000042000000}"/>
    <cellStyle name="@_7차 부여분_반기정산표- 수정사항최종" xfId="68" xr:uid="{00000000-0005-0000-0000-000043000000}"/>
    <cellStyle name="@_7차 부여분_반기정산표- 수정사항최종_2006년무한투자기말 V.1" xfId="69" xr:uid="{00000000-0005-0000-0000-000044000000}"/>
    <cellStyle name="@_7차 부여분_반기정산표- 수정사항최종_2006년무한투자반기" xfId="70" xr:uid="{00000000-0005-0000-0000-000045000000}"/>
    <cellStyle name="@_7차 부여분_반기정산표- 수정사항최종_2006년무한투자중간" xfId="71" xr:uid="{00000000-0005-0000-0000-000046000000}"/>
    <cellStyle name="@_7차 부여분_정산표확정" xfId="72" xr:uid="{00000000-0005-0000-0000-000047000000}"/>
    <cellStyle name="@_7차 부여분_정산표확정_2006년무한투자기말 V.1" xfId="73" xr:uid="{00000000-0005-0000-0000-000048000000}"/>
    <cellStyle name="@_7차 부여분_정산표확정_2006년무한투자반기" xfId="74" xr:uid="{00000000-0005-0000-0000-000049000000}"/>
    <cellStyle name="@_7차 부여분_정산표확정_2006년무한투자중간" xfId="75" xr:uid="{00000000-0005-0000-0000-00004A000000}"/>
    <cellStyle name="@_KT&amp;G 2004년 3분기 정산표" xfId="76" xr:uid="{00000000-0005-0000-0000-00004B000000}"/>
    <cellStyle name="@_KT&amp;G 2004년 3분기 정산표_2006년무한투자기말 V.1" xfId="77" xr:uid="{00000000-0005-0000-0000-00004C000000}"/>
    <cellStyle name="@_KT&amp;G 2004년 3분기 정산표_2006년무한투자반기" xfId="78" xr:uid="{00000000-0005-0000-0000-00004D000000}"/>
    <cellStyle name="@_KT&amp;G 2004년 3분기 정산표_2006년무한투자중간" xfId="79" xr:uid="{00000000-0005-0000-0000-00004E000000}"/>
    <cellStyle name="@_KT&amp;G정산표" xfId="80" xr:uid="{00000000-0005-0000-0000-00004F000000}"/>
    <cellStyle name="@_KT&amp;G정산표(CF포함)-반기-박세현" xfId="81" xr:uid="{00000000-0005-0000-0000-000050000000}"/>
    <cellStyle name="@_KT&amp;G정산표(CF포함)-반기-박세현_2006년무한투자기말 V.1" xfId="82" xr:uid="{00000000-0005-0000-0000-000051000000}"/>
    <cellStyle name="@_KT&amp;G정산표(CF포함)-반기-박세현_2006년무한투자반기" xfId="83" xr:uid="{00000000-0005-0000-0000-000052000000}"/>
    <cellStyle name="@_KT&amp;G정산표(CF포함)-반기-박세현_2006년무한투자중간" xfId="84" xr:uid="{00000000-0005-0000-0000-000053000000}"/>
    <cellStyle name="@_KT&amp;G정산표_2006년무한투자기말 V.1" xfId="85" xr:uid="{00000000-0005-0000-0000-000054000000}"/>
    <cellStyle name="@_KT&amp;G정산표_2006년무한투자반기" xfId="86" xr:uid="{00000000-0005-0000-0000-000055000000}"/>
    <cellStyle name="@_KT&amp;G정산표_2006년무한투자중간" xfId="87" xr:uid="{00000000-0005-0000-0000-000056000000}"/>
    <cellStyle name="@_Module1" xfId="88" xr:uid="{00000000-0005-0000-0000-000057000000}"/>
    <cellStyle name="@_Module1_04 3Q KT&amp;G정산표" xfId="89" xr:uid="{00000000-0005-0000-0000-000058000000}"/>
    <cellStyle name="@_Module1_04 3Q KT&amp;G정산표_2006년무한투자기말 V.1" xfId="90" xr:uid="{00000000-0005-0000-0000-000059000000}"/>
    <cellStyle name="@_Module1_04 3Q KT&amp;G정산표_2006년무한투자반기" xfId="91" xr:uid="{00000000-0005-0000-0000-00005A000000}"/>
    <cellStyle name="@_Module1_04 3Q KT&amp;G정산표_2006년무한투자중간" xfId="92" xr:uid="{00000000-0005-0000-0000-00005B000000}"/>
    <cellStyle name="@_Module1_2000년매출" xfId="93" xr:uid="{00000000-0005-0000-0000-00005C000000}"/>
    <cellStyle name="@_Module1_2000년매출_04 3Q KT&amp;G정산표" xfId="94" xr:uid="{00000000-0005-0000-0000-00005D000000}"/>
    <cellStyle name="@_Module1_2000년매출_04 3Q KT&amp;G정산표_2006년무한투자기말 V.1" xfId="95" xr:uid="{00000000-0005-0000-0000-00005E000000}"/>
    <cellStyle name="@_Module1_2000년매출_04 3Q KT&amp;G정산표_2006년무한투자반기" xfId="96" xr:uid="{00000000-0005-0000-0000-00005F000000}"/>
    <cellStyle name="@_Module1_2000년매출_04 3Q KT&amp;G정산표_2006년무한투자중간" xfId="97" xr:uid="{00000000-0005-0000-0000-000060000000}"/>
    <cellStyle name="@_Module1_2000년매출_2006년무한투자기말 V.1" xfId="98" xr:uid="{00000000-0005-0000-0000-000061000000}"/>
    <cellStyle name="@_Module1_2000년매출_2006년무한투자반기" xfId="99" xr:uid="{00000000-0005-0000-0000-000062000000}"/>
    <cellStyle name="@_Module1_2000년매출_2006년무한투자중간" xfId="100" xr:uid="{00000000-0005-0000-0000-000063000000}"/>
    <cellStyle name="@_Module1_2000년매출_7차 부여분" xfId="101" xr:uid="{00000000-0005-0000-0000-000064000000}"/>
    <cellStyle name="@_Module1_2000년매출_7차 부여분_04 3Q KT&amp;G정산표" xfId="102" xr:uid="{00000000-0005-0000-0000-000065000000}"/>
    <cellStyle name="@_Module1_2000년매출_7차 부여분_04 3Q KT&amp;G정산표_2006년무한투자기말 V.1" xfId="103" xr:uid="{00000000-0005-0000-0000-000066000000}"/>
    <cellStyle name="@_Module1_2000년매출_7차 부여분_04 3Q KT&amp;G정산표_2006년무한투자반기" xfId="104" xr:uid="{00000000-0005-0000-0000-000067000000}"/>
    <cellStyle name="@_Module1_2000년매출_7차 부여분_04 3Q KT&amp;G정산표_2006년무한투자중간" xfId="105" xr:uid="{00000000-0005-0000-0000-000068000000}"/>
    <cellStyle name="@_Module1_2000년매출_7차 부여분_2006년무한투자기말 V.1" xfId="106" xr:uid="{00000000-0005-0000-0000-000069000000}"/>
    <cellStyle name="@_Module1_2000년매출_7차 부여분_2006년무한투자반기" xfId="107" xr:uid="{00000000-0005-0000-0000-00006A000000}"/>
    <cellStyle name="@_Module1_2000년매출_7차 부여분_2006년무한투자중간" xfId="108" xr:uid="{00000000-0005-0000-0000-00006B000000}"/>
    <cellStyle name="@_Module1_2000년매출_7차 부여분_KT&amp;G 2004년 3분기 정산표" xfId="109" xr:uid="{00000000-0005-0000-0000-00006C000000}"/>
    <cellStyle name="@_Module1_2000년매출_7차 부여분_KT&amp;G 2004년 3분기 정산표_2006년무한투자기말 V.1" xfId="110" xr:uid="{00000000-0005-0000-0000-00006D000000}"/>
    <cellStyle name="@_Module1_2000년매출_7차 부여분_KT&amp;G 2004년 3분기 정산표_2006년무한투자반기" xfId="111" xr:uid="{00000000-0005-0000-0000-00006E000000}"/>
    <cellStyle name="@_Module1_2000년매출_7차 부여분_KT&amp;G 2004년 3분기 정산표_2006년무한투자중간" xfId="112" xr:uid="{00000000-0005-0000-0000-00006F000000}"/>
    <cellStyle name="@_Module1_2000년매출_7차 부여분_KT&amp;G정산표" xfId="113" xr:uid="{00000000-0005-0000-0000-000070000000}"/>
    <cellStyle name="@_Module1_2000년매출_7차 부여분_KT&amp;G정산표(CF포함)-반기-박세현" xfId="114" xr:uid="{00000000-0005-0000-0000-000071000000}"/>
    <cellStyle name="@_Module1_2000년매출_7차 부여분_KT&amp;G정산표(CF포함)-반기-박세현_2006년무한투자기말 V.1" xfId="115" xr:uid="{00000000-0005-0000-0000-000072000000}"/>
    <cellStyle name="@_Module1_2000년매출_7차 부여분_KT&amp;G정산표(CF포함)-반기-박세현_2006년무한투자반기" xfId="116" xr:uid="{00000000-0005-0000-0000-000073000000}"/>
    <cellStyle name="@_Module1_2000년매출_7차 부여분_KT&amp;G정산표(CF포함)-반기-박세현_2006년무한투자중간" xfId="117" xr:uid="{00000000-0005-0000-0000-000074000000}"/>
    <cellStyle name="@_Module1_2000년매출_7차 부여분_KT&amp;G정산표_2006년무한투자기말 V.1" xfId="118" xr:uid="{00000000-0005-0000-0000-000075000000}"/>
    <cellStyle name="@_Module1_2000년매출_7차 부여분_KT&amp;G정산표_2006년무한투자반기" xfId="119" xr:uid="{00000000-0005-0000-0000-000076000000}"/>
    <cellStyle name="@_Module1_2000년매출_7차 부여분_KT&amp;G정산표_2006년무한투자중간" xfId="120" xr:uid="{00000000-0005-0000-0000-000077000000}"/>
    <cellStyle name="@_Module1_2000년매출_7차 부여분_반기정산표- 수정사항최종" xfId="121" xr:uid="{00000000-0005-0000-0000-000078000000}"/>
    <cellStyle name="@_Module1_2000년매출_7차 부여분_반기정산표- 수정사항최종_2006년무한투자기말 V.1" xfId="122" xr:uid="{00000000-0005-0000-0000-000079000000}"/>
    <cellStyle name="@_Module1_2000년매출_7차 부여분_반기정산표- 수정사항최종_2006년무한투자반기" xfId="123" xr:uid="{00000000-0005-0000-0000-00007A000000}"/>
    <cellStyle name="@_Module1_2000년매출_7차 부여분_반기정산표- 수정사항최종_2006년무한투자중간" xfId="124" xr:uid="{00000000-0005-0000-0000-00007B000000}"/>
    <cellStyle name="@_Module1_2000년매출_7차 부여분_정산표확정" xfId="125" xr:uid="{00000000-0005-0000-0000-00007C000000}"/>
    <cellStyle name="@_Module1_2000년매출_7차 부여분_정산표확정_2006년무한투자기말 V.1" xfId="126" xr:uid="{00000000-0005-0000-0000-00007D000000}"/>
    <cellStyle name="@_Module1_2000년매출_7차 부여분_정산표확정_2006년무한투자반기" xfId="127" xr:uid="{00000000-0005-0000-0000-00007E000000}"/>
    <cellStyle name="@_Module1_2000년매출_7차 부여분_정산표확정_2006년무한투자중간" xfId="128" xr:uid="{00000000-0005-0000-0000-00007F000000}"/>
    <cellStyle name="@_Module1_2000년매출_KT&amp;G 2004년 3분기 정산표" xfId="129" xr:uid="{00000000-0005-0000-0000-000080000000}"/>
    <cellStyle name="@_Module1_2000년매출_KT&amp;G 2004년 3분기 정산표_2006년무한투자기말 V.1" xfId="130" xr:uid="{00000000-0005-0000-0000-000081000000}"/>
    <cellStyle name="@_Module1_2000년매출_KT&amp;G 2004년 3분기 정산표_2006년무한투자반기" xfId="131" xr:uid="{00000000-0005-0000-0000-000082000000}"/>
    <cellStyle name="@_Module1_2000년매출_KT&amp;G 2004년 3분기 정산표_2006년무한투자중간" xfId="132" xr:uid="{00000000-0005-0000-0000-000083000000}"/>
    <cellStyle name="@_Module1_2000년매출_KT&amp;G정산표" xfId="133" xr:uid="{00000000-0005-0000-0000-000084000000}"/>
    <cellStyle name="@_Module1_2000년매출_KT&amp;G정산표(CF포함)-반기-박세현" xfId="134" xr:uid="{00000000-0005-0000-0000-000085000000}"/>
    <cellStyle name="@_Module1_2000년매출_KT&amp;G정산표(CF포함)-반기-박세현_2006년무한투자기말 V.1" xfId="135" xr:uid="{00000000-0005-0000-0000-000086000000}"/>
    <cellStyle name="@_Module1_2000년매출_KT&amp;G정산표(CF포함)-반기-박세현_2006년무한투자반기" xfId="136" xr:uid="{00000000-0005-0000-0000-000087000000}"/>
    <cellStyle name="@_Module1_2000년매출_KT&amp;G정산표(CF포함)-반기-박세현_2006년무한투자중간" xfId="137" xr:uid="{00000000-0005-0000-0000-000088000000}"/>
    <cellStyle name="@_Module1_2000년매출_KT&amp;G정산표_2006년무한투자기말 V.1" xfId="138" xr:uid="{00000000-0005-0000-0000-000089000000}"/>
    <cellStyle name="@_Module1_2000년매출_KT&amp;G정산표_2006년무한투자반기" xfId="139" xr:uid="{00000000-0005-0000-0000-00008A000000}"/>
    <cellStyle name="@_Module1_2000년매출_KT&amp;G정산표_2006년무한투자중간" xfId="140" xr:uid="{00000000-0005-0000-0000-00008B000000}"/>
    <cellStyle name="@_Module1_2000년매출_반기정산표- 수정사항최종" xfId="141" xr:uid="{00000000-0005-0000-0000-00008C000000}"/>
    <cellStyle name="@_Module1_2000년매출_반기정산표- 수정사항최종_2006년무한투자기말 V.1" xfId="142" xr:uid="{00000000-0005-0000-0000-00008D000000}"/>
    <cellStyle name="@_Module1_2000년매출_반기정산표- 수정사항최종_2006년무한투자반기" xfId="143" xr:uid="{00000000-0005-0000-0000-00008E000000}"/>
    <cellStyle name="@_Module1_2000년매출_반기정산표- 수정사항최종_2006년무한투자중간" xfId="144" xr:uid="{00000000-0005-0000-0000-00008F000000}"/>
    <cellStyle name="@_Module1_2000년매출_정산표확정" xfId="145" xr:uid="{00000000-0005-0000-0000-000090000000}"/>
    <cellStyle name="@_Module1_2000년매출_정산표확정_2006년무한투자기말 V.1" xfId="146" xr:uid="{00000000-0005-0000-0000-000091000000}"/>
    <cellStyle name="@_Module1_2000년매출_정산표확정_2006년무한투자반기" xfId="147" xr:uid="{00000000-0005-0000-0000-000092000000}"/>
    <cellStyle name="@_Module1_2000년매출_정산표확정_2006년무한투자중간" xfId="148" xr:uid="{00000000-0005-0000-0000-000093000000}"/>
    <cellStyle name="@_Module1_2006년무한투자기말 V.1" xfId="149" xr:uid="{00000000-0005-0000-0000-000094000000}"/>
    <cellStyle name="@_Module1_2006년무한투자반기" xfId="150" xr:uid="{00000000-0005-0000-0000-000095000000}"/>
    <cellStyle name="@_Module1_2006년무한투자중간" xfId="151" xr:uid="{00000000-0005-0000-0000-000096000000}"/>
    <cellStyle name="@_Module1_7차 부여분" xfId="152" xr:uid="{00000000-0005-0000-0000-000097000000}"/>
    <cellStyle name="@_Module1_7차 부여분_04 3Q KT&amp;G정산표" xfId="153" xr:uid="{00000000-0005-0000-0000-000098000000}"/>
    <cellStyle name="@_Module1_7차 부여분_04 3Q KT&amp;G정산표_2006년무한투자기말 V.1" xfId="154" xr:uid="{00000000-0005-0000-0000-000099000000}"/>
    <cellStyle name="@_Module1_7차 부여분_04 3Q KT&amp;G정산표_2006년무한투자반기" xfId="155" xr:uid="{00000000-0005-0000-0000-00009A000000}"/>
    <cellStyle name="@_Module1_7차 부여분_04 3Q KT&amp;G정산표_2006년무한투자중간" xfId="156" xr:uid="{00000000-0005-0000-0000-00009B000000}"/>
    <cellStyle name="@_Module1_7차 부여분_2006년무한투자기말 V.1" xfId="157" xr:uid="{00000000-0005-0000-0000-00009C000000}"/>
    <cellStyle name="@_Module1_7차 부여분_2006년무한투자반기" xfId="158" xr:uid="{00000000-0005-0000-0000-00009D000000}"/>
    <cellStyle name="@_Module1_7차 부여분_2006년무한투자중간" xfId="159" xr:uid="{00000000-0005-0000-0000-00009E000000}"/>
    <cellStyle name="@_Module1_7차 부여분_KT&amp;G 2004년 3분기 정산표" xfId="160" xr:uid="{00000000-0005-0000-0000-00009F000000}"/>
    <cellStyle name="@_Module1_7차 부여분_KT&amp;G 2004년 3분기 정산표_2006년무한투자기말 V.1" xfId="161" xr:uid="{00000000-0005-0000-0000-0000A0000000}"/>
    <cellStyle name="@_Module1_7차 부여분_KT&amp;G 2004년 3분기 정산표_2006년무한투자반기" xfId="162" xr:uid="{00000000-0005-0000-0000-0000A1000000}"/>
    <cellStyle name="@_Module1_7차 부여분_KT&amp;G 2004년 3분기 정산표_2006년무한투자중간" xfId="163" xr:uid="{00000000-0005-0000-0000-0000A2000000}"/>
    <cellStyle name="@_Module1_7차 부여분_KT&amp;G정산표" xfId="164" xr:uid="{00000000-0005-0000-0000-0000A3000000}"/>
    <cellStyle name="@_Module1_7차 부여분_KT&amp;G정산표(CF포함)-반기-박세현" xfId="165" xr:uid="{00000000-0005-0000-0000-0000A4000000}"/>
    <cellStyle name="@_Module1_7차 부여분_KT&amp;G정산표(CF포함)-반기-박세현_2006년무한투자기말 V.1" xfId="166" xr:uid="{00000000-0005-0000-0000-0000A5000000}"/>
    <cellStyle name="@_Module1_7차 부여분_KT&amp;G정산표(CF포함)-반기-박세현_2006년무한투자반기" xfId="167" xr:uid="{00000000-0005-0000-0000-0000A6000000}"/>
    <cellStyle name="@_Module1_7차 부여분_KT&amp;G정산표(CF포함)-반기-박세현_2006년무한투자중간" xfId="168" xr:uid="{00000000-0005-0000-0000-0000A7000000}"/>
    <cellStyle name="@_Module1_7차 부여분_KT&amp;G정산표_2006년무한투자기말 V.1" xfId="169" xr:uid="{00000000-0005-0000-0000-0000A8000000}"/>
    <cellStyle name="@_Module1_7차 부여분_KT&amp;G정산표_2006년무한투자반기" xfId="170" xr:uid="{00000000-0005-0000-0000-0000A9000000}"/>
    <cellStyle name="@_Module1_7차 부여분_KT&amp;G정산표_2006년무한투자중간" xfId="171" xr:uid="{00000000-0005-0000-0000-0000AA000000}"/>
    <cellStyle name="@_Module1_7차 부여분_반기정산표- 수정사항최종" xfId="172" xr:uid="{00000000-0005-0000-0000-0000AB000000}"/>
    <cellStyle name="@_Module1_7차 부여분_반기정산표- 수정사항최종_2006년무한투자기말 V.1" xfId="173" xr:uid="{00000000-0005-0000-0000-0000AC000000}"/>
    <cellStyle name="@_Module1_7차 부여분_반기정산표- 수정사항최종_2006년무한투자반기" xfId="174" xr:uid="{00000000-0005-0000-0000-0000AD000000}"/>
    <cellStyle name="@_Module1_7차 부여분_반기정산표- 수정사항최종_2006년무한투자중간" xfId="175" xr:uid="{00000000-0005-0000-0000-0000AE000000}"/>
    <cellStyle name="@_Module1_7차 부여분_정산표확정" xfId="176" xr:uid="{00000000-0005-0000-0000-0000AF000000}"/>
    <cellStyle name="@_Module1_7차 부여분_정산표확정_2006년무한투자기말 V.1" xfId="177" xr:uid="{00000000-0005-0000-0000-0000B0000000}"/>
    <cellStyle name="@_Module1_7차 부여분_정산표확정_2006년무한투자반기" xfId="178" xr:uid="{00000000-0005-0000-0000-0000B1000000}"/>
    <cellStyle name="@_Module1_7차 부여분_정산표확정_2006년무한투자중간" xfId="179" xr:uid="{00000000-0005-0000-0000-0000B2000000}"/>
    <cellStyle name="@_Module1_KT&amp;G 2004년 3분기 정산표" xfId="180" xr:uid="{00000000-0005-0000-0000-0000B3000000}"/>
    <cellStyle name="@_Module1_KT&amp;G 2004년 3분기 정산표_2006년무한투자기말 V.1" xfId="181" xr:uid="{00000000-0005-0000-0000-0000B4000000}"/>
    <cellStyle name="@_Module1_KT&amp;G 2004년 3분기 정산표_2006년무한투자반기" xfId="182" xr:uid="{00000000-0005-0000-0000-0000B5000000}"/>
    <cellStyle name="@_Module1_KT&amp;G 2004년 3분기 정산표_2006년무한투자중간" xfId="183" xr:uid="{00000000-0005-0000-0000-0000B6000000}"/>
    <cellStyle name="@_Module1_KT&amp;G정산표" xfId="184" xr:uid="{00000000-0005-0000-0000-0000B7000000}"/>
    <cellStyle name="@_Module1_KT&amp;G정산표(CF포함)-반기-박세현" xfId="185" xr:uid="{00000000-0005-0000-0000-0000B8000000}"/>
    <cellStyle name="@_Module1_KT&amp;G정산표(CF포함)-반기-박세현_2006년무한투자기말 V.1" xfId="186" xr:uid="{00000000-0005-0000-0000-0000B9000000}"/>
    <cellStyle name="@_Module1_KT&amp;G정산표(CF포함)-반기-박세현_2006년무한투자반기" xfId="187" xr:uid="{00000000-0005-0000-0000-0000BA000000}"/>
    <cellStyle name="@_Module1_KT&amp;G정산표(CF포함)-반기-박세현_2006년무한투자중간" xfId="188" xr:uid="{00000000-0005-0000-0000-0000BB000000}"/>
    <cellStyle name="@_Module1_KT&amp;G정산표_2006년무한투자기말 V.1" xfId="189" xr:uid="{00000000-0005-0000-0000-0000BC000000}"/>
    <cellStyle name="@_Module1_KT&amp;G정산표_2006년무한투자반기" xfId="190" xr:uid="{00000000-0005-0000-0000-0000BD000000}"/>
    <cellStyle name="@_Module1_KT&amp;G정산표_2006년무한투자중간" xfId="191" xr:uid="{00000000-0005-0000-0000-0000BE000000}"/>
    <cellStyle name="@_Module1_반기정산표- 수정사항최종" xfId="192" xr:uid="{00000000-0005-0000-0000-0000BF000000}"/>
    <cellStyle name="@_Module1_반기정산표- 수정사항최종_2006년무한투자기말 V.1" xfId="193" xr:uid="{00000000-0005-0000-0000-0000C0000000}"/>
    <cellStyle name="@_Module1_반기정산표- 수정사항최종_2006년무한투자반기" xfId="194" xr:uid="{00000000-0005-0000-0000-0000C1000000}"/>
    <cellStyle name="@_Module1_반기정산표- 수정사항최종_2006년무한투자중간" xfId="195" xr:uid="{00000000-0005-0000-0000-0000C2000000}"/>
    <cellStyle name="@_Module1_정산표확정" xfId="196" xr:uid="{00000000-0005-0000-0000-0000C3000000}"/>
    <cellStyle name="@_Module1_정산표확정_2006년무한투자기말 V.1" xfId="197" xr:uid="{00000000-0005-0000-0000-0000C4000000}"/>
    <cellStyle name="@_Module1_정산표확정_2006년무한투자반기" xfId="198" xr:uid="{00000000-0005-0000-0000-0000C5000000}"/>
    <cellStyle name="@_Module1_정산표확정_2006년무한투자중간" xfId="199" xr:uid="{00000000-0005-0000-0000-0000C6000000}"/>
    <cellStyle name="@_반기정산표- 수정사항최종" xfId="200" xr:uid="{00000000-0005-0000-0000-0000C7000000}"/>
    <cellStyle name="@_반기정산표- 수정사항최종_2006년무한투자기말 V.1" xfId="201" xr:uid="{00000000-0005-0000-0000-0000C8000000}"/>
    <cellStyle name="@_반기정산표- 수정사항최종_2006년무한투자반기" xfId="202" xr:uid="{00000000-0005-0000-0000-0000C9000000}"/>
    <cellStyle name="@_반기정산표- 수정사항최종_2006년무한투자중간" xfId="203" xr:uid="{00000000-0005-0000-0000-0000CA000000}"/>
    <cellStyle name="@_정산표확정" xfId="204" xr:uid="{00000000-0005-0000-0000-0000CB000000}"/>
    <cellStyle name="@_정산표확정_2006년무한투자기말 V.1" xfId="205" xr:uid="{00000000-0005-0000-0000-0000CC000000}"/>
    <cellStyle name="@_정산표확정_2006년무한투자반기" xfId="206" xr:uid="{00000000-0005-0000-0000-0000CD000000}"/>
    <cellStyle name="@_정산표확정_2006년무한투자중간" xfId="207" xr:uid="{00000000-0005-0000-0000-0000CE000000}"/>
    <cellStyle name="_●04.결산보고서-3분기" xfId="208" xr:uid="{00000000-0005-0000-0000-0000CF000000}"/>
    <cellStyle name="_02한신-" xfId="209" xr:uid="{00000000-0005-0000-0000-0000D0000000}"/>
    <cellStyle name="_02한신-_김태훈-최종Ipsen(05_1th)" xfId="210" xr:uid="{00000000-0005-0000-0000-0000D1000000}"/>
    <cellStyle name="_03한신-" xfId="211" xr:uid="{00000000-0005-0000-0000-0000D2000000}"/>
    <cellStyle name="_03한신-_김태훈-최종Ipsen(05_1th)" xfId="212" xr:uid="{00000000-0005-0000-0000-0000D3000000}"/>
    <cellStyle name="_04(1).퇴직급여충당금(기말)" xfId="213" xr:uid="{00000000-0005-0000-0000-0000D4000000}"/>
    <cellStyle name="_04(1).퇴직급여충당금(기말)_김태훈-최종Ipsen(05_1th)" xfId="214" xr:uid="{00000000-0005-0000-0000-0000D5000000}"/>
    <cellStyle name="_0조  ㅅ1-" xfId="215" xr:uid="{00000000-0005-0000-0000-0000D6000000}"/>
    <cellStyle name="_0조  ㅅ1-_김태훈-최종Ipsen(05_1th)" xfId="216" xr:uid="{00000000-0005-0000-0000-0000D7000000}"/>
    <cellStyle name="_10기 결산 명세서" xfId="217" xr:uid="{00000000-0005-0000-0000-0000D8000000}"/>
    <cellStyle name="_114안내위탁수수료추정_2005~2007" xfId="218" xr:uid="{00000000-0005-0000-0000-0000D9000000}"/>
    <cellStyle name="_2000년 현지인 성과급" xfId="219" xr:uid="{00000000-0005-0000-0000-0000DA000000}"/>
    <cellStyle name="_2000현지인급여인상세부2-최종-임의조정2" xfId="220" xr:uid="{00000000-0005-0000-0000-0000DB000000}"/>
    <cellStyle name="_2001-A FILE" xfId="221" xr:uid="{00000000-0005-0000-0000-0000DC000000}"/>
    <cellStyle name="_2003 기말감사" xfId="222" xr:uid="{00000000-0005-0000-0000-0000DD000000}"/>
    <cellStyle name="_2003.12.31" xfId="223" xr:uid="{00000000-0005-0000-0000-0000DE000000}"/>
    <cellStyle name="_2003_기말" xfId="224" xr:uid="{00000000-0005-0000-0000-0000DF000000}"/>
    <cellStyle name="_2003기말조서" xfId="225" xr:uid="{00000000-0005-0000-0000-0000E0000000}"/>
    <cellStyle name="_2003기말조서_김태훈-최종Ipsen(05_1th)" xfId="226" xr:uid="{00000000-0005-0000-0000-0000E1000000}"/>
    <cellStyle name="_2004.7월급여테이블조정(100)완결" xfId="227" xr:uid="{00000000-0005-0000-0000-0000E2000000}"/>
    <cellStyle name="_2004기말조서(R)" xfId="228" xr:uid="{00000000-0005-0000-0000-0000E3000000}"/>
    <cellStyle name="_2004기말조서(R)_김태훈-최종Ipsen(05_1th)" xfId="229" xr:uid="{00000000-0005-0000-0000-0000E4000000}"/>
    <cellStyle name="_2004년 4월발생분 전표수거비용" xfId="230" xr:uid="{00000000-0005-0000-0000-0000E5000000}"/>
    <cellStyle name="_2004년 4월발생분 전표수거비용_IKL_2Q.2005(수정)" xfId="231" xr:uid="{00000000-0005-0000-0000-0000E6000000}"/>
    <cellStyle name="_2004년 4월발생분 전표수거비용_IKL_2Q.2005(수정)_수원애경역사재무제표_05" xfId="232" xr:uid="{00000000-0005-0000-0000-0000E7000000}"/>
    <cellStyle name="_2004년 4월발생분 전표수거비용_IKL_2Q.2005(수정)_수원애경역사재무제표_05_평택 감가상각명세서(최종)" xfId="233" xr:uid="{00000000-0005-0000-0000-0000E8000000}"/>
    <cellStyle name="_2004년 4월발생분 전표수거비용_IKL_2Q.2005(수정)_수원애경역사재무제표_05_평택역사_퇴직급여충당금" xfId="234" xr:uid="{00000000-0005-0000-0000-0000E9000000}"/>
    <cellStyle name="_2004년 4월발생분 전표수거비용_IKL_2Q.2005(수정)_수원애경역사재무제표_05_평택역사_퇴직급여충당금_평택역사 임금" xfId="235" xr:uid="{00000000-0005-0000-0000-0000EA000000}"/>
    <cellStyle name="_2004년 4월발생분 전표수거비용_IKL_2Q.2005(수정)_수원애경역사재무제표_05_평택역사_퇴직급여충당금_평택역사_퇴직급여충당금" xfId="236" xr:uid="{00000000-0005-0000-0000-0000EB000000}"/>
    <cellStyle name="_2004년 4월발생분 전표수거비용_IKL_2Q.2005(수정)_수원애경역사재무제표_05_평택역사_퇴직급여충당금_평택역사_퇴직급여충당금_최종본" xfId="237" xr:uid="{00000000-0005-0000-0000-0000EC000000}"/>
    <cellStyle name="_2004년 4월발생분 전표수거비용_IKL_2Q.2005(수정)_수원애경역사재무제표_05_평택역사_퇴직급여충당금_평택역사_퇴직급여충당금_최종수정본" xfId="238" xr:uid="{00000000-0005-0000-0000-0000ED000000}"/>
    <cellStyle name="_2004년 4월발생분 전표수거비용_IKL_2Q.2005(수정)_평택 감가상각명세서(최종)" xfId="239" xr:uid="{00000000-0005-0000-0000-0000EE000000}"/>
    <cellStyle name="_2004년 4월발생분 전표수거비용_IKL_2Q.2005(수정)_평택역사_퇴직급여충당금" xfId="240" xr:uid="{00000000-0005-0000-0000-0000EF000000}"/>
    <cellStyle name="_2004년 4월발생분 전표수거비용_IKL_2Q.2005(수정)_평택역사_퇴직급여충당금_평택역사 임금" xfId="241" xr:uid="{00000000-0005-0000-0000-0000F0000000}"/>
    <cellStyle name="_2004년 4월발생분 전표수거비용_IKL_2Q.2005(수정)_평택역사_퇴직급여충당금_평택역사_퇴직급여충당금" xfId="242" xr:uid="{00000000-0005-0000-0000-0000F1000000}"/>
    <cellStyle name="_2004년 4월발생분 전표수거비용_IKL_2Q.2005(수정)_평택역사_퇴직급여충당금_평택역사_퇴직급여충당금_최종본" xfId="243" xr:uid="{00000000-0005-0000-0000-0000F2000000}"/>
    <cellStyle name="_2004년 4월발생분 전표수거비용_IKL_2Q.2005(수정)_평택역사_퇴직급여충당금_평택역사_퇴직급여충당금_최종수정본" xfId="244" xr:uid="{00000000-0005-0000-0000-0000F3000000}"/>
    <cellStyle name="_2004년 4월발생분 전표수거비용_IKL_2Q.2005(수정)_평택역사재무제표_06.6" xfId="245" xr:uid="{00000000-0005-0000-0000-0000F4000000}"/>
    <cellStyle name="_2004년 4월발생분 전표수거비용_IKL_2Q.2005(수정)_평택역사재무제표_06.6_평택 감가상각명세서(최종)" xfId="246" xr:uid="{00000000-0005-0000-0000-0000F5000000}"/>
    <cellStyle name="_2004년 4월발생분 전표수거비용_IKL_2Q.2005(수정)_평택역사재무제표_06.6_평택역사_퇴직급여충당금" xfId="247" xr:uid="{00000000-0005-0000-0000-0000F6000000}"/>
    <cellStyle name="_2004년 4월발생분 전표수거비용_IKL_2Q.2005(수정)_평택역사재무제표_06.6_평택역사_퇴직급여충당금_평택역사 임금" xfId="248" xr:uid="{00000000-0005-0000-0000-0000F7000000}"/>
    <cellStyle name="_2004년 4월발생분 전표수거비용_IKL_2Q.2005(수정)_평택역사재무제표_06.6_평택역사_퇴직급여충당금_평택역사_퇴직급여충당금" xfId="249" xr:uid="{00000000-0005-0000-0000-0000F8000000}"/>
    <cellStyle name="_2004년 4월발생분 전표수거비용_IKL_2Q.2005(수정)_평택역사재무제표_06.6_평택역사_퇴직급여충당금_평택역사_퇴직급여충당금_최종본" xfId="250" xr:uid="{00000000-0005-0000-0000-0000F9000000}"/>
    <cellStyle name="_2004년 4월발생분 전표수거비용_IKL_2Q.2005(수정)_평택역사재무제표_06.6_평택역사_퇴직급여충당금_평택역사_퇴직급여충당금_최종수정본" xfId="251" xr:uid="{00000000-0005-0000-0000-0000FA000000}"/>
    <cellStyle name="_2004년 4월발생분 전표수거비용_수원애경역사재무제표_05" xfId="252" xr:uid="{00000000-0005-0000-0000-0000FB000000}"/>
    <cellStyle name="_2004년 4월발생분 전표수거비용_수원애경역사재무제표_05_평택 감가상각명세서(최종)" xfId="253" xr:uid="{00000000-0005-0000-0000-0000FC000000}"/>
    <cellStyle name="_2004년 4월발생분 전표수거비용_수원애경역사재무제표_05_평택역사_퇴직급여충당금" xfId="254" xr:uid="{00000000-0005-0000-0000-0000FD000000}"/>
    <cellStyle name="_2004년 4월발생분 전표수거비용_수원애경역사재무제표_05_평택역사_퇴직급여충당금_평택역사 임금" xfId="255" xr:uid="{00000000-0005-0000-0000-0000FE000000}"/>
    <cellStyle name="_2004년 4월발생분 전표수거비용_수원애경역사재무제표_05_평택역사_퇴직급여충당금_평택역사_퇴직급여충당금" xfId="256" xr:uid="{00000000-0005-0000-0000-0000FF000000}"/>
    <cellStyle name="_2004년 4월발생분 전표수거비용_수원애경역사재무제표_05_평택역사_퇴직급여충당금_평택역사_퇴직급여충당금_최종본" xfId="257" xr:uid="{00000000-0005-0000-0000-000000010000}"/>
    <cellStyle name="_2004년 4월발생분 전표수거비용_수원애경역사재무제표_05_평택역사_퇴직급여충당금_평택역사_퇴직급여충당금_최종수정본" xfId="258" xr:uid="{00000000-0005-0000-0000-000001010000}"/>
    <cellStyle name="_2004년 4월발생분 전표수거비용_평택 감가상각명세서(최종)" xfId="259" xr:uid="{00000000-0005-0000-0000-000002010000}"/>
    <cellStyle name="_2004년 4월발생분 전표수거비용_평택역사_퇴직급여충당금" xfId="260" xr:uid="{00000000-0005-0000-0000-000003010000}"/>
    <cellStyle name="_2004년 4월발생분 전표수거비용_평택역사_퇴직급여충당금_평택역사 임금" xfId="261" xr:uid="{00000000-0005-0000-0000-000004010000}"/>
    <cellStyle name="_2004년 4월발생분 전표수거비용_평택역사_퇴직급여충당금_평택역사_퇴직급여충당금" xfId="262" xr:uid="{00000000-0005-0000-0000-000005010000}"/>
    <cellStyle name="_2004년 4월발생분 전표수거비용_평택역사_퇴직급여충당금_평택역사_퇴직급여충당금_최종본" xfId="263" xr:uid="{00000000-0005-0000-0000-000006010000}"/>
    <cellStyle name="_2004년 4월발생분 전표수거비용_평택역사_퇴직급여충당금_평택역사_퇴직급여충당금_최종수정본" xfId="264" xr:uid="{00000000-0005-0000-0000-000007010000}"/>
    <cellStyle name="_2004년 4월발생분 전표수거비용_평택역사재무제표_06.6" xfId="265" xr:uid="{00000000-0005-0000-0000-000008010000}"/>
    <cellStyle name="_2004년 4월발생분 전표수거비용_평택역사재무제표_06.6_평택 감가상각명세서(최종)" xfId="266" xr:uid="{00000000-0005-0000-0000-000009010000}"/>
    <cellStyle name="_2004년 4월발생분 전표수거비용_평택역사재무제표_06.6_평택역사_퇴직급여충당금" xfId="267" xr:uid="{00000000-0005-0000-0000-00000A010000}"/>
    <cellStyle name="_2004년 4월발생분 전표수거비용_평택역사재무제표_06.6_평택역사_퇴직급여충당금_평택역사 임금" xfId="268" xr:uid="{00000000-0005-0000-0000-00000B010000}"/>
    <cellStyle name="_2004년 4월발생분 전표수거비용_평택역사재무제표_06.6_평택역사_퇴직급여충당금_평택역사_퇴직급여충당금" xfId="269" xr:uid="{00000000-0005-0000-0000-00000C010000}"/>
    <cellStyle name="_2004년 4월발생분 전표수거비용_평택역사재무제표_06.6_평택역사_퇴직급여충당금_평택역사_퇴직급여충당금_최종본" xfId="270" xr:uid="{00000000-0005-0000-0000-00000D010000}"/>
    <cellStyle name="_2004년 4월발생분 전표수거비용_평택역사재무제표_06.6_평택역사_퇴직급여충당금_평택역사_퇴직급여충당금_최종수정본" xfId="271" xr:uid="{00000000-0005-0000-0000-00000E010000}"/>
    <cellStyle name="_2004년 4월발생분 전표수거비용_한독모터스(2004.12.31)" xfId="272" xr:uid="{00000000-0005-0000-0000-00000F010000}"/>
    <cellStyle name="_2004년 4월발생분 전표수거비용_한독모터스(2004.12.31)_IKL_2Q.2005(수정)" xfId="273" xr:uid="{00000000-0005-0000-0000-000010010000}"/>
    <cellStyle name="_2004년 4월발생분 전표수거비용_한독모터스(2004.12.31)_IKL_2Q.2005(수정)_수원애경역사재무제표_05" xfId="274" xr:uid="{00000000-0005-0000-0000-000011010000}"/>
    <cellStyle name="_2004년 4월발생분 전표수거비용_한독모터스(2004.12.31)_IKL_2Q.2005(수정)_수원애경역사재무제표_05_평택 감가상각명세서(최종)" xfId="275" xr:uid="{00000000-0005-0000-0000-000012010000}"/>
    <cellStyle name="_2004년 4월발생분 전표수거비용_한독모터스(2004.12.31)_IKL_2Q.2005(수정)_수원애경역사재무제표_05_평택역사_퇴직급여충당금" xfId="276" xr:uid="{00000000-0005-0000-0000-000013010000}"/>
    <cellStyle name="_2004년 4월발생분 전표수거비용_한독모터스(2004.12.31)_IKL_2Q.2005(수정)_수원애경역사재무제표_05_평택역사_퇴직급여충당금_평택역사 임금" xfId="277" xr:uid="{00000000-0005-0000-0000-000014010000}"/>
    <cellStyle name="_2004년 4월발생분 전표수거비용_한독모터스(2004.12.31)_IKL_2Q.2005(수정)_수원애경역사재무제표_05_평택역사_퇴직급여충당금_평택역사_퇴직급여충당금" xfId="278" xr:uid="{00000000-0005-0000-0000-000015010000}"/>
    <cellStyle name="_2004년 4월발생분 전표수거비용_한독모터스(2004.12.31)_IKL_2Q.2005(수정)_수원애경역사재무제표_05_평택역사_퇴직급여충당금_평택역사_퇴직급여충당금_최종본" xfId="279" xr:uid="{00000000-0005-0000-0000-000016010000}"/>
    <cellStyle name="_2004년 4월발생분 전표수거비용_한독모터스(2004.12.31)_IKL_2Q.2005(수정)_수원애경역사재무제표_05_평택역사_퇴직급여충당금_평택역사_퇴직급여충당금_최종수정본" xfId="280" xr:uid="{00000000-0005-0000-0000-000017010000}"/>
    <cellStyle name="_2004년 4월발생분 전표수거비용_한독모터스(2004.12.31)_IKL_2Q.2005(수정)_평택 감가상각명세서(최종)" xfId="281" xr:uid="{00000000-0005-0000-0000-000018010000}"/>
    <cellStyle name="_2004년 4월발생분 전표수거비용_한독모터스(2004.12.31)_IKL_2Q.2005(수정)_평택역사_퇴직급여충당금" xfId="282" xr:uid="{00000000-0005-0000-0000-000019010000}"/>
    <cellStyle name="_2004년 4월발생분 전표수거비용_한독모터스(2004.12.31)_IKL_2Q.2005(수정)_평택역사_퇴직급여충당금_평택역사 임금" xfId="283" xr:uid="{00000000-0005-0000-0000-00001A010000}"/>
    <cellStyle name="_2004년 4월발생분 전표수거비용_한독모터스(2004.12.31)_IKL_2Q.2005(수정)_평택역사_퇴직급여충당금_평택역사_퇴직급여충당금" xfId="284" xr:uid="{00000000-0005-0000-0000-00001B010000}"/>
    <cellStyle name="_2004년 4월발생분 전표수거비용_한독모터스(2004.12.31)_IKL_2Q.2005(수정)_평택역사_퇴직급여충당금_평택역사_퇴직급여충당금_최종본" xfId="285" xr:uid="{00000000-0005-0000-0000-00001C010000}"/>
    <cellStyle name="_2004년 4월발생분 전표수거비용_한독모터스(2004.12.31)_IKL_2Q.2005(수정)_평택역사_퇴직급여충당금_평택역사_퇴직급여충당금_최종수정본" xfId="286" xr:uid="{00000000-0005-0000-0000-00001D010000}"/>
    <cellStyle name="_2004년 4월발생분 전표수거비용_한독모터스(2004.12.31)_IKL_2Q.2005(수정)_평택역사재무제표_06.6" xfId="287" xr:uid="{00000000-0005-0000-0000-00001E010000}"/>
    <cellStyle name="_2004년 4월발생분 전표수거비용_한독모터스(2004.12.31)_IKL_2Q.2005(수정)_평택역사재무제표_06.6_평택 감가상각명세서(최종)" xfId="288" xr:uid="{00000000-0005-0000-0000-00001F010000}"/>
    <cellStyle name="_2004년 4월발생분 전표수거비용_한독모터스(2004.12.31)_IKL_2Q.2005(수정)_평택역사재무제표_06.6_평택역사_퇴직급여충당금" xfId="289" xr:uid="{00000000-0005-0000-0000-000020010000}"/>
    <cellStyle name="_2004년 4월발생분 전표수거비용_한독모터스(2004.12.31)_IKL_2Q.2005(수정)_평택역사재무제표_06.6_평택역사_퇴직급여충당금_평택역사 임금" xfId="290" xr:uid="{00000000-0005-0000-0000-000021010000}"/>
    <cellStyle name="_2004년 4월발생분 전표수거비용_한독모터스(2004.12.31)_IKL_2Q.2005(수정)_평택역사재무제표_06.6_평택역사_퇴직급여충당금_평택역사_퇴직급여충당금" xfId="291" xr:uid="{00000000-0005-0000-0000-000022010000}"/>
    <cellStyle name="_2004년 4월발생분 전표수거비용_한독모터스(2004.12.31)_IKL_2Q.2005(수정)_평택역사재무제표_06.6_평택역사_퇴직급여충당금_평택역사_퇴직급여충당금_최종본" xfId="292" xr:uid="{00000000-0005-0000-0000-000023010000}"/>
    <cellStyle name="_2004년 4월발생분 전표수거비용_한독모터스(2004.12.31)_IKL_2Q.2005(수정)_평택역사재무제표_06.6_평택역사_퇴직급여충당금_평택역사_퇴직급여충당금_최종수정본" xfId="293" xr:uid="{00000000-0005-0000-0000-000024010000}"/>
    <cellStyle name="_2004년 4월발생분 전표수거비용_한독모터스(2004.12.31)_수원애경역사재무제표_05" xfId="294" xr:uid="{00000000-0005-0000-0000-000025010000}"/>
    <cellStyle name="_2004년 4월발생분 전표수거비용_한독모터스(2004.12.31)_수원애경역사재무제표_05_평택 감가상각명세서(최종)" xfId="295" xr:uid="{00000000-0005-0000-0000-000026010000}"/>
    <cellStyle name="_2004년 4월발생분 전표수거비용_한독모터스(2004.12.31)_수원애경역사재무제표_05_평택역사_퇴직급여충당금" xfId="296" xr:uid="{00000000-0005-0000-0000-000027010000}"/>
    <cellStyle name="_2004년 4월발생분 전표수거비용_한독모터스(2004.12.31)_수원애경역사재무제표_05_평택역사_퇴직급여충당금_평택역사 임금" xfId="297" xr:uid="{00000000-0005-0000-0000-000028010000}"/>
    <cellStyle name="_2004년 4월발생분 전표수거비용_한독모터스(2004.12.31)_수원애경역사재무제표_05_평택역사_퇴직급여충당금_평택역사_퇴직급여충당금" xfId="298" xr:uid="{00000000-0005-0000-0000-000029010000}"/>
    <cellStyle name="_2004년 4월발생분 전표수거비용_한독모터스(2004.12.31)_수원애경역사재무제표_05_평택역사_퇴직급여충당금_평택역사_퇴직급여충당금_최종본" xfId="299" xr:uid="{00000000-0005-0000-0000-00002A010000}"/>
    <cellStyle name="_2004년 4월발생분 전표수거비용_한독모터스(2004.12.31)_수원애경역사재무제표_05_평택역사_퇴직급여충당금_평택역사_퇴직급여충당금_최종수정본" xfId="300" xr:uid="{00000000-0005-0000-0000-00002B010000}"/>
    <cellStyle name="_2004년 4월발생분 전표수거비용_한독모터스(2004.12.31)_평택 감가상각명세서(최종)" xfId="301" xr:uid="{00000000-0005-0000-0000-00002C010000}"/>
    <cellStyle name="_2004년 4월발생분 전표수거비용_한독모터스(2004.12.31)_평택역사_퇴직급여충당금" xfId="302" xr:uid="{00000000-0005-0000-0000-00002D010000}"/>
    <cellStyle name="_2004년 4월발생분 전표수거비용_한독모터스(2004.12.31)_평택역사_퇴직급여충당금_평택역사 임금" xfId="303" xr:uid="{00000000-0005-0000-0000-00002E010000}"/>
    <cellStyle name="_2004년 4월발생분 전표수거비용_한독모터스(2004.12.31)_평택역사_퇴직급여충당금_평택역사_퇴직급여충당금" xfId="304" xr:uid="{00000000-0005-0000-0000-00002F010000}"/>
    <cellStyle name="_2004년 4월발생분 전표수거비용_한독모터스(2004.12.31)_평택역사_퇴직급여충당금_평택역사_퇴직급여충당금_최종본" xfId="305" xr:uid="{00000000-0005-0000-0000-000030010000}"/>
    <cellStyle name="_2004년 4월발생분 전표수거비용_한독모터스(2004.12.31)_평택역사_퇴직급여충당금_평택역사_퇴직급여충당금_최종수정본" xfId="306" xr:uid="{00000000-0005-0000-0000-000031010000}"/>
    <cellStyle name="_2004년 4월발생분 전표수거비용_한독모터스(2004.12.31)_평택역사재무제표_06.6" xfId="307" xr:uid="{00000000-0005-0000-0000-000032010000}"/>
    <cellStyle name="_2004년 4월발생분 전표수거비용_한독모터스(2004.12.31)_평택역사재무제표_06.6_평택 감가상각명세서(최종)" xfId="308" xr:uid="{00000000-0005-0000-0000-000033010000}"/>
    <cellStyle name="_2004년 4월발생분 전표수거비용_한독모터스(2004.12.31)_평택역사재무제표_06.6_평택역사_퇴직급여충당금" xfId="309" xr:uid="{00000000-0005-0000-0000-000034010000}"/>
    <cellStyle name="_2004년 4월발생분 전표수거비용_한독모터스(2004.12.31)_평택역사재무제표_06.6_평택역사_퇴직급여충당금_평택역사 임금" xfId="310" xr:uid="{00000000-0005-0000-0000-000035010000}"/>
    <cellStyle name="_2004년 4월발생분 전표수거비용_한독모터스(2004.12.31)_평택역사재무제표_06.6_평택역사_퇴직급여충당금_평택역사_퇴직급여충당금" xfId="311" xr:uid="{00000000-0005-0000-0000-000036010000}"/>
    <cellStyle name="_2004년 4월발생분 전표수거비용_한독모터스(2004.12.31)_평택역사재무제표_06.6_평택역사_퇴직급여충당금_평택역사_퇴직급여충당금_최종본" xfId="312" xr:uid="{00000000-0005-0000-0000-000037010000}"/>
    <cellStyle name="_2004년 4월발생분 전표수거비용_한독모터스(2004.12.31)_평택역사재무제표_06.6_평택역사_퇴직급여충당금_평택역사_퇴직급여충당금_최종수정본" xfId="313" xr:uid="{00000000-0005-0000-0000-000038010000}"/>
    <cellStyle name="_2004년 4월발생분 전표수거비용_한신평정(2005.3.31)" xfId="314" xr:uid="{00000000-0005-0000-0000-000039010000}"/>
    <cellStyle name="_2004년 4월발생분 전표수거비용_한신평정(2005.3.31)_IKL_2Q.2005(수정)" xfId="315" xr:uid="{00000000-0005-0000-0000-00003A010000}"/>
    <cellStyle name="_2004년 4월발생분 전표수거비용_한신평정(2005.3.31)_IKL_2Q.2005(수정)_수원애경역사재무제표_05" xfId="316" xr:uid="{00000000-0005-0000-0000-00003B010000}"/>
    <cellStyle name="_2004년 4월발생분 전표수거비용_한신평정(2005.3.31)_IKL_2Q.2005(수정)_수원애경역사재무제표_05_평택 감가상각명세서(최종)" xfId="317" xr:uid="{00000000-0005-0000-0000-00003C010000}"/>
    <cellStyle name="_2004년 4월발생분 전표수거비용_한신평정(2005.3.31)_IKL_2Q.2005(수정)_수원애경역사재무제표_05_평택역사_퇴직급여충당금" xfId="318" xr:uid="{00000000-0005-0000-0000-00003D010000}"/>
    <cellStyle name="_2004년 4월발생분 전표수거비용_한신평정(2005.3.31)_IKL_2Q.2005(수정)_수원애경역사재무제표_05_평택역사_퇴직급여충당금_평택역사 임금" xfId="319" xr:uid="{00000000-0005-0000-0000-00003E010000}"/>
    <cellStyle name="_2004년 4월발생분 전표수거비용_한신평정(2005.3.31)_IKL_2Q.2005(수정)_수원애경역사재무제표_05_평택역사_퇴직급여충당금_평택역사_퇴직급여충당금" xfId="320" xr:uid="{00000000-0005-0000-0000-00003F010000}"/>
    <cellStyle name="_2004년 4월발생분 전표수거비용_한신평정(2005.3.31)_IKL_2Q.2005(수정)_수원애경역사재무제표_05_평택역사_퇴직급여충당금_평택역사_퇴직급여충당금_최종본" xfId="321" xr:uid="{00000000-0005-0000-0000-000040010000}"/>
    <cellStyle name="_2004년 4월발생분 전표수거비용_한신평정(2005.3.31)_IKL_2Q.2005(수정)_수원애경역사재무제표_05_평택역사_퇴직급여충당금_평택역사_퇴직급여충당금_최종수정본" xfId="322" xr:uid="{00000000-0005-0000-0000-000041010000}"/>
    <cellStyle name="_2004년 4월발생분 전표수거비용_한신평정(2005.3.31)_IKL_2Q.2005(수정)_평택 감가상각명세서(최종)" xfId="323" xr:uid="{00000000-0005-0000-0000-000042010000}"/>
    <cellStyle name="_2004년 4월발생분 전표수거비용_한신평정(2005.3.31)_IKL_2Q.2005(수정)_평택역사_퇴직급여충당금" xfId="324" xr:uid="{00000000-0005-0000-0000-000043010000}"/>
    <cellStyle name="_2004년 4월발생분 전표수거비용_한신평정(2005.3.31)_IKL_2Q.2005(수정)_평택역사_퇴직급여충당금_평택역사 임금" xfId="325" xr:uid="{00000000-0005-0000-0000-000044010000}"/>
    <cellStyle name="_2004년 4월발생분 전표수거비용_한신평정(2005.3.31)_IKL_2Q.2005(수정)_평택역사_퇴직급여충당금_평택역사_퇴직급여충당금" xfId="326" xr:uid="{00000000-0005-0000-0000-000045010000}"/>
    <cellStyle name="_2004년 4월발생분 전표수거비용_한신평정(2005.3.31)_IKL_2Q.2005(수정)_평택역사_퇴직급여충당금_평택역사_퇴직급여충당금_최종본" xfId="327" xr:uid="{00000000-0005-0000-0000-000046010000}"/>
    <cellStyle name="_2004년 4월발생분 전표수거비용_한신평정(2005.3.31)_IKL_2Q.2005(수정)_평택역사_퇴직급여충당금_평택역사_퇴직급여충당금_최종수정본" xfId="328" xr:uid="{00000000-0005-0000-0000-000047010000}"/>
    <cellStyle name="_2004년 4월발생분 전표수거비용_한신평정(2005.3.31)_IKL_2Q.2005(수정)_평택역사재무제표_06.6" xfId="329" xr:uid="{00000000-0005-0000-0000-000048010000}"/>
    <cellStyle name="_2004년 4월발생분 전표수거비용_한신평정(2005.3.31)_IKL_2Q.2005(수정)_평택역사재무제표_06.6_평택 감가상각명세서(최종)" xfId="330" xr:uid="{00000000-0005-0000-0000-000049010000}"/>
    <cellStyle name="_2004년 4월발생분 전표수거비용_한신평정(2005.3.31)_IKL_2Q.2005(수정)_평택역사재무제표_06.6_평택역사_퇴직급여충당금" xfId="331" xr:uid="{00000000-0005-0000-0000-00004A010000}"/>
    <cellStyle name="_2004년 4월발생분 전표수거비용_한신평정(2005.3.31)_IKL_2Q.2005(수정)_평택역사재무제표_06.6_평택역사_퇴직급여충당금_평택역사 임금" xfId="332" xr:uid="{00000000-0005-0000-0000-00004B010000}"/>
    <cellStyle name="_2004년 4월발생분 전표수거비용_한신평정(2005.3.31)_IKL_2Q.2005(수정)_평택역사재무제표_06.6_평택역사_퇴직급여충당금_평택역사_퇴직급여충당금" xfId="333" xr:uid="{00000000-0005-0000-0000-00004C010000}"/>
    <cellStyle name="_2004년 4월발생분 전표수거비용_한신평정(2005.3.31)_IKL_2Q.2005(수정)_평택역사재무제표_06.6_평택역사_퇴직급여충당금_평택역사_퇴직급여충당금_최종본" xfId="334" xr:uid="{00000000-0005-0000-0000-00004D010000}"/>
    <cellStyle name="_2004년 4월발생분 전표수거비용_한신평정(2005.3.31)_IKL_2Q.2005(수정)_평택역사재무제표_06.6_평택역사_퇴직급여충당금_평택역사_퇴직급여충당금_최종수정본" xfId="335" xr:uid="{00000000-0005-0000-0000-00004E010000}"/>
    <cellStyle name="_2004년 4월발생분 전표수거비용_한신평정(2005.3.31)_수원애경역사재무제표_05" xfId="336" xr:uid="{00000000-0005-0000-0000-00004F010000}"/>
    <cellStyle name="_2004년 4월발생분 전표수거비용_한신평정(2005.3.31)_수원애경역사재무제표_05_평택 감가상각명세서(최종)" xfId="337" xr:uid="{00000000-0005-0000-0000-000050010000}"/>
    <cellStyle name="_2004년 4월발생분 전표수거비용_한신평정(2005.3.31)_수원애경역사재무제표_05_평택역사_퇴직급여충당금" xfId="338" xr:uid="{00000000-0005-0000-0000-000051010000}"/>
    <cellStyle name="_2004년 4월발생분 전표수거비용_한신평정(2005.3.31)_수원애경역사재무제표_05_평택역사_퇴직급여충당금_평택역사 임금" xfId="339" xr:uid="{00000000-0005-0000-0000-000052010000}"/>
    <cellStyle name="_2004년 4월발생분 전표수거비용_한신평정(2005.3.31)_수원애경역사재무제표_05_평택역사_퇴직급여충당금_평택역사_퇴직급여충당금" xfId="340" xr:uid="{00000000-0005-0000-0000-000053010000}"/>
    <cellStyle name="_2004년 4월발생분 전표수거비용_한신평정(2005.3.31)_수원애경역사재무제표_05_평택역사_퇴직급여충당금_평택역사_퇴직급여충당금_최종본" xfId="341" xr:uid="{00000000-0005-0000-0000-000054010000}"/>
    <cellStyle name="_2004년 4월발생분 전표수거비용_한신평정(2005.3.31)_수원애경역사재무제표_05_평택역사_퇴직급여충당금_평택역사_퇴직급여충당금_최종수정본" xfId="342" xr:uid="{00000000-0005-0000-0000-000055010000}"/>
    <cellStyle name="_2004년 4월발생분 전표수거비용_한신평정(2005.3.31)_평택 감가상각명세서(최종)" xfId="343" xr:uid="{00000000-0005-0000-0000-000056010000}"/>
    <cellStyle name="_2004년 4월발생분 전표수거비용_한신평정(2005.3.31)_평택역사_퇴직급여충당금" xfId="344" xr:uid="{00000000-0005-0000-0000-000057010000}"/>
    <cellStyle name="_2004년 4월발생분 전표수거비용_한신평정(2005.3.31)_평택역사_퇴직급여충당금_평택역사 임금" xfId="345" xr:uid="{00000000-0005-0000-0000-000058010000}"/>
    <cellStyle name="_2004년 4월발생분 전표수거비용_한신평정(2005.3.31)_평택역사_퇴직급여충당금_평택역사_퇴직급여충당금" xfId="346" xr:uid="{00000000-0005-0000-0000-000059010000}"/>
    <cellStyle name="_2004년 4월발생분 전표수거비용_한신평정(2005.3.31)_평택역사_퇴직급여충당금_평택역사_퇴직급여충당금_최종본" xfId="347" xr:uid="{00000000-0005-0000-0000-00005A010000}"/>
    <cellStyle name="_2004년 4월발생분 전표수거비용_한신평정(2005.3.31)_평택역사_퇴직급여충당금_평택역사_퇴직급여충당금_최종수정본" xfId="348" xr:uid="{00000000-0005-0000-0000-00005B010000}"/>
    <cellStyle name="_2004년 4월발생분 전표수거비용_한신평정(2005.3.31)_평택역사재무제표_06.6" xfId="349" xr:uid="{00000000-0005-0000-0000-00005C010000}"/>
    <cellStyle name="_2004년 4월발생분 전표수거비용_한신평정(2005.3.31)_평택역사재무제표_06.6_평택 감가상각명세서(최종)" xfId="350" xr:uid="{00000000-0005-0000-0000-00005D010000}"/>
    <cellStyle name="_2004년 4월발생분 전표수거비용_한신평정(2005.3.31)_평택역사재무제표_06.6_평택역사_퇴직급여충당금" xfId="351" xr:uid="{00000000-0005-0000-0000-00005E010000}"/>
    <cellStyle name="_2004년 4월발생분 전표수거비용_한신평정(2005.3.31)_평택역사재무제표_06.6_평택역사_퇴직급여충당금_평택역사 임금" xfId="352" xr:uid="{00000000-0005-0000-0000-00005F010000}"/>
    <cellStyle name="_2004년 4월발생분 전표수거비용_한신평정(2005.3.31)_평택역사재무제표_06.6_평택역사_퇴직급여충당금_평택역사_퇴직급여충당금" xfId="353" xr:uid="{00000000-0005-0000-0000-000060010000}"/>
    <cellStyle name="_2004년 4월발생분 전표수거비용_한신평정(2005.3.31)_평택역사재무제표_06.6_평택역사_퇴직급여충당금_평택역사_퇴직급여충당금_최종본" xfId="354" xr:uid="{00000000-0005-0000-0000-000061010000}"/>
    <cellStyle name="_2004년 4월발생분 전표수거비용_한신평정(2005.3.31)_평택역사재무제표_06.6_평택역사_퇴직급여충당금_평택역사_퇴직급여충당금_최종수정본" xfId="355" xr:uid="{00000000-0005-0000-0000-000062010000}"/>
    <cellStyle name="_2004년 4월발생분 전표수거비용_홈캐스트(2005.3.31-수정)" xfId="356" xr:uid="{00000000-0005-0000-0000-000063010000}"/>
    <cellStyle name="_2004년 4월발생분 전표수거비용_홈캐스트(2005.3.31-수정)_IKL_2Q.2005(수정)" xfId="357" xr:uid="{00000000-0005-0000-0000-000064010000}"/>
    <cellStyle name="_2004년 4월발생분 전표수거비용_홈캐스트(2005.3.31-수정)_IKL_2Q.2005(수정)_수원애경역사재무제표_05" xfId="358" xr:uid="{00000000-0005-0000-0000-000065010000}"/>
    <cellStyle name="_2004년 4월발생분 전표수거비용_홈캐스트(2005.3.31-수정)_IKL_2Q.2005(수정)_수원애경역사재무제표_05_평택 감가상각명세서(최종)" xfId="359" xr:uid="{00000000-0005-0000-0000-000066010000}"/>
    <cellStyle name="_2004년 4월발생분 전표수거비용_홈캐스트(2005.3.31-수정)_IKL_2Q.2005(수정)_수원애경역사재무제표_05_평택역사_퇴직급여충당금" xfId="360" xr:uid="{00000000-0005-0000-0000-000067010000}"/>
    <cellStyle name="_2004년 4월발생분 전표수거비용_홈캐스트(2005.3.31-수정)_IKL_2Q.2005(수정)_수원애경역사재무제표_05_평택역사_퇴직급여충당금_평택역사 임금" xfId="361" xr:uid="{00000000-0005-0000-0000-000068010000}"/>
    <cellStyle name="_2004년 4월발생분 전표수거비용_홈캐스트(2005.3.31-수정)_IKL_2Q.2005(수정)_수원애경역사재무제표_05_평택역사_퇴직급여충당금_평택역사_퇴직급여충당금" xfId="362" xr:uid="{00000000-0005-0000-0000-000069010000}"/>
    <cellStyle name="_2004년 4월발생분 전표수거비용_홈캐스트(2005.3.31-수정)_IKL_2Q.2005(수정)_수원애경역사재무제표_05_평택역사_퇴직급여충당금_평택역사_퇴직급여충당금_최종본" xfId="363" xr:uid="{00000000-0005-0000-0000-00006A010000}"/>
    <cellStyle name="_2004년 4월발생분 전표수거비용_홈캐스트(2005.3.31-수정)_IKL_2Q.2005(수정)_수원애경역사재무제표_05_평택역사_퇴직급여충당금_평택역사_퇴직급여충당금_최종수정본" xfId="364" xr:uid="{00000000-0005-0000-0000-00006B010000}"/>
    <cellStyle name="_2004년 4월발생분 전표수거비용_홈캐스트(2005.3.31-수정)_IKL_2Q.2005(수정)_평택 감가상각명세서(최종)" xfId="365" xr:uid="{00000000-0005-0000-0000-00006C010000}"/>
    <cellStyle name="_2004년 4월발생분 전표수거비용_홈캐스트(2005.3.31-수정)_IKL_2Q.2005(수정)_평택역사_퇴직급여충당금" xfId="366" xr:uid="{00000000-0005-0000-0000-00006D010000}"/>
    <cellStyle name="_2004년 4월발생분 전표수거비용_홈캐스트(2005.3.31-수정)_IKL_2Q.2005(수정)_평택역사_퇴직급여충당금_평택역사 임금" xfId="367" xr:uid="{00000000-0005-0000-0000-00006E010000}"/>
    <cellStyle name="_2004년 4월발생분 전표수거비용_홈캐스트(2005.3.31-수정)_IKL_2Q.2005(수정)_평택역사_퇴직급여충당금_평택역사_퇴직급여충당금" xfId="368" xr:uid="{00000000-0005-0000-0000-00006F010000}"/>
    <cellStyle name="_2004년 4월발생분 전표수거비용_홈캐스트(2005.3.31-수정)_IKL_2Q.2005(수정)_평택역사_퇴직급여충당금_평택역사_퇴직급여충당금_최종본" xfId="369" xr:uid="{00000000-0005-0000-0000-000070010000}"/>
    <cellStyle name="_2004년 4월발생분 전표수거비용_홈캐스트(2005.3.31-수정)_IKL_2Q.2005(수정)_평택역사_퇴직급여충당금_평택역사_퇴직급여충당금_최종수정본" xfId="370" xr:uid="{00000000-0005-0000-0000-000071010000}"/>
    <cellStyle name="_2004년 4월발생분 전표수거비용_홈캐스트(2005.3.31-수정)_IKL_2Q.2005(수정)_평택역사재무제표_06.6" xfId="371" xr:uid="{00000000-0005-0000-0000-000072010000}"/>
    <cellStyle name="_2004년 4월발생분 전표수거비용_홈캐스트(2005.3.31-수정)_IKL_2Q.2005(수정)_평택역사재무제표_06.6_평택 감가상각명세서(최종)" xfId="372" xr:uid="{00000000-0005-0000-0000-000073010000}"/>
    <cellStyle name="_2004년 4월발생분 전표수거비용_홈캐스트(2005.3.31-수정)_IKL_2Q.2005(수정)_평택역사재무제표_06.6_평택역사_퇴직급여충당금" xfId="373" xr:uid="{00000000-0005-0000-0000-000074010000}"/>
    <cellStyle name="_2004년 4월발생분 전표수거비용_홈캐스트(2005.3.31-수정)_IKL_2Q.2005(수정)_평택역사재무제표_06.6_평택역사_퇴직급여충당금_평택역사 임금" xfId="374" xr:uid="{00000000-0005-0000-0000-000075010000}"/>
    <cellStyle name="_2004년 4월발생분 전표수거비용_홈캐스트(2005.3.31-수정)_IKL_2Q.2005(수정)_평택역사재무제표_06.6_평택역사_퇴직급여충당금_평택역사_퇴직급여충당금" xfId="375" xr:uid="{00000000-0005-0000-0000-000076010000}"/>
    <cellStyle name="_2004년 4월발생분 전표수거비용_홈캐스트(2005.3.31-수정)_IKL_2Q.2005(수정)_평택역사재무제표_06.6_평택역사_퇴직급여충당금_평택역사_퇴직급여충당금_최종본" xfId="376" xr:uid="{00000000-0005-0000-0000-000077010000}"/>
    <cellStyle name="_2004년 4월발생분 전표수거비용_홈캐스트(2005.3.31-수정)_IKL_2Q.2005(수정)_평택역사재무제표_06.6_평택역사_퇴직급여충당금_평택역사_퇴직급여충당금_최종수정본" xfId="377" xr:uid="{00000000-0005-0000-0000-000078010000}"/>
    <cellStyle name="_2004년 4월발생분 전표수거비용_홈캐스트(2005.3.31-수정)_수원애경역사재무제표_05" xfId="378" xr:uid="{00000000-0005-0000-0000-000079010000}"/>
    <cellStyle name="_2004년 4월발생분 전표수거비용_홈캐스트(2005.3.31-수정)_수원애경역사재무제표_05_평택 감가상각명세서(최종)" xfId="379" xr:uid="{00000000-0005-0000-0000-00007A010000}"/>
    <cellStyle name="_2004년 4월발생분 전표수거비용_홈캐스트(2005.3.31-수정)_수원애경역사재무제표_05_평택역사_퇴직급여충당금" xfId="380" xr:uid="{00000000-0005-0000-0000-00007B010000}"/>
    <cellStyle name="_2004년 4월발생분 전표수거비용_홈캐스트(2005.3.31-수정)_수원애경역사재무제표_05_평택역사_퇴직급여충당금_평택역사 임금" xfId="381" xr:uid="{00000000-0005-0000-0000-00007C010000}"/>
    <cellStyle name="_2004년 4월발생분 전표수거비용_홈캐스트(2005.3.31-수정)_수원애경역사재무제표_05_평택역사_퇴직급여충당금_평택역사_퇴직급여충당금" xfId="382" xr:uid="{00000000-0005-0000-0000-00007D010000}"/>
    <cellStyle name="_2004년 4월발생분 전표수거비용_홈캐스트(2005.3.31-수정)_수원애경역사재무제표_05_평택역사_퇴직급여충당금_평택역사_퇴직급여충당금_최종본" xfId="383" xr:uid="{00000000-0005-0000-0000-00007E010000}"/>
    <cellStyle name="_2004년 4월발생분 전표수거비용_홈캐스트(2005.3.31-수정)_수원애경역사재무제표_05_평택역사_퇴직급여충당금_평택역사_퇴직급여충당금_최종수정본" xfId="384" xr:uid="{00000000-0005-0000-0000-00007F010000}"/>
    <cellStyle name="_2004년 4월발생분 전표수거비용_홈캐스트(2005.3.31-수정)_평택 감가상각명세서(최종)" xfId="385" xr:uid="{00000000-0005-0000-0000-000080010000}"/>
    <cellStyle name="_2004년 4월발생분 전표수거비용_홈캐스트(2005.3.31-수정)_평택역사_퇴직급여충당금" xfId="386" xr:uid="{00000000-0005-0000-0000-000081010000}"/>
    <cellStyle name="_2004년 4월발생분 전표수거비용_홈캐스트(2005.3.31-수정)_평택역사_퇴직급여충당금_평택역사 임금" xfId="387" xr:uid="{00000000-0005-0000-0000-000082010000}"/>
    <cellStyle name="_2004년 4월발생분 전표수거비용_홈캐스트(2005.3.31-수정)_평택역사_퇴직급여충당금_평택역사_퇴직급여충당금" xfId="388" xr:uid="{00000000-0005-0000-0000-000083010000}"/>
    <cellStyle name="_2004년 4월발생분 전표수거비용_홈캐스트(2005.3.31-수정)_평택역사_퇴직급여충당금_평택역사_퇴직급여충당금_최종본" xfId="389" xr:uid="{00000000-0005-0000-0000-000084010000}"/>
    <cellStyle name="_2004년 4월발생분 전표수거비용_홈캐스트(2005.3.31-수정)_평택역사_퇴직급여충당금_평택역사_퇴직급여충당금_최종수정본" xfId="390" xr:uid="{00000000-0005-0000-0000-000085010000}"/>
    <cellStyle name="_2004년 4월발생분 전표수거비용_홈캐스트(2005.3.31-수정)_평택역사재무제표_06.6" xfId="391" xr:uid="{00000000-0005-0000-0000-000086010000}"/>
    <cellStyle name="_2004년 4월발생분 전표수거비용_홈캐스트(2005.3.31-수정)_평택역사재무제표_06.6_평택 감가상각명세서(최종)" xfId="392" xr:uid="{00000000-0005-0000-0000-000087010000}"/>
    <cellStyle name="_2004년 4월발생분 전표수거비용_홈캐스트(2005.3.31-수정)_평택역사재무제표_06.6_평택역사_퇴직급여충당금" xfId="393" xr:uid="{00000000-0005-0000-0000-000088010000}"/>
    <cellStyle name="_2004년 4월발생분 전표수거비용_홈캐스트(2005.3.31-수정)_평택역사재무제표_06.6_평택역사_퇴직급여충당금_평택역사 임금" xfId="394" xr:uid="{00000000-0005-0000-0000-000089010000}"/>
    <cellStyle name="_2004년 4월발생분 전표수거비용_홈캐스트(2005.3.31-수정)_평택역사재무제표_06.6_평택역사_퇴직급여충당금_평택역사_퇴직급여충당금" xfId="395" xr:uid="{00000000-0005-0000-0000-00008A010000}"/>
    <cellStyle name="_2004년 4월발생분 전표수거비용_홈캐스트(2005.3.31-수정)_평택역사재무제표_06.6_평택역사_퇴직급여충당금_평택역사_퇴직급여충당금_최종본" xfId="396" xr:uid="{00000000-0005-0000-0000-00008B010000}"/>
    <cellStyle name="_2004년 4월발생분 전표수거비용_홈캐스트(2005.3.31-수정)_평택역사재무제표_06.6_평택역사_퇴직급여충당금_평택역사_퇴직급여충당금_최종수정본" xfId="397" xr:uid="{00000000-0005-0000-0000-00008C010000}"/>
    <cellStyle name="_2006계정별원장-영업수익" xfId="398" xr:uid="{00000000-0005-0000-0000-00008D010000}"/>
    <cellStyle name="-_2기분석조서" xfId="399" xr:uid="{00000000-0005-0000-0000-00008E010000}"/>
    <cellStyle name="-_2기분석조서 2" xfId="400" xr:uid="{00000000-0005-0000-0000-00008F010000}"/>
    <cellStyle name="_5631 유형자산 substantive work의 워크시트" xfId="401" xr:uid="{00000000-0005-0000-0000-000090010000}"/>
    <cellStyle name="_6250 이자비용 TEST의 워크시트" xfId="402" xr:uid="{00000000-0005-0000-0000-000091010000}"/>
    <cellStyle name="_8년반기자산명세서" xfId="403" xr:uid="{00000000-0005-0000-0000-000092010000}"/>
    <cellStyle name="_'99상반기경영개선활동결과(게시용)" xfId="404" xr:uid="{00000000-0005-0000-0000-000093010000}"/>
    <cellStyle name="_Ⅱ-10. HII" xfId="405" xr:uid="{00000000-0005-0000-0000-000094010000}"/>
    <cellStyle name="_AJE LIST" xfId="406" xr:uid="{00000000-0005-0000-0000-000095010000}"/>
    <cellStyle name="_Amway leadsheet(최이현)" xfId="407" xr:uid="{00000000-0005-0000-0000-000096010000}"/>
    <cellStyle name="_Amway leadsheet(최이현)_Book1" xfId="408" xr:uid="{00000000-0005-0000-0000-000097010000}"/>
    <cellStyle name="_Amway leadsheet(최이현)_MTV leadsheet" xfId="409" xr:uid="{00000000-0005-0000-0000-000098010000}"/>
    <cellStyle name="_Amway leadsheet(최이현)_대림외화환산손익재계산" xfId="410" xr:uid="{00000000-0005-0000-0000-000099010000}"/>
    <cellStyle name="_Amway leadsheet(최이현)_대림통상 leadsheet(J,K,L,M)" xfId="411" xr:uid="{00000000-0005-0000-0000-00009A010000}"/>
    <cellStyle name="_Amway leadsheet(최이현)_대신메탈라이징leadsheet(J,L,M)" xfId="412" xr:uid="{00000000-0005-0000-0000-00009B010000}"/>
    <cellStyle name="_Amway leadsheet(최이현)_디지온 leadsheet" xfId="413" xr:uid="{00000000-0005-0000-0000-00009C010000}"/>
    <cellStyle name="_Amway leadsheet(최이현)_온게임네트워크 leadsheet" xfId="414" xr:uid="{00000000-0005-0000-0000-00009D010000}"/>
    <cellStyle name="_Amway leadsheet(최이현)_퇴직충당금 - 2004" xfId="415" xr:uid="{00000000-0005-0000-0000-00009E010000}"/>
    <cellStyle name="_Cell설치(호남)2차,3차" xfId="416" xr:uid="{00000000-0005-0000-0000-00009F010000}"/>
    <cellStyle name="_CtuPNC" xfId="417" xr:uid="{00000000-0005-0000-0000-0000A0010000}"/>
    <cellStyle name="_E88B0-가수금명세" xfId="418" xr:uid="{00000000-0005-0000-0000-0000A1010000}"/>
    <cellStyle name="_E88B0-가수금명세 2" xfId="419" xr:uid="{00000000-0005-0000-0000-0000A2010000}"/>
    <cellStyle name="_E88B0-가수금명세_1" xfId="420" xr:uid="{00000000-0005-0000-0000-0000A3010000}"/>
    <cellStyle name="_E88B0-가수금명세_1 2" xfId="421" xr:uid="{00000000-0005-0000-0000-0000A4010000}"/>
    <cellStyle name="_Euro RSCG Next" xfId="422" xr:uid="{00000000-0005-0000-0000-0000A5010000}"/>
    <cellStyle name="_F(케미라04)" xfId="423" xr:uid="{00000000-0005-0000-0000-0000A6010000}"/>
    <cellStyle name="_FS_2Q.2005" xfId="424" xr:uid="{00000000-0005-0000-0000-0000A7010000}"/>
    <cellStyle name="_FS2007" xfId="425" xr:uid="{00000000-0005-0000-0000-0000A8010000}"/>
    <cellStyle name="_Hardclosing" xfId="426" xr:uid="{00000000-0005-0000-0000-0000A9010000}"/>
    <cellStyle name="_Ipsen(05_1th)" xfId="427" xr:uid="{00000000-0005-0000-0000-0000AA010000}"/>
    <cellStyle name="_ipsen(05-1nd)" xfId="428" xr:uid="{00000000-0005-0000-0000-0000AB010000}"/>
    <cellStyle name="_ipsen(2004_4.김태훈)" xfId="429" xr:uid="{00000000-0005-0000-0000-0000AC010000}"/>
    <cellStyle name="_ipsen(2004_4遺꾧린)" xfId="430" xr:uid="{00000000-0005-0000-0000-0000AD010000}"/>
    <cellStyle name="_ipsen(2004_4遺꾧린)_김태훈-최종Ipsen(05_1th)" xfId="431" xr:uid="{00000000-0005-0000-0000-0000AE010000}"/>
    <cellStyle name="_JL(2004)" xfId="432" xr:uid="{00000000-0005-0000-0000-0000AF010000}"/>
    <cellStyle name="_k조서" xfId="433" xr:uid="{00000000-0005-0000-0000-0000B0010000}"/>
    <cellStyle name="_lead schedule" xfId="434" xr:uid="{00000000-0005-0000-0000-0000B1010000}"/>
    <cellStyle name="_lead schedule(2001년기말)" xfId="435" xr:uid="{00000000-0005-0000-0000-0000B2010000}"/>
    <cellStyle name="_lead schedule2" xfId="436" xr:uid="{00000000-0005-0000-0000-0000B3010000}"/>
    <cellStyle name="_Leadschedule" xfId="437" xr:uid="{00000000-0005-0000-0000-0000B4010000}"/>
    <cellStyle name="_Leadschedule(마로)" xfId="438" xr:uid="{00000000-0005-0000-0000-0000B5010000}"/>
    <cellStyle name="_Leadschedule(마로)_Book1" xfId="439" xr:uid="{00000000-0005-0000-0000-0000B6010000}"/>
    <cellStyle name="_Leadschedule(마로)_테코스(2001_반기검토)" xfId="440" xr:uid="{00000000-0005-0000-0000-0000B7010000}"/>
    <cellStyle name="_LS-링크테크21(2001)-이덕근" xfId="441" xr:uid="{00000000-0005-0000-0000-0000B8010000}"/>
    <cellStyle name="_LS-링크테크21(매출_매입_재고자산)" xfId="442" xr:uid="{00000000-0005-0000-0000-0000B9010000}"/>
    <cellStyle name="_LS-중부-KHO" xfId="443" xr:uid="{00000000-0005-0000-0000-0000BA010000}"/>
    <cellStyle name="_LS-중부-LDK" xfId="444" xr:uid="{00000000-0005-0000-0000-0000BB010000}"/>
    <cellStyle name="_TY01" xfId="445" xr:uid="{00000000-0005-0000-0000-0000BC010000}"/>
    <cellStyle name="_WP_중부운수(FY2007)_SYJ" xfId="446" xr:uid="{00000000-0005-0000-0000-0000BD010000}"/>
    <cellStyle name="_가수명세(1월말)" xfId="447" xr:uid="{00000000-0005-0000-0000-0000BE010000}"/>
    <cellStyle name="_가수명세(1월말) 2" xfId="448" xr:uid="{00000000-0005-0000-0000-0000BF010000}"/>
    <cellStyle name="_가수명세(1월말)_1" xfId="449" xr:uid="{00000000-0005-0000-0000-0000C0010000}"/>
    <cellStyle name="_가수명세(1월말)_1 2" xfId="450" xr:uid="{00000000-0005-0000-0000-0000C1010000}"/>
    <cellStyle name="_감사조서(링스텍2000)" xfId="451" xr:uid="{00000000-0005-0000-0000-0000C2010000}"/>
    <cellStyle name="_감사조서(링스텍2000)_Book1" xfId="452" xr:uid="{00000000-0005-0000-0000-0000C3010000}"/>
    <cellStyle name="_감사조서(링스텍2000)_테코스(2001_반기검토)" xfId="453" xr:uid="{00000000-0005-0000-0000-0000C4010000}"/>
    <cellStyle name="_감사조서(표준)" xfId="454" xr:uid="{00000000-0005-0000-0000-0000C5010000}"/>
    <cellStyle name="_감사조서(표준)_Book1" xfId="455" xr:uid="{00000000-0005-0000-0000-0000C6010000}"/>
    <cellStyle name="_감사조서(표준)_테코스(2001_반기검토)" xfId="456" xr:uid="{00000000-0005-0000-0000-0000C7010000}"/>
    <cellStyle name="_결산재무제표" xfId="457" xr:uid="{00000000-0005-0000-0000-0000C8010000}"/>
    <cellStyle name="_경남" xfId="458" xr:uid="{00000000-0005-0000-0000-0000C9010000}"/>
    <cellStyle name="_경남_김태훈-최종Ipsen(05_1th)" xfId="459" xr:uid="{00000000-0005-0000-0000-0000CA010000}"/>
    <cellStyle name="_경영성과분석20050925" xfId="460" xr:uid="{00000000-0005-0000-0000-0000CB010000}"/>
    <cellStyle name="_계정명세서" xfId="461" xr:uid="{00000000-0005-0000-0000-0000CC010000}"/>
    <cellStyle name="_계정별" xfId="462" xr:uid="{00000000-0005-0000-0000-0000CD010000}"/>
    <cellStyle name="_계정별_김태훈-최종Ipsen(05_1th)" xfId="463" xr:uid="{00000000-0005-0000-0000-0000CE010000}"/>
    <cellStyle name="_계정별조서(2004)" xfId="464" xr:uid="{00000000-0005-0000-0000-0000CF010000}"/>
    <cellStyle name="_급여및 퇴직급여" xfId="465" xr:uid="{00000000-0005-0000-0000-0000D0010000}"/>
    <cellStyle name="_급여테스트" xfId="466" xr:uid="{00000000-0005-0000-0000-0000D1010000}"/>
    <cellStyle name="_급여테스트_김태훈-최종Ipsen(05_1th)" xfId="467" xr:uid="{00000000-0005-0000-0000-0000D2010000}"/>
    <cellStyle name="_기말(2003)-PNP" xfId="468" xr:uid="{00000000-0005-0000-0000-0000D3010000}"/>
    <cellStyle name="_기말감사(대신) J.L,M" xfId="469" xr:uid="{00000000-0005-0000-0000-0000D4010000}"/>
    <cellStyle name="_기말조서 " xfId="470" xr:uid="{00000000-0005-0000-0000-0000D5010000}"/>
    <cellStyle name="_기말조서 _김태훈-최종Ipsen(05_1th)" xfId="471" xr:uid="{00000000-0005-0000-0000-0000D6010000}"/>
    <cellStyle name="_기타고정부채" xfId="472" xr:uid="{00000000-0005-0000-0000-0000D7010000}"/>
    <cellStyle name="_김태훈-최종Ipsen(05_1th)" xfId="473" xr:uid="{00000000-0005-0000-0000-0000D8010000}"/>
    <cellStyle name="_리드(C,I,J,M,Q,U)" xfId="474" xr:uid="{00000000-0005-0000-0000-0000D9010000}"/>
    <cellStyle name="_리드(C,I,J,M,Q,U)_김태훈-최종Ipsen(05_1th)" xfId="475" xr:uid="{00000000-0005-0000-0000-0000DA010000}"/>
    <cellStyle name="_리드04-3" xfId="476" xr:uid="{00000000-0005-0000-0000-0000DB010000}"/>
    <cellStyle name="_명세서031231" xfId="477" xr:uid="{00000000-0005-0000-0000-0000DC010000}"/>
    <cellStyle name="_명세서03930" xfId="478" xr:uid="{00000000-0005-0000-0000-0000DD010000}"/>
    <cellStyle name="_무선망현황중계기-99 4사분기" xfId="479" xr:uid="{00000000-0005-0000-0000-0000DE010000}"/>
    <cellStyle name="_무선망현황중계기-99 4사분기_1" xfId="480" xr:uid="{00000000-0005-0000-0000-0000DF010000}"/>
    <cellStyle name="_무선망현황중계기-99 4사분기_2" xfId="481" xr:uid="{00000000-0005-0000-0000-0000E0010000}"/>
    <cellStyle name="_무선망현황중계기-99 4사분기_3" xfId="482" xr:uid="{00000000-0005-0000-0000-0000E1010000}"/>
    <cellStyle name="_무선망현황중계기-99 4사분기_4" xfId="483" xr:uid="{00000000-0005-0000-0000-0000E2010000}"/>
    <cellStyle name="_무선망현황중계기-99 4사분기_5" xfId="484" xr:uid="{00000000-0005-0000-0000-0000E3010000}"/>
    <cellStyle name="_미쉐린(매입)" xfId="485" xr:uid="{00000000-0005-0000-0000-0000E4010000}"/>
    <cellStyle name="_미쉐린(매입)_김태훈-최종Ipsen(05_1th)" xfId="486" xr:uid="{00000000-0005-0000-0000-0000E5010000}"/>
    <cellStyle name="_반기-인디" xfId="487" xr:uid="{00000000-0005-0000-0000-0000E6010000}"/>
    <cellStyle name="_반기-인츠" xfId="488" xr:uid="{00000000-0005-0000-0000-0000E7010000}"/>
    <cellStyle name="_반기-인츠1" xfId="489" xr:uid="{00000000-0005-0000-0000-0000E8010000}"/>
    <cellStyle name="_반기-진영" xfId="490" xr:uid="{00000000-0005-0000-0000-0000E9010000}"/>
    <cellStyle name="_반기-진영2" xfId="491" xr:uid="{00000000-0005-0000-0000-0000EA010000}"/>
    <cellStyle name="_법인세비용2" xfId="492" xr:uid="{00000000-0005-0000-0000-0000EB010000}"/>
    <cellStyle name="_법인세비용2_Book1" xfId="493" xr:uid="{00000000-0005-0000-0000-0000EC010000}"/>
    <cellStyle name="_법인세비용2_테코스(2001_반기검토)" xfId="494" xr:uid="{00000000-0005-0000-0000-0000ED010000}"/>
    <cellStyle name="_별첨(계획서및실적서양식)" xfId="495" xr:uid="{00000000-0005-0000-0000-0000EE010000}"/>
    <cellStyle name="_별첨(계획서및실적서양식)_1" xfId="496" xr:uid="{00000000-0005-0000-0000-0000EF010000}"/>
    <cellStyle name="_별첨(계획서및실적서양식)_1_Book1" xfId="497" xr:uid="{00000000-0005-0000-0000-0000F0010000}"/>
    <cellStyle name="_별첨(계획서및실적서양식)_1_MTV leadsheet" xfId="498" xr:uid="{00000000-0005-0000-0000-0000F1010000}"/>
    <cellStyle name="_별첨(계획서및실적서양식)_1_계정별조서(2004)" xfId="499" xr:uid="{00000000-0005-0000-0000-0000F2010000}"/>
    <cellStyle name="_별첨(계획서및실적서양식)_1_대림외화환산손익재계산" xfId="500" xr:uid="{00000000-0005-0000-0000-0000F3010000}"/>
    <cellStyle name="_별첨(계획서및실적서양식)_1_대림통상 leadsheet(J,K,L,M)" xfId="501" xr:uid="{00000000-0005-0000-0000-0000F4010000}"/>
    <cellStyle name="_별첨(계획서및실적서양식)_1_대신메탈라이징leadsheet(J,L,M)" xfId="502" xr:uid="{00000000-0005-0000-0000-0000F5010000}"/>
    <cellStyle name="_별첨(계획서및실적서양식)_1_디지온 leadsheet" xfId="503" xr:uid="{00000000-0005-0000-0000-0000F6010000}"/>
    <cellStyle name="_별첨(계획서및실적서양식)_1_온게임네트워크 leadsheet" xfId="504" xr:uid="{00000000-0005-0000-0000-0000F7010000}"/>
    <cellStyle name="_별첨(계획서및실적서양식)_1_퇴직충당금 - 2004" xfId="505" xr:uid="{00000000-0005-0000-0000-0000F8010000}"/>
    <cellStyle name="_복사본 감가상각overall" xfId="506" xr:uid="{00000000-0005-0000-0000-0000F9010000}"/>
    <cellStyle name="_부채" xfId="507" xr:uid="{00000000-0005-0000-0000-0000FA010000}"/>
    <cellStyle name="-_분석조서" xfId="508" xr:uid="{00000000-0005-0000-0000-0000FB010000}"/>
    <cellStyle name="-_분석조서 2" xfId="509" xr:uid="{00000000-0005-0000-0000-0000FC010000}"/>
    <cellStyle name="_사진첩" xfId="510" xr:uid="{00000000-0005-0000-0000-0000FD010000}"/>
    <cellStyle name="_선급비용_1.2" xfId="511" xr:uid="{00000000-0005-0000-0000-0000FE010000}"/>
    <cellStyle name="_소코드1" xfId="512" xr:uid="{00000000-0005-0000-0000-0000FF010000}"/>
    <cellStyle name="_수원 한일타운" xfId="513" xr:uid="{00000000-0005-0000-0000-000000020000}"/>
    <cellStyle name="-_수정사항" xfId="514" xr:uid="{00000000-0005-0000-0000-000001020000}"/>
    <cellStyle name="-_수정사항 2" xfId="515" xr:uid="{00000000-0005-0000-0000-000002020000}"/>
    <cellStyle name="_수정사항(0218)" xfId="516" xr:uid="{00000000-0005-0000-0000-000003020000}"/>
    <cellStyle name="_신우" xfId="517" xr:uid="{00000000-0005-0000-0000-000004020000}"/>
    <cellStyle name="_양식" xfId="518" xr:uid="{00000000-0005-0000-0000-000005020000}"/>
    <cellStyle name="_양식_1" xfId="519" xr:uid="{00000000-0005-0000-0000-000006020000}"/>
    <cellStyle name="_양식_2" xfId="520" xr:uid="{00000000-0005-0000-0000-000007020000}"/>
    <cellStyle name="_양식_Book1" xfId="521" xr:uid="{00000000-0005-0000-0000-000008020000}"/>
    <cellStyle name="_양식_MTV leadsheet" xfId="522" xr:uid="{00000000-0005-0000-0000-000009020000}"/>
    <cellStyle name="_양식_계정별조서(2004)" xfId="523" xr:uid="{00000000-0005-0000-0000-00000A020000}"/>
    <cellStyle name="_양식_대림외화환산손익재계산" xfId="524" xr:uid="{00000000-0005-0000-0000-00000B020000}"/>
    <cellStyle name="_양식_대림통상 leadsheet(J,K,L,M)" xfId="525" xr:uid="{00000000-0005-0000-0000-00000C020000}"/>
    <cellStyle name="_양식_대신메탈라이징leadsheet(J,L,M)" xfId="526" xr:uid="{00000000-0005-0000-0000-00000D020000}"/>
    <cellStyle name="_양식_디지온 leadsheet" xfId="527" xr:uid="{00000000-0005-0000-0000-00000E020000}"/>
    <cellStyle name="_양식_온게임네트워크 leadsheet" xfId="528" xr:uid="{00000000-0005-0000-0000-00000F020000}"/>
    <cellStyle name="_양식_퇴직충당금 - 2004" xfId="529" xr:uid="{00000000-0005-0000-0000-000010020000}"/>
    <cellStyle name="_어음수표및 부외부채-거제" xfId="530" xr:uid="{00000000-0005-0000-0000-000011020000}"/>
    <cellStyle name="_위드 전성호" xfId="531" xr:uid="{00000000-0005-0000-0000-000012020000}"/>
    <cellStyle name="_위드 전성호_Book1" xfId="532" xr:uid="{00000000-0005-0000-0000-000013020000}"/>
    <cellStyle name="_위드 전성호_F(케미라04)" xfId="533" xr:uid="{00000000-0005-0000-0000-000014020000}"/>
    <cellStyle name="_위드 전성호_JL(2004)" xfId="534" xr:uid="{00000000-0005-0000-0000-000015020000}"/>
    <cellStyle name="_위드 전성호_MTV leadsheet" xfId="535" xr:uid="{00000000-0005-0000-0000-000016020000}"/>
    <cellStyle name="_위드 전성호_기말감사(대신) J.L,M" xfId="536" xr:uid="{00000000-0005-0000-0000-000017020000}"/>
    <cellStyle name="_위드 전성호_대림외화환산손익재계산" xfId="537" xr:uid="{00000000-0005-0000-0000-000018020000}"/>
    <cellStyle name="_위드 전성호_대림통상 leadsheet(J,K,L,M)" xfId="538" xr:uid="{00000000-0005-0000-0000-000019020000}"/>
    <cellStyle name="_위드 전성호_대신메탈라이징leadsheet(J,L,M)" xfId="539" xr:uid="{00000000-0005-0000-0000-00001A020000}"/>
    <cellStyle name="_위드 전성호_디지온 leadsheet" xfId="540" xr:uid="{00000000-0005-0000-0000-00001B020000}"/>
    <cellStyle name="_위드 전성호_온게임네트워크 leadsheet" xfId="541" xr:uid="{00000000-0005-0000-0000-00001C020000}"/>
    <cellStyle name="_위드 전성호_조서표준-KLMX" xfId="542" xr:uid="{00000000-0005-0000-0000-00001D020000}"/>
    <cellStyle name="_위드 전성호_퇴직충당금 - 2004" xfId="543" xr:uid="{00000000-0005-0000-0000-00001E020000}"/>
    <cellStyle name="_유니텍반기검토" xfId="544" xr:uid="{00000000-0005-0000-0000-00001F020000}"/>
    <cellStyle name="_유첨3(서식)" xfId="545" xr:uid="{00000000-0005-0000-0000-000020020000}"/>
    <cellStyle name="_유첨3(서식)_1" xfId="546" xr:uid="{00000000-0005-0000-0000-000021020000}"/>
    <cellStyle name="_유첨3(서식)_Book1" xfId="547" xr:uid="{00000000-0005-0000-0000-000022020000}"/>
    <cellStyle name="_유첨3(서식)_MTV leadsheet" xfId="548" xr:uid="{00000000-0005-0000-0000-000023020000}"/>
    <cellStyle name="_유첨3(서식)_계정별조서(2004)" xfId="549" xr:uid="{00000000-0005-0000-0000-000024020000}"/>
    <cellStyle name="_유첨3(서식)_대림외화환산손익재계산" xfId="550" xr:uid="{00000000-0005-0000-0000-000025020000}"/>
    <cellStyle name="_유첨3(서식)_대림통상 leadsheet(J,K,L,M)" xfId="551" xr:uid="{00000000-0005-0000-0000-000026020000}"/>
    <cellStyle name="_유첨3(서식)_대신메탈라이징leadsheet(J,L,M)" xfId="552" xr:uid="{00000000-0005-0000-0000-000027020000}"/>
    <cellStyle name="_유첨3(서식)_디지온 leadsheet" xfId="553" xr:uid="{00000000-0005-0000-0000-000028020000}"/>
    <cellStyle name="_유첨3(서식)_온게임네트워크 leadsheet" xfId="554" xr:uid="{00000000-0005-0000-0000-000029020000}"/>
    <cellStyle name="_유첨3(서식)_퇴직충당금 - 2004" xfId="555" xr:uid="{00000000-0005-0000-0000-00002A020000}"/>
    <cellStyle name="_유형자산" xfId="556" xr:uid="{00000000-0005-0000-0000-00002B020000}"/>
    <cellStyle name="_유형자산_김태훈-최종Ipsen(05_1th)" xfId="557" xr:uid="{00000000-0005-0000-0000-00002C020000}"/>
    <cellStyle name="_인건비" xfId="558" xr:uid="{00000000-0005-0000-0000-00002D020000}"/>
    <cellStyle name="_인네트_2001_기말" xfId="559" xr:uid="{00000000-0005-0000-0000-00002E020000}"/>
    <cellStyle name="_인츠2001-1" xfId="560" xr:uid="{00000000-0005-0000-0000-00002F020000}"/>
    <cellStyle name="_일반조서(OO주식회사 2007)(1)" xfId="561" xr:uid="{00000000-0005-0000-0000-000030020000}"/>
    <cellStyle name="_입센-분기(1)" xfId="562" xr:uid="{00000000-0005-0000-0000-000031020000}"/>
    <cellStyle name="_재무제표(한신,2003)" xfId="563" xr:uid="{00000000-0005-0000-0000-000032020000}"/>
    <cellStyle name="_조서(퇴충급여)" xfId="564" xr:uid="{00000000-0005-0000-0000-000033020000}"/>
    <cellStyle name="_조서(퇴충급여) 2" xfId="565" xr:uid="{00000000-0005-0000-0000-000034020000}"/>
    <cellStyle name="_조서표준-HIJ " xfId="566" xr:uid="{00000000-0005-0000-0000-000035020000}"/>
    <cellStyle name="_조서표준-KLMX" xfId="567" xr:uid="{00000000-0005-0000-0000-000036020000}"/>
    <cellStyle name="_조서표준-KLMX_1" xfId="568" xr:uid="{00000000-0005-0000-0000-000037020000}"/>
    <cellStyle name="_조서표준-KLMX_Book1" xfId="569" xr:uid="{00000000-0005-0000-0000-000038020000}"/>
    <cellStyle name="_조서표준-KLMX_MTV leadsheet" xfId="570" xr:uid="{00000000-0005-0000-0000-000039020000}"/>
    <cellStyle name="_조서표준-KLMX_대림외화환산손익재계산" xfId="571" xr:uid="{00000000-0005-0000-0000-00003A020000}"/>
    <cellStyle name="_조서표준-KLMX_대림통상 leadsheet(J,K,L,M)" xfId="572" xr:uid="{00000000-0005-0000-0000-00003B020000}"/>
    <cellStyle name="_조서표준-KLMX_대신메탈라이징leadsheet(J,L,M)" xfId="573" xr:uid="{00000000-0005-0000-0000-00003C020000}"/>
    <cellStyle name="_조서표준-KLMX_디지온 leadsheet" xfId="574" xr:uid="{00000000-0005-0000-0000-00003D020000}"/>
    <cellStyle name="_조서표준-KLMX_온게임네트워크 leadsheet" xfId="575" xr:uid="{00000000-0005-0000-0000-00003E020000}"/>
    <cellStyle name="_조서표준-KLMX_퇴직충당금 - 2004" xfId="576" xr:uid="{00000000-0005-0000-0000-00003F020000}"/>
    <cellStyle name="_중간" xfId="577" xr:uid="{00000000-0005-0000-0000-000040020000}"/>
    <cellStyle name="_지정과제2차심의list" xfId="578" xr:uid="{00000000-0005-0000-0000-000041020000}"/>
    <cellStyle name="_지정과제2차심의list_1" xfId="579" xr:uid="{00000000-0005-0000-0000-000042020000}"/>
    <cellStyle name="_지정과제2차심의list_2" xfId="580" xr:uid="{00000000-0005-0000-0000-000043020000}"/>
    <cellStyle name="_지정과제2차심의list_2_Book1" xfId="581" xr:uid="{00000000-0005-0000-0000-000044020000}"/>
    <cellStyle name="_지정과제2차심의list_2_MTV leadsheet" xfId="582" xr:uid="{00000000-0005-0000-0000-000045020000}"/>
    <cellStyle name="_지정과제2차심의list_2_계정별조서(2004)" xfId="583" xr:uid="{00000000-0005-0000-0000-000046020000}"/>
    <cellStyle name="_지정과제2차심의list_2_대림외화환산손익재계산" xfId="584" xr:uid="{00000000-0005-0000-0000-000047020000}"/>
    <cellStyle name="_지정과제2차심의list_2_대림통상 leadsheet(J,K,L,M)" xfId="585" xr:uid="{00000000-0005-0000-0000-000048020000}"/>
    <cellStyle name="_지정과제2차심의list_2_대신메탈라이징leadsheet(J,L,M)" xfId="586" xr:uid="{00000000-0005-0000-0000-000049020000}"/>
    <cellStyle name="_지정과제2차심의list_2_디지온 leadsheet" xfId="587" xr:uid="{00000000-0005-0000-0000-00004A020000}"/>
    <cellStyle name="_지정과제2차심의list_2_온게임네트워크 leadsheet" xfId="588" xr:uid="{00000000-0005-0000-0000-00004B020000}"/>
    <cellStyle name="_지정과제2차심의list_2_퇴직충당금 - 2004" xfId="589" xr:uid="{00000000-0005-0000-0000-00004C020000}"/>
    <cellStyle name="_지정과제2차심의결과" xfId="590" xr:uid="{00000000-0005-0000-0000-00004D020000}"/>
    <cellStyle name="_지정과제2차심의결과(금액조정후최종)" xfId="591" xr:uid="{00000000-0005-0000-0000-00004E020000}"/>
    <cellStyle name="_지정과제2차심의결과(금액조정후최종)_1" xfId="592" xr:uid="{00000000-0005-0000-0000-00004F020000}"/>
    <cellStyle name="_지정과제2차심의결과(금액조정후최종)_Book1" xfId="593" xr:uid="{00000000-0005-0000-0000-000050020000}"/>
    <cellStyle name="_지정과제2차심의결과(금액조정후최종)_MTV leadsheet" xfId="594" xr:uid="{00000000-0005-0000-0000-000051020000}"/>
    <cellStyle name="_지정과제2차심의결과(금액조정후최종)_계정별조서(2004)" xfId="595" xr:uid="{00000000-0005-0000-0000-000052020000}"/>
    <cellStyle name="_지정과제2차심의결과(금액조정후최종)_대림외화환산손익재계산" xfId="596" xr:uid="{00000000-0005-0000-0000-000053020000}"/>
    <cellStyle name="_지정과제2차심의결과(금액조정후최종)_대림통상 leadsheet(J,K,L,M)" xfId="597" xr:uid="{00000000-0005-0000-0000-000054020000}"/>
    <cellStyle name="_지정과제2차심의결과(금액조정후최종)_대신메탈라이징leadsheet(J,L,M)" xfId="598" xr:uid="{00000000-0005-0000-0000-000055020000}"/>
    <cellStyle name="_지정과제2차심의결과(금액조정후최종)_디지온 leadsheet" xfId="599" xr:uid="{00000000-0005-0000-0000-000056020000}"/>
    <cellStyle name="_지정과제2차심의결과(금액조정후최종)_온게임네트워크 leadsheet" xfId="600" xr:uid="{00000000-0005-0000-0000-000057020000}"/>
    <cellStyle name="_지정과제2차심의결과(금액조정후최종)_퇴직충당금 - 2004" xfId="601" xr:uid="{00000000-0005-0000-0000-000058020000}"/>
    <cellStyle name="_지정과제2차심의결과_1" xfId="602" xr:uid="{00000000-0005-0000-0000-000059020000}"/>
    <cellStyle name="_지정과제2차심의결과_Book1" xfId="603" xr:uid="{00000000-0005-0000-0000-00005A020000}"/>
    <cellStyle name="_지정과제2차심의결과_MTV leadsheet" xfId="604" xr:uid="{00000000-0005-0000-0000-00005B020000}"/>
    <cellStyle name="_지정과제2차심의결과_계정별조서(2004)" xfId="605" xr:uid="{00000000-0005-0000-0000-00005C020000}"/>
    <cellStyle name="_지정과제2차심의결과_대림외화환산손익재계산" xfId="606" xr:uid="{00000000-0005-0000-0000-00005D020000}"/>
    <cellStyle name="_지정과제2차심의결과_대림통상 leadsheet(J,K,L,M)" xfId="607" xr:uid="{00000000-0005-0000-0000-00005E020000}"/>
    <cellStyle name="_지정과제2차심의결과_대신메탈라이징leadsheet(J,L,M)" xfId="608" xr:uid="{00000000-0005-0000-0000-00005F020000}"/>
    <cellStyle name="_지정과제2차심의결과_디지온 leadsheet" xfId="609" xr:uid="{00000000-0005-0000-0000-000060020000}"/>
    <cellStyle name="_지정과제2차심의결과_온게임네트워크 leadsheet" xfId="610" xr:uid="{00000000-0005-0000-0000-000061020000}"/>
    <cellStyle name="_지정과제2차심의결과_퇴직충당금 - 2004" xfId="611" xr:uid="{00000000-0005-0000-0000-000062020000}"/>
    <cellStyle name="_진영.xls(신우회계법인)" xfId="612" xr:uid="{00000000-0005-0000-0000-000063020000}"/>
    <cellStyle name="_집중관리(981231)" xfId="613" xr:uid="{00000000-0005-0000-0000-000064020000}"/>
    <cellStyle name="_집중관리(981231)_1" xfId="614" xr:uid="{00000000-0005-0000-0000-000065020000}"/>
    <cellStyle name="_집중관리(981231)_1_Book1" xfId="615" xr:uid="{00000000-0005-0000-0000-000066020000}"/>
    <cellStyle name="_집중관리(981231)_1_MTV leadsheet" xfId="616" xr:uid="{00000000-0005-0000-0000-000067020000}"/>
    <cellStyle name="_집중관리(981231)_1_계정별조서(2004)" xfId="617" xr:uid="{00000000-0005-0000-0000-000068020000}"/>
    <cellStyle name="_집중관리(981231)_1_대림외화환산손익재계산" xfId="618" xr:uid="{00000000-0005-0000-0000-000069020000}"/>
    <cellStyle name="_집중관리(981231)_1_대림통상 leadsheet(J,K,L,M)" xfId="619" xr:uid="{00000000-0005-0000-0000-00006A020000}"/>
    <cellStyle name="_집중관리(981231)_1_대신메탈라이징leadsheet(J,L,M)" xfId="620" xr:uid="{00000000-0005-0000-0000-00006B020000}"/>
    <cellStyle name="_집중관리(981231)_1_디지온 leadsheet" xfId="621" xr:uid="{00000000-0005-0000-0000-00006C020000}"/>
    <cellStyle name="_집중관리(981231)_1_온게임네트워크 leadsheet" xfId="622" xr:uid="{00000000-0005-0000-0000-00006D020000}"/>
    <cellStyle name="_집중관리(981231)_1_퇴직충당금 - 2004" xfId="623" xr:uid="{00000000-0005-0000-0000-00006E020000}"/>
    <cellStyle name="_집중관리(지정과제및 양식)" xfId="624" xr:uid="{00000000-0005-0000-0000-00006F020000}"/>
    <cellStyle name="_집중관리(지정과제및 양식)_1" xfId="625" xr:uid="{00000000-0005-0000-0000-000070020000}"/>
    <cellStyle name="_집중관리(지정과제및 양식)_Book1" xfId="626" xr:uid="{00000000-0005-0000-0000-000071020000}"/>
    <cellStyle name="_집중관리(지정과제및 양식)_MTV leadsheet" xfId="627" xr:uid="{00000000-0005-0000-0000-000072020000}"/>
    <cellStyle name="_집중관리(지정과제및 양식)_계정별조서(2004)" xfId="628" xr:uid="{00000000-0005-0000-0000-000073020000}"/>
    <cellStyle name="_집중관리(지정과제및 양식)_대림외화환산손익재계산" xfId="629" xr:uid="{00000000-0005-0000-0000-000074020000}"/>
    <cellStyle name="_집중관리(지정과제및 양식)_대림통상 leadsheet(J,K,L,M)" xfId="630" xr:uid="{00000000-0005-0000-0000-000075020000}"/>
    <cellStyle name="_집중관리(지정과제및 양식)_대신메탈라이징leadsheet(J,L,M)" xfId="631" xr:uid="{00000000-0005-0000-0000-000076020000}"/>
    <cellStyle name="_집중관리(지정과제및 양식)_디지온 leadsheet" xfId="632" xr:uid="{00000000-0005-0000-0000-000077020000}"/>
    <cellStyle name="_집중관리(지정과제및 양식)_온게임네트워크 leadsheet" xfId="633" xr:uid="{00000000-0005-0000-0000-000078020000}"/>
    <cellStyle name="_집중관리(지정과제및 양식)_퇴직충당금 - 2004" xfId="634" xr:uid="{00000000-0005-0000-0000-000079020000}"/>
    <cellStyle name="_철거-AS-재배치" xfId="635" xr:uid="{00000000-0005-0000-0000-00007A020000}"/>
    <cellStyle name="_캐피탈조서기말2002" xfId="636" xr:uid="{00000000-0005-0000-0000-00007B020000}"/>
    <cellStyle name="_캐피탈조서기말2002_김태훈-최종Ipsen(05_1th)" xfId="637" xr:uid="{00000000-0005-0000-0000-00007C020000}"/>
    <cellStyle name="_테코스" xfId="638" xr:uid="{00000000-0005-0000-0000-00007D020000}"/>
    <cellStyle name="_테코스_테코스(2001_반기검토)" xfId="639" xr:uid="{00000000-0005-0000-0000-00007E020000}"/>
    <cellStyle name="_테코스2001반기조서" xfId="640" xr:uid="{00000000-0005-0000-0000-00007F020000}"/>
    <cellStyle name="_테코스2001반기조서_Book1" xfId="641" xr:uid="{00000000-0005-0000-0000-000080020000}"/>
    <cellStyle name="_테코스2001반기조서_테코스(2001_반기검토)" xfId="642" xr:uid="{00000000-0005-0000-0000-000081020000}"/>
    <cellStyle name="_하이트론" xfId="643" xr:uid="{00000000-0005-0000-0000-000082020000}"/>
    <cellStyle name="_하이트론 당좌자산" xfId="644" xr:uid="{00000000-0005-0000-0000-000083020000}"/>
    <cellStyle name="_하이트론 당좌자산_김태훈-최종Ipsen(05_1th)" xfId="645" xr:uid="{00000000-0005-0000-0000-000084020000}"/>
    <cellStyle name="{Comma [0]}" xfId="646" xr:uid="{00000000-0005-0000-0000-000085020000}"/>
    <cellStyle name="´þ·¯" xfId="647" xr:uid="{00000000-0005-0000-0000-000086020000}"/>
    <cellStyle name="’E‰Y [0.00]_laroux" xfId="648" xr:uid="{00000000-0005-0000-0000-000087020000}"/>
    <cellStyle name="’E‰Y_laroux" xfId="649" xr:uid="{00000000-0005-0000-0000-000088020000}"/>
    <cellStyle name="￡Currency [0]" xfId="650" xr:uid="{00000000-0005-0000-0000-000089020000}"/>
    <cellStyle name="￡Currency [1]" xfId="651" xr:uid="{00000000-0005-0000-0000-00008A020000}"/>
    <cellStyle name="￡Currency [2]" xfId="652" xr:uid="{00000000-0005-0000-0000-00008B020000}"/>
    <cellStyle name="￡Currency [p]" xfId="653" xr:uid="{00000000-0005-0000-0000-00008C020000}"/>
    <cellStyle name="￡Currency [p2]" xfId="654" xr:uid="{00000000-0005-0000-0000-00008D020000}"/>
    <cellStyle name="￡Pounds" xfId="655" xr:uid="{00000000-0005-0000-0000-00008E020000}"/>
    <cellStyle name="¤@?e_laroux" xfId="656" xr:uid="{00000000-0005-0000-0000-00008F020000}"/>
    <cellStyle name="¤@¯ë_laroux" xfId="657" xr:uid="{00000000-0005-0000-0000-000090020000}"/>
    <cellStyle name="¤d¤A|i[0]_laroux" xfId="658" xr:uid="{00000000-0005-0000-0000-000091020000}"/>
    <cellStyle name="¤d¤A|i_laroux" xfId="659" xr:uid="{00000000-0005-0000-0000-000092020000}"/>
    <cellStyle name="¤d¤À¦ì[0]_laroux" xfId="660" xr:uid="{00000000-0005-0000-0000-000093020000}"/>
    <cellStyle name="¤d¤À¦ì_laroux" xfId="661" xr:uid="{00000000-0005-0000-0000-000094020000}"/>
    <cellStyle name="=SUM(D46|F46)=0&lt;0&gt;(0)" xfId="662" xr:uid="{00000000-0005-0000-0000-000095020000}"/>
    <cellStyle name="=SUM(D46|F46)=0&lt;0&gt;(0) 2" xfId="663" xr:uid="{00000000-0005-0000-0000-000096020000}"/>
    <cellStyle name="⥜준_제강원가최종_1" xfId="664" xr:uid="{00000000-0005-0000-0000-000097020000}"/>
    <cellStyle name="△서식" xfId="665" xr:uid="{00000000-0005-0000-0000-000098020000}"/>
    <cellStyle name="©•Z©•0@АяЈ" xfId="666" xr:uid="{00000000-0005-0000-0000-000099020000}"/>
    <cellStyle name="°íá¤¼ò¼ýá¡" xfId="667" xr:uid="{00000000-0005-0000-0000-00009A020000}"/>
    <cellStyle name="°íá¤ãâ·â1" xfId="668" xr:uid="{00000000-0005-0000-0000-00009B020000}"/>
    <cellStyle name="°íá¤ãâ·â2" xfId="669" xr:uid="{00000000-0005-0000-0000-00009C020000}"/>
    <cellStyle name="•W_Book3" xfId="670" xr:uid="{00000000-0005-0000-0000-00009D020000}"/>
    <cellStyle name="æøè [0.00" xfId="671" xr:uid="{00000000-0005-0000-0000-00009E020000}"/>
    <cellStyle name="æøè_produ" xfId="672" xr:uid="{00000000-0005-0000-0000-00009F020000}"/>
    <cellStyle name="êý [0.00]_pr" xfId="673" xr:uid="{00000000-0005-0000-0000-0000A0020000}"/>
    <cellStyle name="êý_product d" xfId="674" xr:uid="{00000000-0005-0000-0000-0000A1020000}"/>
    <cellStyle name="w_bookship" xfId="675" xr:uid="{00000000-0005-0000-0000-0000A2020000}"/>
    <cellStyle name="0" xfId="676" xr:uid="{00000000-0005-0000-0000-0000A3020000}"/>
    <cellStyle name="0,0_x000d__x000a_NA_x000d__x000a_" xfId="677" xr:uid="{00000000-0005-0000-0000-0000A4020000}"/>
    <cellStyle name="1" xfId="678" xr:uid="{00000000-0005-0000-0000-0000A5020000}"/>
    <cellStyle name="1." xfId="679" xr:uid="{00000000-0005-0000-0000-0000A6020000}"/>
    <cellStyle name="100" xfId="680" xr:uid="{00000000-0005-0000-0000-0000A7020000}"/>
    <cellStyle name="120" xfId="681" xr:uid="{00000000-0005-0000-0000-0000A8020000}"/>
    <cellStyle name="19990216" xfId="682" xr:uid="{00000000-0005-0000-0000-0000A9020000}"/>
    <cellStyle name="¹éº" xfId="683" xr:uid="{00000000-0005-0000-0000-0000AA020000}"/>
    <cellStyle name="¹éºðà²" xfId="684" xr:uid="{00000000-0005-0000-0000-0000AB020000}"/>
    <cellStyle name="¹eºÐA²_±aA¸" xfId="685" xr:uid="{00000000-0005-0000-0000-0000AC020000}"/>
    <cellStyle name="¹éºÐÀ²_±âÅ¸" xfId="686" xr:uid="{00000000-0005-0000-0000-0000AD020000}"/>
    <cellStyle name="¹eºÐA²_±aA¸ 2" xfId="687" xr:uid="{00000000-0005-0000-0000-0000AE020000}"/>
    <cellStyle name="-1실적" xfId="688" xr:uid="{00000000-0005-0000-0000-0000AF020000}"/>
    <cellStyle name="20% - 강조색1 2" xfId="689" xr:uid="{00000000-0005-0000-0000-0000B0020000}"/>
    <cellStyle name="20% - 강조색1 3" xfId="690" xr:uid="{00000000-0005-0000-0000-0000B1020000}"/>
    <cellStyle name="20% - 강조색2 2" xfId="691" xr:uid="{00000000-0005-0000-0000-0000B2020000}"/>
    <cellStyle name="20% - 강조색2 3" xfId="692" xr:uid="{00000000-0005-0000-0000-0000B3020000}"/>
    <cellStyle name="20% - 강조색3 2" xfId="693" xr:uid="{00000000-0005-0000-0000-0000B4020000}"/>
    <cellStyle name="20% - 강조색3 3" xfId="694" xr:uid="{00000000-0005-0000-0000-0000B5020000}"/>
    <cellStyle name="20% - 강조색4 2" xfId="695" xr:uid="{00000000-0005-0000-0000-0000B6020000}"/>
    <cellStyle name="20% - 강조색4 3" xfId="696" xr:uid="{00000000-0005-0000-0000-0000B7020000}"/>
    <cellStyle name="20% - 강조색5 2" xfId="697" xr:uid="{00000000-0005-0000-0000-0000B8020000}"/>
    <cellStyle name="20% - 강조색5 3" xfId="698" xr:uid="{00000000-0005-0000-0000-0000B9020000}"/>
    <cellStyle name="20% - 강조색6 2" xfId="699" xr:uid="{00000000-0005-0000-0000-0000BA020000}"/>
    <cellStyle name="20% - 강조색6 3" xfId="700" xr:uid="{00000000-0005-0000-0000-0000BB020000}"/>
    <cellStyle name="_x0004_3;_x0018_" xfId="701" xr:uid="{00000000-0005-0000-0000-0000BC020000}"/>
    <cellStyle name="³¯â¥" xfId="702" xr:uid="{00000000-0005-0000-0000-0000BD020000}"/>
    <cellStyle name="³f¹o [0]_RESULTS" xfId="703" xr:uid="{00000000-0005-0000-0000-0000BE020000}"/>
    <cellStyle name="³f¹ô [0]_RESULTS" xfId="704" xr:uid="{00000000-0005-0000-0000-0000BF020000}"/>
    <cellStyle name="³f¹o[0]_laroux" xfId="705" xr:uid="{00000000-0005-0000-0000-0000C0020000}"/>
    <cellStyle name="³f¹ô[0]_laroux" xfId="706" xr:uid="{00000000-0005-0000-0000-0000C1020000}"/>
    <cellStyle name="³f¹o_laroux" xfId="707" xr:uid="{00000000-0005-0000-0000-0000C2020000}"/>
    <cellStyle name="³f¹ô_laroux" xfId="708" xr:uid="{00000000-0005-0000-0000-0000C3020000}"/>
    <cellStyle name="40% - 강조색1 2" xfId="709" xr:uid="{00000000-0005-0000-0000-0000C4020000}"/>
    <cellStyle name="40% - 강조색1 3" xfId="710" xr:uid="{00000000-0005-0000-0000-0000C5020000}"/>
    <cellStyle name="40% - 강조색2 2" xfId="711" xr:uid="{00000000-0005-0000-0000-0000C6020000}"/>
    <cellStyle name="40% - 강조색2 3" xfId="712" xr:uid="{00000000-0005-0000-0000-0000C7020000}"/>
    <cellStyle name="40% - 강조색3 2" xfId="713" xr:uid="{00000000-0005-0000-0000-0000C8020000}"/>
    <cellStyle name="40% - 강조색3 3" xfId="714" xr:uid="{00000000-0005-0000-0000-0000C9020000}"/>
    <cellStyle name="40% - 강조색4 2" xfId="715" xr:uid="{00000000-0005-0000-0000-0000CA020000}"/>
    <cellStyle name="40% - 강조색4 3" xfId="716" xr:uid="{00000000-0005-0000-0000-0000CB020000}"/>
    <cellStyle name="40% - 강조색5 2" xfId="717" xr:uid="{00000000-0005-0000-0000-0000CC020000}"/>
    <cellStyle name="40% - 강조색5 3" xfId="718" xr:uid="{00000000-0005-0000-0000-0000CD020000}"/>
    <cellStyle name="40% - 강조색6 2" xfId="719" xr:uid="{00000000-0005-0000-0000-0000CE020000}"/>
    <cellStyle name="40% - 강조색6 3" xfId="720" xr:uid="{00000000-0005-0000-0000-0000CF020000}"/>
    <cellStyle name="4월12일" xfId="721" xr:uid="{00000000-0005-0000-0000-0000D0020000}"/>
    <cellStyle name="60" xfId="722" xr:uid="{00000000-0005-0000-0000-0000D1020000}"/>
    <cellStyle name="60% - 강조색1 2" xfId="723" xr:uid="{00000000-0005-0000-0000-0000D2020000}"/>
    <cellStyle name="60% - 강조색1 3" xfId="724" xr:uid="{00000000-0005-0000-0000-0000D3020000}"/>
    <cellStyle name="60% - 강조색2 2" xfId="725" xr:uid="{00000000-0005-0000-0000-0000D4020000}"/>
    <cellStyle name="60% - 강조색2 3" xfId="726" xr:uid="{00000000-0005-0000-0000-0000D5020000}"/>
    <cellStyle name="60% - 강조색3 2" xfId="727" xr:uid="{00000000-0005-0000-0000-0000D6020000}"/>
    <cellStyle name="60% - 강조색3 3" xfId="728" xr:uid="{00000000-0005-0000-0000-0000D7020000}"/>
    <cellStyle name="60% - 강조색4 2" xfId="729" xr:uid="{00000000-0005-0000-0000-0000D8020000}"/>
    <cellStyle name="60% - 강조색4 3" xfId="730" xr:uid="{00000000-0005-0000-0000-0000D9020000}"/>
    <cellStyle name="60% - 강조색5 2" xfId="731" xr:uid="{00000000-0005-0000-0000-0000DA020000}"/>
    <cellStyle name="60% - 강조색5 3" xfId="732" xr:uid="{00000000-0005-0000-0000-0000DB020000}"/>
    <cellStyle name="60% - 강조색6 2" xfId="733" xr:uid="{00000000-0005-0000-0000-0000DC020000}"/>
    <cellStyle name="60% - 강조색6 3" xfId="734" xr:uid="{00000000-0005-0000-0000-0000DD020000}"/>
    <cellStyle name="7" xfId="735" xr:uid="{00000000-0005-0000-0000-0000DE020000}"/>
    <cellStyle name="7_02년예상+연결기초자료+이익율+배당금+경영지원금" xfId="736" xr:uid="{00000000-0005-0000-0000-0000DF020000}"/>
    <cellStyle name="7_02년예상+연결기초자료+이익율+배당금+경영지원금_단말_05년Rawdata_ver5" xfId="737" xr:uid="{00000000-0005-0000-0000-0000E0020000}"/>
    <cellStyle name="7_02년예상+연결기초자료+이익율+배당금+경영지원금_단말_05년Rawdata_ver5_제2사업부문매출 계획-수정(070507) (2)" xfId="738" xr:uid="{00000000-0005-0000-0000-0000E1020000}"/>
    <cellStyle name="7_02년예상+연결기초자료+이익율+배당금+경영지원금_단말_05년Rawdata_ver5_제2사업부문매출 계획-수정_20070507_1" xfId="739" xr:uid="{00000000-0005-0000-0000-0000E2020000}"/>
    <cellStyle name="7_02년예상+연결기초자료+이익율+배당금+경영지원금_사업계획(화인폰)(1)" xfId="740" xr:uid="{00000000-0005-0000-0000-0000E3020000}"/>
    <cellStyle name="7_02년예상+연결기초자료+이익율+배당금+경영지원금_사업계획(화인폰)(1)_제2사업부문매출 계획-수정(070507) (2)" xfId="741" xr:uid="{00000000-0005-0000-0000-0000E4020000}"/>
    <cellStyle name="7_02년예상+연결기초자료+이익율+배당금+경영지원금_사업계획(화인폰)(1)_제2사업부문매출 계획-수정_20070507_1" xfId="742" xr:uid="{00000000-0005-0000-0000-0000E5020000}"/>
    <cellStyle name="7_02년예상+연결기초자료+이익율+배당금+경영지원금_제2사업부문매출 계획-수정(070507) (2)" xfId="743" xr:uid="{00000000-0005-0000-0000-0000E6020000}"/>
    <cellStyle name="7_02년예상+연결기초자료+이익율+배당금+경영지원금_제2사업부문매출 계획-수정_20070507_1" xfId="744" xr:uid="{00000000-0005-0000-0000-0000E7020000}"/>
    <cellStyle name="7_02년예상+연결자료(GSM)" xfId="745" xr:uid="{00000000-0005-0000-0000-0000E8020000}"/>
    <cellStyle name="7_02년예상+연결자료(GSM)_단말_05년Rawdata_ver5" xfId="746" xr:uid="{00000000-0005-0000-0000-0000E9020000}"/>
    <cellStyle name="7_02년예상+연결자료(GSM)_단말_05년Rawdata_ver5_제2사업부문매출 계획-수정(070507) (2)" xfId="747" xr:uid="{00000000-0005-0000-0000-0000EA020000}"/>
    <cellStyle name="7_02년예상+연결자료(GSM)_단말_05년Rawdata_ver5_제2사업부문매출 계획-수정_20070507_1" xfId="748" xr:uid="{00000000-0005-0000-0000-0000EB020000}"/>
    <cellStyle name="7_02년예상+연결자료(GSM)_사업계획(화인폰)(1)" xfId="749" xr:uid="{00000000-0005-0000-0000-0000EC020000}"/>
    <cellStyle name="7_02년예상+연결자료(GSM)_사업계획(화인폰)(1)_제2사업부문매출 계획-수정(070507) (2)" xfId="750" xr:uid="{00000000-0005-0000-0000-0000ED020000}"/>
    <cellStyle name="7_02년예상+연결자료(GSM)_사업계획(화인폰)(1)_제2사업부문매출 계획-수정_20070507_1" xfId="751" xr:uid="{00000000-0005-0000-0000-0000EE020000}"/>
    <cellStyle name="7_02년예상+연결자료(GSM)_제2사업부문매출 계획-수정(070507) (2)" xfId="752" xr:uid="{00000000-0005-0000-0000-0000EF020000}"/>
    <cellStyle name="7_02년예상+연결자료(GSM)_제2사업부문매출 계획-수정_20070507_1" xfId="753" xr:uid="{00000000-0005-0000-0000-0000F0020000}"/>
    <cellStyle name="7_2003년투주상계제거" xfId="754" xr:uid="{00000000-0005-0000-0000-0000F1020000}"/>
    <cellStyle name="7_2003년투주상계제거_2003년투주상계제거" xfId="755" xr:uid="{00000000-0005-0000-0000-0000F2020000}"/>
    <cellStyle name="7_결산진실성EVA" xfId="756" xr:uid="{00000000-0005-0000-0000-0000F3020000}"/>
    <cellStyle name="7_결산진실성EVA_02년예상+연결기초자료+이익율+배당금+경영지원금" xfId="757" xr:uid="{00000000-0005-0000-0000-0000F4020000}"/>
    <cellStyle name="7_결산진실성EVA_02년예상+연결기초자료+이익율+배당금+경영지원금_단말_05년Rawdata_ver5" xfId="758" xr:uid="{00000000-0005-0000-0000-0000F5020000}"/>
    <cellStyle name="7_결산진실성EVA_02년예상+연결기초자료+이익율+배당금+경영지원금_단말_05년Rawdata_ver5_제2사업부문매출 계획-수정(070507) (2)" xfId="759" xr:uid="{00000000-0005-0000-0000-0000F6020000}"/>
    <cellStyle name="7_결산진실성EVA_02년예상+연결기초자료+이익율+배당금+경영지원금_단말_05년Rawdata_ver5_제2사업부문매출 계획-수정_20070507_1" xfId="760" xr:uid="{00000000-0005-0000-0000-0000F7020000}"/>
    <cellStyle name="7_결산진실성EVA_02년예상+연결기초자료+이익율+배당금+경영지원금_사업계획(화인폰)(1)" xfId="761" xr:uid="{00000000-0005-0000-0000-0000F8020000}"/>
    <cellStyle name="7_결산진실성EVA_02년예상+연결기초자료+이익율+배당금+경영지원금_사업계획(화인폰)(1)_제2사업부문매출 계획-수정(070507) (2)" xfId="762" xr:uid="{00000000-0005-0000-0000-0000F9020000}"/>
    <cellStyle name="7_결산진실성EVA_02년예상+연결기초자료+이익율+배당금+경영지원금_사업계획(화인폰)(1)_제2사업부문매출 계획-수정_20070507_1" xfId="763" xr:uid="{00000000-0005-0000-0000-0000FA020000}"/>
    <cellStyle name="7_결산진실성EVA_02년예상+연결기초자료+이익율+배당금+경영지원금_제2사업부문매출 계획-수정(070507) (2)" xfId="764" xr:uid="{00000000-0005-0000-0000-0000FB020000}"/>
    <cellStyle name="7_결산진실성EVA_02년예상+연결기초자료+이익율+배당금+경영지원금_제2사업부문매출 계획-수정_20070507_1" xfId="765" xr:uid="{00000000-0005-0000-0000-0000FC020000}"/>
    <cellStyle name="7_결산진실성EVA_02년예상+연결자료(GSM)" xfId="766" xr:uid="{00000000-0005-0000-0000-0000FD020000}"/>
    <cellStyle name="7_결산진실성EVA_02년예상+연결자료(GSM)_단말_05년Rawdata_ver5" xfId="767" xr:uid="{00000000-0005-0000-0000-0000FE020000}"/>
    <cellStyle name="7_결산진실성EVA_02년예상+연결자료(GSM)_단말_05년Rawdata_ver5_제2사업부문매출 계획-수정(070507) (2)" xfId="768" xr:uid="{00000000-0005-0000-0000-0000FF020000}"/>
    <cellStyle name="7_결산진실성EVA_02년예상+연결자료(GSM)_단말_05년Rawdata_ver5_제2사업부문매출 계획-수정_20070507_1" xfId="769" xr:uid="{00000000-0005-0000-0000-000000030000}"/>
    <cellStyle name="7_결산진실성EVA_02년예상+연결자료(GSM)_사업계획(화인폰)(1)" xfId="770" xr:uid="{00000000-0005-0000-0000-000001030000}"/>
    <cellStyle name="7_결산진실성EVA_02년예상+연결자료(GSM)_사업계획(화인폰)(1)_제2사업부문매출 계획-수정(070507) (2)" xfId="771" xr:uid="{00000000-0005-0000-0000-000002030000}"/>
    <cellStyle name="7_결산진실성EVA_02년예상+연결자료(GSM)_사업계획(화인폰)(1)_제2사업부문매출 계획-수정_20070507_1" xfId="772" xr:uid="{00000000-0005-0000-0000-000003030000}"/>
    <cellStyle name="7_결산진실성EVA_02년예상+연결자료(GSM)_제2사업부문매출 계획-수정(070507) (2)" xfId="773" xr:uid="{00000000-0005-0000-0000-000004030000}"/>
    <cellStyle name="7_결산진실성EVA_02년예상+연결자료(GSM)_제2사업부문매출 계획-수정_20070507_1" xfId="774" xr:uid="{00000000-0005-0000-0000-000005030000}"/>
    <cellStyle name="7_결산진실성EVA_단말_05년Rawdata_ver5" xfId="775" xr:uid="{00000000-0005-0000-0000-000006030000}"/>
    <cellStyle name="7_결산진실성EVA_단말_05년Rawdata_ver5_제2사업부문매출 계획-수정(070507) (2)" xfId="776" xr:uid="{00000000-0005-0000-0000-000007030000}"/>
    <cellStyle name="7_결산진실성EVA_단말_05년Rawdata_ver5_제2사업부문매출 계획-수정_20070507_1" xfId="777" xr:uid="{00000000-0005-0000-0000-000008030000}"/>
    <cellStyle name="7_결산진실성EVA_사업계획(화인폰)(1)" xfId="778" xr:uid="{00000000-0005-0000-0000-000009030000}"/>
    <cellStyle name="7_결산진실성EVA_사업계획(화인폰)(1)_제2사업부문매출 계획-수정(070507) (2)" xfId="779" xr:uid="{00000000-0005-0000-0000-00000A030000}"/>
    <cellStyle name="7_결산진실성EVA_사업계획(화인폰)(1)_제2사업부문매출 계획-수정_20070507_1" xfId="780" xr:uid="{00000000-0005-0000-0000-00000B030000}"/>
    <cellStyle name="7_결산진실성EVA_제2사업부문매출 계획-수정(070507) (2)" xfId="781" xr:uid="{00000000-0005-0000-0000-00000C030000}"/>
    <cellStyle name="7_결산진실성EVA_제2사업부문매출 계획-수정_20070507_1" xfId="782" xr:uid="{00000000-0005-0000-0000-00000D030000}"/>
    <cellStyle name="7_단말_05년Rawdata_ver5" xfId="783" xr:uid="{00000000-0005-0000-0000-00000E030000}"/>
    <cellStyle name="7_단말_05년Rawdata_ver5_제2사업부문매출 계획-수정(070507) (2)" xfId="784" xr:uid="{00000000-0005-0000-0000-00000F030000}"/>
    <cellStyle name="7_단말_05년Rawdata_ver5_제2사업부문매출 계획-수정_20070507_1" xfId="785" xr:uid="{00000000-0005-0000-0000-000010030000}"/>
    <cellStyle name="7_사업계획(화인폰)(1)" xfId="786" xr:uid="{00000000-0005-0000-0000-000011030000}"/>
    <cellStyle name="7_사업계획(화인폰)(1)_제2사업부문매출 계획-수정(070507) (2)" xfId="787" xr:uid="{00000000-0005-0000-0000-000012030000}"/>
    <cellStyle name="7_사업계획(화인폰)(1)_제2사업부문매출 계획-수정_20070507_1" xfId="788" xr:uid="{00000000-0005-0000-0000-000013030000}"/>
    <cellStyle name="7_전자98결산진실" xfId="789" xr:uid="{00000000-0005-0000-0000-000014030000}"/>
    <cellStyle name="7_전자98결산진실_02년예상+연결기초자료+이익율+배당금+경영지원금" xfId="790" xr:uid="{00000000-0005-0000-0000-000015030000}"/>
    <cellStyle name="7_전자98결산진실_02년예상+연결기초자료+이익율+배당금+경영지원금_단말_05년Rawdata_ver5" xfId="791" xr:uid="{00000000-0005-0000-0000-000016030000}"/>
    <cellStyle name="7_전자98결산진실_02년예상+연결기초자료+이익율+배당금+경영지원금_단말_05년Rawdata_ver5_제2사업부문매출 계획-수정(070507) (2)" xfId="792" xr:uid="{00000000-0005-0000-0000-000017030000}"/>
    <cellStyle name="7_전자98결산진실_02년예상+연결기초자료+이익율+배당금+경영지원금_단말_05년Rawdata_ver5_제2사업부문매출 계획-수정_20070507_1" xfId="793" xr:uid="{00000000-0005-0000-0000-000018030000}"/>
    <cellStyle name="7_전자98결산진실_02년예상+연결기초자료+이익율+배당금+경영지원금_사업계획(화인폰)(1)" xfId="794" xr:uid="{00000000-0005-0000-0000-000019030000}"/>
    <cellStyle name="7_전자98결산진실_02년예상+연결기초자료+이익율+배당금+경영지원금_사업계획(화인폰)(1)_제2사업부문매출 계획-수정(070507) (2)" xfId="795" xr:uid="{00000000-0005-0000-0000-00001A030000}"/>
    <cellStyle name="7_전자98결산진실_02년예상+연결기초자료+이익율+배당금+경영지원금_사업계획(화인폰)(1)_제2사업부문매출 계획-수정_20070507_1" xfId="796" xr:uid="{00000000-0005-0000-0000-00001B030000}"/>
    <cellStyle name="7_전자98결산진실_02년예상+연결기초자료+이익율+배당금+경영지원금_제2사업부문매출 계획-수정(070507) (2)" xfId="797" xr:uid="{00000000-0005-0000-0000-00001C030000}"/>
    <cellStyle name="7_전자98결산진실_02년예상+연결기초자료+이익율+배당금+경영지원금_제2사업부문매출 계획-수정_20070507_1" xfId="798" xr:uid="{00000000-0005-0000-0000-00001D030000}"/>
    <cellStyle name="7_전자98결산진실_02년예상+연결자료(GSM)" xfId="799" xr:uid="{00000000-0005-0000-0000-00001E030000}"/>
    <cellStyle name="7_전자98결산진실_02년예상+연결자료(GSM)_단말_05년Rawdata_ver5" xfId="800" xr:uid="{00000000-0005-0000-0000-00001F030000}"/>
    <cellStyle name="7_전자98결산진실_02년예상+연결자료(GSM)_단말_05년Rawdata_ver5_제2사업부문매출 계획-수정(070507) (2)" xfId="801" xr:uid="{00000000-0005-0000-0000-000020030000}"/>
    <cellStyle name="7_전자98결산진실_02년예상+연결자료(GSM)_단말_05년Rawdata_ver5_제2사업부문매출 계획-수정_20070507_1" xfId="802" xr:uid="{00000000-0005-0000-0000-000021030000}"/>
    <cellStyle name="7_전자98결산진실_02년예상+연결자료(GSM)_사업계획(화인폰)(1)" xfId="803" xr:uid="{00000000-0005-0000-0000-000022030000}"/>
    <cellStyle name="7_전자98결산진실_02년예상+연결자료(GSM)_사업계획(화인폰)(1)_제2사업부문매출 계획-수정(070507) (2)" xfId="804" xr:uid="{00000000-0005-0000-0000-000023030000}"/>
    <cellStyle name="7_전자98결산진실_02년예상+연결자료(GSM)_사업계획(화인폰)(1)_제2사업부문매출 계획-수정_20070507_1" xfId="805" xr:uid="{00000000-0005-0000-0000-000024030000}"/>
    <cellStyle name="7_전자98결산진실_02년예상+연결자료(GSM)_제2사업부문매출 계획-수정(070507) (2)" xfId="806" xr:uid="{00000000-0005-0000-0000-000025030000}"/>
    <cellStyle name="7_전자98결산진실_02년예상+연결자료(GSM)_제2사업부문매출 계획-수정_20070507_1" xfId="807" xr:uid="{00000000-0005-0000-0000-000026030000}"/>
    <cellStyle name="7_전자98결산진실_단말_05년Rawdata_ver5" xfId="808" xr:uid="{00000000-0005-0000-0000-000027030000}"/>
    <cellStyle name="7_전자98결산진실_단말_05년Rawdata_ver5_제2사업부문매출 계획-수정(070507) (2)" xfId="809" xr:uid="{00000000-0005-0000-0000-000028030000}"/>
    <cellStyle name="7_전자98결산진실_단말_05년Rawdata_ver5_제2사업부문매출 계획-수정_20070507_1" xfId="810" xr:uid="{00000000-0005-0000-0000-000029030000}"/>
    <cellStyle name="7_전자98결산진실_사업계획(화인폰)(1)" xfId="811" xr:uid="{00000000-0005-0000-0000-00002A030000}"/>
    <cellStyle name="7_전자98결산진실_사업계획(화인폰)(1)_제2사업부문매출 계획-수정(070507) (2)" xfId="812" xr:uid="{00000000-0005-0000-0000-00002B030000}"/>
    <cellStyle name="7_전자98결산진실_사업계획(화인폰)(1)_제2사업부문매출 계획-수정_20070507_1" xfId="813" xr:uid="{00000000-0005-0000-0000-00002C030000}"/>
    <cellStyle name="7_전자98결산진실_제2사업부문매출 계획-수정(070507) (2)" xfId="814" xr:uid="{00000000-0005-0000-0000-00002D030000}"/>
    <cellStyle name="7_전자98결산진실_제2사업부문매출 계획-수정_20070507_1" xfId="815" xr:uid="{00000000-0005-0000-0000-00002E030000}"/>
    <cellStyle name="7_전자99상결산진실" xfId="816" xr:uid="{00000000-0005-0000-0000-00002F030000}"/>
    <cellStyle name="7_전자99상결산진실_02년예상+연결기초자료+이익율+배당금+경영지원금" xfId="817" xr:uid="{00000000-0005-0000-0000-000030030000}"/>
    <cellStyle name="7_전자99상결산진실_02년예상+연결기초자료+이익율+배당금+경영지원금_단말_05년Rawdata_ver5" xfId="818" xr:uid="{00000000-0005-0000-0000-000031030000}"/>
    <cellStyle name="7_전자99상결산진실_02년예상+연결기초자료+이익율+배당금+경영지원금_단말_05년Rawdata_ver5_제2사업부문매출 계획-수정(070507) (2)" xfId="819" xr:uid="{00000000-0005-0000-0000-000032030000}"/>
    <cellStyle name="7_전자99상결산진실_02년예상+연결기초자료+이익율+배당금+경영지원금_단말_05년Rawdata_ver5_제2사업부문매출 계획-수정_20070507_1" xfId="820" xr:uid="{00000000-0005-0000-0000-000033030000}"/>
    <cellStyle name="7_전자99상결산진실_02년예상+연결기초자료+이익율+배당금+경영지원금_사업계획(화인폰)(1)" xfId="821" xr:uid="{00000000-0005-0000-0000-000034030000}"/>
    <cellStyle name="7_전자99상결산진실_02년예상+연결기초자료+이익율+배당금+경영지원금_사업계획(화인폰)(1)_제2사업부문매출 계획-수정(070507) (2)" xfId="822" xr:uid="{00000000-0005-0000-0000-000035030000}"/>
    <cellStyle name="7_전자99상결산진실_02년예상+연결기초자료+이익율+배당금+경영지원금_사업계획(화인폰)(1)_제2사업부문매출 계획-수정_20070507_1" xfId="823" xr:uid="{00000000-0005-0000-0000-000036030000}"/>
    <cellStyle name="7_전자99상결산진실_02년예상+연결기초자료+이익율+배당금+경영지원금_제2사업부문매출 계획-수정(070507) (2)" xfId="824" xr:uid="{00000000-0005-0000-0000-000037030000}"/>
    <cellStyle name="7_전자99상결산진실_02년예상+연결기초자료+이익율+배당금+경영지원금_제2사업부문매출 계획-수정_20070507_1" xfId="825" xr:uid="{00000000-0005-0000-0000-000038030000}"/>
    <cellStyle name="7_전자99상결산진실_02년예상+연결자료(GSM)" xfId="826" xr:uid="{00000000-0005-0000-0000-000039030000}"/>
    <cellStyle name="7_전자99상결산진실_02년예상+연결자료(GSM)_단말_05년Rawdata_ver5" xfId="827" xr:uid="{00000000-0005-0000-0000-00003A030000}"/>
    <cellStyle name="7_전자99상결산진실_02년예상+연결자료(GSM)_단말_05년Rawdata_ver5_제2사업부문매출 계획-수정(070507) (2)" xfId="828" xr:uid="{00000000-0005-0000-0000-00003B030000}"/>
    <cellStyle name="7_전자99상결산진실_02년예상+연결자료(GSM)_단말_05년Rawdata_ver5_제2사업부문매출 계획-수정_20070507_1" xfId="829" xr:uid="{00000000-0005-0000-0000-00003C030000}"/>
    <cellStyle name="7_전자99상결산진실_02년예상+연결자료(GSM)_사업계획(화인폰)(1)" xfId="830" xr:uid="{00000000-0005-0000-0000-00003D030000}"/>
    <cellStyle name="7_전자99상결산진실_02년예상+연결자료(GSM)_사업계획(화인폰)(1)_제2사업부문매출 계획-수정(070507) (2)" xfId="831" xr:uid="{00000000-0005-0000-0000-00003E030000}"/>
    <cellStyle name="7_전자99상결산진실_02년예상+연결자료(GSM)_사업계획(화인폰)(1)_제2사업부문매출 계획-수정_20070507_1" xfId="832" xr:uid="{00000000-0005-0000-0000-00003F030000}"/>
    <cellStyle name="7_전자99상결산진실_02년예상+연결자료(GSM)_제2사업부문매출 계획-수정(070507) (2)" xfId="833" xr:uid="{00000000-0005-0000-0000-000040030000}"/>
    <cellStyle name="7_전자99상결산진실_02년예상+연결자료(GSM)_제2사업부문매출 계획-수정_20070507_1" xfId="834" xr:uid="{00000000-0005-0000-0000-000041030000}"/>
    <cellStyle name="7_전자99상결산진실_단말_05년Rawdata_ver5" xfId="835" xr:uid="{00000000-0005-0000-0000-000042030000}"/>
    <cellStyle name="7_전자99상결산진실_단말_05년Rawdata_ver5_제2사업부문매출 계획-수정(070507) (2)" xfId="836" xr:uid="{00000000-0005-0000-0000-000043030000}"/>
    <cellStyle name="7_전자99상결산진실_단말_05년Rawdata_ver5_제2사업부문매출 계획-수정_20070507_1" xfId="837" xr:uid="{00000000-0005-0000-0000-000044030000}"/>
    <cellStyle name="7_전자99상결산진실_사업계획(화인폰)(1)" xfId="838" xr:uid="{00000000-0005-0000-0000-000045030000}"/>
    <cellStyle name="7_전자99상결산진실_사업계획(화인폰)(1)_제2사업부문매출 계획-수정(070507) (2)" xfId="839" xr:uid="{00000000-0005-0000-0000-000046030000}"/>
    <cellStyle name="7_전자99상결산진실_사업계획(화인폰)(1)_제2사업부문매출 계획-수정_20070507_1" xfId="840" xr:uid="{00000000-0005-0000-0000-000047030000}"/>
    <cellStyle name="7_전자99상결산진실_제2사업부문매출 계획-수정(070507) (2)" xfId="841" xr:uid="{00000000-0005-0000-0000-000048030000}"/>
    <cellStyle name="7_전자99상결산진실_제2사업부문매출 계획-수정_20070507_1" xfId="842" xr:uid="{00000000-0005-0000-0000-000049030000}"/>
    <cellStyle name="7_전자99연간결산진실" xfId="843" xr:uid="{00000000-0005-0000-0000-00004A030000}"/>
    <cellStyle name="7_전자99연간결산진실_02년예상+연결기초자료+이익율+배당금+경영지원금" xfId="844" xr:uid="{00000000-0005-0000-0000-00004B030000}"/>
    <cellStyle name="7_전자99연간결산진실_02년예상+연결기초자료+이익율+배당금+경영지원금_단말_05년Rawdata_ver5" xfId="845" xr:uid="{00000000-0005-0000-0000-00004C030000}"/>
    <cellStyle name="7_전자99연간결산진실_02년예상+연결기초자료+이익율+배당금+경영지원금_단말_05년Rawdata_ver5_제2사업부문매출 계획-수정(070507) (2)" xfId="846" xr:uid="{00000000-0005-0000-0000-00004D030000}"/>
    <cellStyle name="7_전자99연간결산진실_02년예상+연결기초자료+이익율+배당금+경영지원금_단말_05년Rawdata_ver5_제2사업부문매출 계획-수정_20070507_1" xfId="847" xr:uid="{00000000-0005-0000-0000-00004E030000}"/>
    <cellStyle name="7_전자99연간결산진실_02년예상+연결기초자료+이익율+배당금+경영지원금_사업계획(화인폰)(1)" xfId="848" xr:uid="{00000000-0005-0000-0000-00004F030000}"/>
    <cellStyle name="7_전자99연간결산진실_02년예상+연결기초자료+이익율+배당금+경영지원금_사업계획(화인폰)(1)_제2사업부문매출 계획-수정(070507) (2)" xfId="849" xr:uid="{00000000-0005-0000-0000-000050030000}"/>
    <cellStyle name="7_전자99연간결산진실_02년예상+연결기초자료+이익율+배당금+경영지원금_사업계획(화인폰)(1)_제2사업부문매출 계획-수정_20070507_1" xfId="850" xr:uid="{00000000-0005-0000-0000-000051030000}"/>
    <cellStyle name="7_전자99연간결산진실_02년예상+연결기초자료+이익율+배당금+경영지원금_제2사업부문매출 계획-수정(070507) (2)" xfId="851" xr:uid="{00000000-0005-0000-0000-000052030000}"/>
    <cellStyle name="7_전자99연간결산진실_02년예상+연결기초자료+이익율+배당금+경영지원금_제2사업부문매출 계획-수정_20070507_1" xfId="852" xr:uid="{00000000-0005-0000-0000-000053030000}"/>
    <cellStyle name="7_전자99연간결산진실_02년예상+연결자료(GSM)" xfId="853" xr:uid="{00000000-0005-0000-0000-000054030000}"/>
    <cellStyle name="7_전자99연간결산진실_02년예상+연결자료(GSM)_단말_05년Rawdata_ver5" xfId="854" xr:uid="{00000000-0005-0000-0000-000055030000}"/>
    <cellStyle name="7_전자99연간결산진실_02년예상+연결자료(GSM)_단말_05년Rawdata_ver5_제2사업부문매출 계획-수정(070507) (2)" xfId="855" xr:uid="{00000000-0005-0000-0000-000056030000}"/>
    <cellStyle name="7_전자99연간결산진실_02년예상+연결자료(GSM)_단말_05년Rawdata_ver5_제2사업부문매출 계획-수정_20070507_1" xfId="856" xr:uid="{00000000-0005-0000-0000-000057030000}"/>
    <cellStyle name="7_전자99연간결산진실_02년예상+연결자료(GSM)_사업계획(화인폰)(1)" xfId="857" xr:uid="{00000000-0005-0000-0000-000058030000}"/>
    <cellStyle name="7_전자99연간결산진실_02년예상+연결자료(GSM)_사업계획(화인폰)(1)_제2사업부문매출 계획-수정(070507) (2)" xfId="858" xr:uid="{00000000-0005-0000-0000-000059030000}"/>
    <cellStyle name="7_전자99연간결산진실_02년예상+연결자료(GSM)_사업계획(화인폰)(1)_제2사업부문매출 계획-수정_20070507_1" xfId="859" xr:uid="{00000000-0005-0000-0000-00005A030000}"/>
    <cellStyle name="7_전자99연간결산진실_02년예상+연결자료(GSM)_제2사업부문매출 계획-수정(070507) (2)" xfId="860" xr:uid="{00000000-0005-0000-0000-00005B030000}"/>
    <cellStyle name="7_전자99연간결산진실_02년예상+연결자료(GSM)_제2사업부문매출 계획-수정_20070507_1" xfId="861" xr:uid="{00000000-0005-0000-0000-00005C030000}"/>
    <cellStyle name="7_전자99연간결산진실_단말_05년Rawdata_ver5" xfId="862" xr:uid="{00000000-0005-0000-0000-00005D030000}"/>
    <cellStyle name="7_전자99연간결산진실_단말_05년Rawdata_ver5_제2사업부문매출 계획-수정(070507) (2)" xfId="863" xr:uid="{00000000-0005-0000-0000-00005E030000}"/>
    <cellStyle name="7_전자99연간결산진실_단말_05년Rawdata_ver5_제2사업부문매출 계획-수정_20070507_1" xfId="864" xr:uid="{00000000-0005-0000-0000-00005F030000}"/>
    <cellStyle name="7_전자99연간결산진실_사업계획(화인폰)(1)" xfId="865" xr:uid="{00000000-0005-0000-0000-000060030000}"/>
    <cellStyle name="7_전자99연간결산진실_사업계획(화인폰)(1)_제2사업부문매출 계획-수정(070507) (2)" xfId="866" xr:uid="{00000000-0005-0000-0000-000061030000}"/>
    <cellStyle name="7_전자99연간결산진실_사업계획(화인폰)(1)_제2사업부문매출 계획-수정_20070507_1" xfId="867" xr:uid="{00000000-0005-0000-0000-000062030000}"/>
    <cellStyle name="7_전자99연간결산진실_제2사업부문매출 계획-수정(070507) (2)" xfId="868" xr:uid="{00000000-0005-0000-0000-000063030000}"/>
    <cellStyle name="7_전자99연간결산진실_제2사업부문매출 계획-수정_20070507_1" xfId="869" xr:uid="{00000000-0005-0000-0000-000064030000}"/>
    <cellStyle name="7_제2사업부문매출 계획-수정(070507) (2)" xfId="870" xr:uid="{00000000-0005-0000-0000-000065030000}"/>
    <cellStyle name="7_제2사업부문매출 계획-수정_20070507_1" xfId="871" xr:uid="{00000000-0005-0000-0000-000066030000}"/>
    <cellStyle name="A¡§¡©¡Ë¡þ¡ËO [0]_laroux" xfId="872" xr:uid="{00000000-0005-0000-0000-000067030000}"/>
    <cellStyle name="A¡§¡©¡Ë¡þ¡ËO_laroux" xfId="873" xr:uid="{00000000-0005-0000-0000-000068030000}"/>
    <cellStyle name="A¨­???? [0]_2000¨?OER " xfId="874" xr:uid="{00000000-0005-0000-0000-000069030000}"/>
    <cellStyle name="A¨­????_2000¨?OER " xfId="875" xr:uid="{00000000-0005-0000-0000-00006A030000}"/>
    <cellStyle name="A¨­￠￢￠O [0]_¡¾aA￠￢" xfId="876" xr:uid="{00000000-0005-0000-0000-00006B030000}"/>
    <cellStyle name="A¨­¢¬¢Ò [0]_2000¨ùOER " xfId="877" xr:uid="{00000000-0005-0000-0000-00006C030000}"/>
    <cellStyle name="A¨­￠￢￠O_¡¾aA￠￢" xfId="878" xr:uid="{00000000-0005-0000-0000-00006D030000}"/>
    <cellStyle name="A¨­¢¬¢Ò_2000¨ùOER " xfId="879" xr:uid="{00000000-0005-0000-0000-00006E030000}"/>
    <cellStyle name="A￠RERER¡ERER￠RER￠RE?￠RERER￠RER¡ER￠R￠?I￠RERERE￠RERER¡ER￠R¡¿I￠RER￠R¡×I￠REREREO [0]_¡ERER￠RER¡ER¡E?I￠RER¡ER￠R￠?I￠RER¡ER￠R￠?￠RERIa¡ERERER¡ERER￠RER¡ER¡E?￠RERER¡ERERERI￠RERER¡ERER￠RER￠RE?uc￠RERER¡ERER￠RER￠RE?oA" xfId="880" xr:uid="{00000000-0005-0000-0000-00006F030000}"/>
    <cellStyle name="A￠RERER¡ERER￠RER￠RE?￠RERER￠RER¡ER￠R￠?I￠RERERE￠RERER¡ER￠R¡¿I￠RER￠R¡×I￠REREREO_¡ERER￠RER¡ER¡E?I￠RER¡ER￠R￠?I￠RER¡ER￠R￠?￠RERIa¡ERERER¡ERER￠RER¡ER¡E?￠RERER¡ERERERI￠RERER¡ERER￠RER￠RE?uc￠RERER¡ERER￠RER￠RE?oA" xfId="881" xr:uid="{00000000-0005-0000-0000-000070030000}"/>
    <cellStyle name="aa" xfId="882" xr:uid="{00000000-0005-0000-0000-000071030000}"/>
    <cellStyle name="active" xfId="883" xr:uid="{00000000-0005-0000-0000-000072030000}"/>
    <cellStyle name="Åë" xfId="884" xr:uid="{00000000-0005-0000-0000-000073030000}"/>
    <cellStyle name="Åëè­" xfId="885" xr:uid="{00000000-0005-0000-0000-000074030000}"/>
    <cellStyle name="Åëè­ [" xfId="886" xr:uid="{00000000-0005-0000-0000-000075030000}"/>
    <cellStyle name="Åëè­ [0]" xfId="887" xr:uid="{00000000-0005-0000-0000-000076030000}"/>
    <cellStyle name="AeE­ [0]_(AO)AA¿μ 9703" xfId="888" xr:uid="{00000000-0005-0000-0000-000077030000}"/>
    <cellStyle name="ÅëÈ­ [0]_´ëºñÇ¥" xfId="889" xr:uid="{00000000-0005-0000-0000-000078030000}"/>
    <cellStyle name="AeE­ [0]_¿u°￡" xfId="890" xr:uid="{00000000-0005-0000-0000-000079030000}"/>
    <cellStyle name="ÅëÈ­ [0]_¿ùº¸¼ö·á " xfId="891" xr:uid="{00000000-0005-0000-0000-00007A030000}"/>
    <cellStyle name="AeE­ [0]_±aA¸" xfId="892" xr:uid="{00000000-0005-0000-0000-00007B030000}"/>
    <cellStyle name="ÅëÈ­ [0]_µ¿ºÎ" xfId="893" xr:uid="{00000000-0005-0000-0000-00007C030000}"/>
    <cellStyle name="AeE­ [0]_¼oAa½CAu " xfId="894" xr:uid="{00000000-0005-0000-0000-00007D030000}"/>
    <cellStyle name="ÅëÈ­ [0]_967PL" xfId="895" xr:uid="{00000000-0005-0000-0000-00007E030000}"/>
    <cellStyle name="AeE­ [0]_C°AC¿eAo" xfId="896" xr:uid="{00000000-0005-0000-0000-00007F030000}"/>
    <cellStyle name="ÅëÈ­ [0]_INQUIRY ¿µ¾÷ÃßÁø " xfId="897" xr:uid="{00000000-0005-0000-0000-000080030000}"/>
    <cellStyle name="AeE­ [0]_INQUIRY ¿μ¾÷AßAø " xfId="898" xr:uid="{00000000-0005-0000-0000-000081030000}"/>
    <cellStyle name="ÅëÈ­ [0]_laroux" xfId="899" xr:uid="{00000000-0005-0000-0000-000082030000}"/>
    <cellStyle name="AeE­ [0]_Sheet4" xfId="900" xr:uid="{00000000-0005-0000-0000-000083030000}"/>
    <cellStyle name="ÅëÈ­ [0]_SQT_MA" xfId="901" xr:uid="{00000000-0005-0000-0000-000084030000}"/>
    <cellStyle name="AeE­ [0]_WINDOW(´c≫c) " xfId="902" xr:uid="{00000000-0005-0000-0000-000085030000}"/>
    <cellStyle name="ÅëÈ­_  Á¾  ÇÕ  " xfId="903" xr:uid="{00000000-0005-0000-0000-000086030000}"/>
    <cellStyle name="AeE­_(AO)AA¿μ 9703" xfId="904" xr:uid="{00000000-0005-0000-0000-000087030000}"/>
    <cellStyle name="ÅëÈ­_´ëºñÇ¥" xfId="905" xr:uid="{00000000-0005-0000-0000-000088030000}"/>
    <cellStyle name="AeE­_¿u°￡" xfId="906" xr:uid="{00000000-0005-0000-0000-000089030000}"/>
    <cellStyle name="ÅëÈ­_¿ùº¸¼ö·á " xfId="907" xr:uid="{00000000-0005-0000-0000-00008A030000}"/>
    <cellStyle name="AeE­_±aA¸" xfId="908" xr:uid="{00000000-0005-0000-0000-00008B030000}"/>
    <cellStyle name="ÅëÈ­_µ¿ºÎ" xfId="909" xr:uid="{00000000-0005-0000-0000-00008C030000}"/>
    <cellStyle name="AeE­_¼oAa½CAu " xfId="910" xr:uid="{00000000-0005-0000-0000-00008D030000}"/>
    <cellStyle name="ÅëÈ­_967PL" xfId="911" xr:uid="{00000000-0005-0000-0000-00008E030000}"/>
    <cellStyle name="AeE­_C°AC¿eAo" xfId="912" xr:uid="{00000000-0005-0000-0000-00008F030000}"/>
    <cellStyle name="ÅëÈ­_INQUIRY ¿µ¾÷ÃßÁø " xfId="913" xr:uid="{00000000-0005-0000-0000-000090030000}"/>
    <cellStyle name="AeE­_INQUIRY ¿μ¾÷AßAø " xfId="914" xr:uid="{00000000-0005-0000-0000-000091030000}"/>
    <cellStyle name="ÅëÈ­_laroux" xfId="915" xr:uid="{00000000-0005-0000-0000-000092030000}"/>
    <cellStyle name="AeE­_Sheet4" xfId="916" xr:uid="{00000000-0005-0000-0000-000093030000}"/>
    <cellStyle name="ÅëÈ­_SQT_MA" xfId="917" xr:uid="{00000000-0005-0000-0000-000094030000}"/>
    <cellStyle name="AeE­_WINDOW(´c≫c) " xfId="918" xr:uid="{00000000-0005-0000-0000-000095030000}"/>
    <cellStyle name="AeE¡? [0]_2000¨?OER " xfId="919" xr:uid="{00000000-0005-0000-0000-000096030000}"/>
    <cellStyle name="AeE¡?_2000¨?OER " xfId="920" xr:uid="{00000000-0005-0000-0000-000097030000}"/>
    <cellStyle name="AeE¡© [0]_2000¨ùOER " xfId="921" xr:uid="{00000000-0005-0000-0000-000098030000}"/>
    <cellStyle name="AeE¡©_2000¨ùOER " xfId="922" xr:uid="{00000000-0005-0000-0000-000099030000}"/>
    <cellStyle name="AeE¡ⓒ [0]_¡¾aA￠￢" xfId="923" xr:uid="{00000000-0005-0000-0000-00009A030000}"/>
    <cellStyle name="AeE¡ⓒ_¡¾aA￠￢" xfId="924" xr:uid="{00000000-0005-0000-0000-00009B030000}"/>
    <cellStyle name="AeE¡ERERER¡ERER￠RER¡ER¡E?I [0]_¡ERER￠RER¡ER¡E?I￠RER¡ER￠R￠?I￠RER¡ER￠R￠?￠RERIa¡ERERER¡ERER￠RER¡ER¡E?￠RERER¡ERERERI￠RERER¡ERER￠RER￠RE?uc￠RERER¡ERER￠RER￠RE?oA" xfId="925" xr:uid="{00000000-0005-0000-0000-00009C030000}"/>
    <cellStyle name="AeE¡ERERER¡ERER￠RER¡ER¡E?I_¡ERER￠RER¡ER¡E?I￠RER¡ER￠R￠?I￠RER¡ER￠R￠?￠RERIa¡ERERER¡ERER￠RER¡ER¡E?￠RERER¡ERERERI￠RERER¡ERER￠RER￠RE?uc￠RERER¡ERER￠RER￠RE?oA" xfId="926" xr:uid="{00000000-0005-0000-0000-00009D030000}"/>
    <cellStyle name="AeE¢®¨Ï [0]_laroux" xfId="927" xr:uid="{00000000-0005-0000-0000-00009E030000}"/>
    <cellStyle name="AeE¢®¨Ï_laroux" xfId="928" xr:uid="{00000000-0005-0000-0000-00009F030000}"/>
    <cellStyle name="Æû¼¾æ®" xfId="929" xr:uid="{00000000-0005-0000-0000-0000A0030000}"/>
    <cellStyle name="AJE번호(1)" xfId="930" xr:uid="{00000000-0005-0000-0000-0000A1030000}"/>
    <cellStyle name="AJE번호&lt;1&gt;" xfId="931" xr:uid="{00000000-0005-0000-0000-0000A2030000}"/>
    <cellStyle name="ALIGNMENT" xfId="932" xr:uid="{00000000-0005-0000-0000-0000A3030000}"/>
    <cellStyle name="args.style" xfId="933" xr:uid="{00000000-0005-0000-0000-0000A4030000}"/>
    <cellStyle name="Assumptions % 0 dp" xfId="934" xr:uid="{00000000-0005-0000-0000-0000A5030000}"/>
    <cellStyle name="Assumptions % 1 dp" xfId="935" xr:uid="{00000000-0005-0000-0000-0000A6030000}"/>
    <cellStyle name="Assumptions % 2 dp" xfId="936" xr:uid="{00000000-0005-0000-0000-0000A7030000}"/>
    <cellStyle name="Assumptions 0 dp" xfId="937" xr:uid="{00000000-0005-0000-0000-0000A8030000}"/>
    <cellStyle name="Assumptions 2 dp" xfId="938" xr:uid="{00000000-0005-0000-0000-0000A9030000}"/>
    <cellStyle name="Assumptions 3 dp" xfId="939" xr:uid="{00000000-0005-0000-0000-0000AA030000}"/>
    <cellStyle name="Äþ" xfId="940" xr:uid="{00000000-0005-0000-0000-0000AB030000}"/>
    <cellStyle name="Äþ¸¶" xfId="941" xr:uid="{00000000-0005-0000-0000-0000AC030000}"/>
    <cellStyle name="Äþ¸¶ [" xfId="942" xr:uid="{00000000-0005-0000-0000-0000AD030000}"/>
    <cellStyle name="Äþ¸¶ [0]" xfId="943" xr:uid="{00000000-0005-0000-0000-0000AE030000}"/>
    <cellStyle name="AÞ¸¶ [0]_(AO)AA¿μ 9703" xfId="944" xr:uid="{00000000-0005-0000-0000-0000AF030000}"/>
    <cellStyle name="ÄÞ¸¶ [0]_´ãº¸±ÇÀÌÀÚ" xfId="945" xr:uid="{00000000-0005-0000-0000-0000B0030000}"/>
    <cellStyle name="AÞ¸¶ [0]_´eºnC￥" xfId="946" xr:uid="{00000000-0005-0000-0000-0000B1030000}"/>
    <cellStyle name="ÄÞ¸¶ [0]_´ëºñÇ¥" xfId="947" xr:uid="{00000000-0005-0000-0000-0000B2030000}"/>
    <cellStyle name="AÞ¸¶ [0]_´eºnC￥ 2" xfId="948" xr:uid="{00000000-0005-0000-0000-0000B3030000}"/>
    <cellStyle name="ÄÞ¸¶ [0]_¿ùº¸¼ö·á " xfId="949" xr:uid="{00000000-0005-0000-0000-0000B4030000}"/>
    <cellStyle name="AÞ¸¶ [0]_±aA¸" xfId="950" xr:uid="{00000000-0005-0000-0000-0000B5030000}"/>
    <cellStyle name="ÄÞ¸¶ [0]_µ¿ºÎ" xfId="951" xr:uid="{00000000-0005-0000-0000-0000B6030000}"/>
    <cellStyle name="AÞ¸¶ [0]_¼oAa½CAu " xfId="952" xr:uid="{00000000-0005-0000-0000-0000B7030000}"/>
    <cellStyle name="ÄÞ¸¶ [0]_1.RF±¹º° " xfId="953" xr:uid="{00000000-0005-0000-0000-0000B8030000}"/>
    <cellStyle name="AÞ¸¶ [0]_A≫c ¸AAaºÐ¼R " xfId="954" xr:uid="{00000000-0005-0000-0000-0000B9030000}"/>
    <cellStyle name="ÄÞ¸¶ [0]_ÀýÂ÷002" xfId="955" xr:uid="{00000000-0005-0000-0000-0000BA030000}"/>
    <cellStyle name="AÞ¸¶ [0]_CODE" xfId="956" xr:uid="{00000000-0005-0000-0000-0000BB030000}"/>
    <cellStyle name="ÄÞ¸¶ [0]_INQUIRY ¿µ¾÷ÃßÁø " xfId="957" xr:uid="{00000000-0005-0000-0000-0000BC030000}"/>
    <cellStyle name="AÞ¸¶ [0]_INQUIRY ¿μ¾÷AßAø " xfId="958" xr:uid="{00000000-0005-0000-0000-0000BD030000}"/>
    <cellStyle name="ÄÞ¸¶ [0]_laroux" xfId="959" xr:uid="{00000000-0005-0000-0000-0000BE030000}"/>
    <cellStyle name="AÞ¸¶ [0]_Sheet4" xfId="960" xr:uid="{00000000-0005-0000-0000-0000BF030000}"/>
    <cellStyle name="ÄÞ¸¶ [0]_SQT_MA" xfId="961" xr:uid="{00000000-0005-0000-0000-0000C0030000}"/>
    <cellStyle name="AÞ¸¶ [0]_WINDOW(´c≫c) " xfId="962" xr:uid="{00000000-0005-0000-0000-0000C1030000}"/>
    <cellStyle name="ÄÞ¸¶_  Á¾  ÇÕ  " xfId="963" xr:uid="{00000000-0005-0000-0000-0000C2030000}"/>
    <cellStyle name="AÞ¸¶_(AO)AA¿μ 9703" xfId="964" xr:uid="{00000000-0005-0000-0000-0000C3030000}"/>
    <cellStyle name="ÄÞ¸¶_´ëºñÇ¥" xfId="965" xr:uid="{00000000-0005-0000-0000-0000C4030000}"/>
    <cellStyle name="AÞ¸¶_¿u°￡" xfId="966" xr:uid="{00000000-0005-0000-0000-0000C5030000}"/>
    <cellStyle name="ÄÞ¸¶_¿ùº¸¼ö·á " xfId="967" xr:uid="{00000000-0005-0000-0000-0000C6030000}"/>
    <cellStyle name="AÞ¸¶_°eE¹_11¿a½A " xfId="968" xr:uid="{00000000-0005-0000-0000-0000C7030000}"/>
    <cellStyle name="ÄÞ¸¶_µ¿ºÎ" xfId="969" xr:uid="{00000000-0005-0000-0000-0000C8030000}"/>
    <cellStyle name="AÞ¸¶_¼oAa½CAu " xfId="970" xr:uid="{00000000-0005-0000-0000-0000C9030000}"/>
    <cellStyle name="ÄÞ¸¶_967PL" xfId="971" xr:uid="{00000000-0005-0000-0000-0000CA030000}"/>
    <cellStyle name="AÞ¸¶_C°AC¿eAo" xfId="972" xr:uid="{00000000-0005-0000-0000-0000CB030000}"/>
    <cellStyle name="ÄÞ¸¶_INQUIRY ¿µ¾÷ÃßÁø " xfId="973" xr:uid="{00000000-0005-0000-0000-0000CC030000}"/>
    <cellStyle name="AÞ¸¶_INQUIRY ¿μ¾÷AßAø " xfId="974" xr:uid="{00000000-0005-0000-0000-0000CD030000}"/>
    <cellStyle name="ÄÞ¸¶_laroux" xfId="975" xr:uid="{00000000-0005-0000-0000-0000CE030000}"/>
    <cellStyle name="AÞ¸¶_Sheet4" xfId="976" xr:uid="{00000000-0005-0000-0000-0000CF030000}"/>
    <cellStyle name="ÄÞ¸¶_SQT_MA" xfId="977" xr:uid="{00000000-0005-0000-0000-0000D0030000}"/>
    <cellStyle name="AÞ¸¶_WINDOW(´c≫c) " xfId="978" xr:uid="{00000000-0005-0000-0000-0000D1030000}"/>
    <cellStyle name="Àú¸®¼ö" xfId="979" xr:uid="{00000000-0005-0000-0000-0000D2030000}"/>
    <cellStyle name="Àú¸®¼ö0" xfId="980" xr:uid="{00000000-0005-0000-0000-0000D3030000}"/>
    <cellStyle name="_x0001_b" xfId="981" xr:uid="{00000000-0005-0000-0000-0000D4030000}"/>
    <cellStyle name="BOYLGOTHIC" xfId="982" xr:uid="{00000000-0005-0000-0000-0000D5030000}"/>
    <cellStyle name="BOYSTYLE" xfId="983" xr:uid="{00000000-0005-0000-0000-0000D6030000}"/>
    <cellStyle name="C¡?A¨ª_2000¨?OER " xfId="984" xr:uid="{00000000-0005-0000-0000-0000D7030000}"/>
    <cellStyle name="C¡ERERERIA￠RERER¡ERER￠RER￠RE?¡ERER￠RER¡ER¡E?¡ERERI_(A￠RERERE¡ERERE¡ERERI￠RERER¡ERER￠RER￠RE?￠RERER¡ER￠R¡¿I￠RER￠R¡×I￠RERERE￠RERER¡ER￠R¡¿I￠RER￠R¡×I￠RERER¡ERER￠RER￠RE?￠RERER¡ER￠R¡¿I￠RER￠R¡×II¡ERER￠RER¡ER¡E?" xfId="985" xr:uid="{00000000-0005-0000-0000-0000D8030000}"/>
    <cellStyle name="C¡IA¨ª_¡ÆeEⓒo" xfId="986" xr:uid="{00000000-0005-0000-0000-0000D9030000}"/>
    <cellStyle name="C¡ÍA¨ª_2000¨ùOER " xfId="987" xr:uid="{00000000-0005-0000-0000-0000DA030000}"/>
    <cellStyle name="C¡IA¨ª_2000¨uOER _1월채권" xfId="988" xr:uid="{00000000-0005-0000-0000-0000DB030000}"/>
    <cellStyle name="C¡ÍA¨ª_3.¨ùOAI " xfId="989" xr:uid="{00000000-0005-0000-0000-0000DC030000}"/>
    <cellStyle name="C¢®IA¡§¨£_laroux" xfId="990" xr:uid="{00000000-0005-0000-0000-0000DD030000}"/>
    <cellStyle name="Ç¥" xfId="991" xr:uid="{00000000-0005-0000-0000-0000DE030000}"/>
    <cellStyle name="Ç¥áø" xfId="992" xr:uid="{00000000-0005-0000-0000-0000DF030000}"/>
    <cellStyle name="C￥AØ_(CoE²)A÷¿ø´eAaCoE²-'98.4" xfId="993" xr:uid="{00000000-0005-0000-0000-0000E0030000}"/>
    <cellStyle name="Ç¥ÁØ_´ëºñÇ¥" xfId="994" xr:uid="{00000000-0005-0000-0000-0000E1030000}"/>
    <cellStyle name="C￥AØ_´eºnC￥ (2)_1_ºI´eAa°ø " xfId="995" xr:uid="{00000000-0005-0000-0000-0000E2030000}"/>
    <cellStyle name="Ç¥ÁØ_´ëºñÇ¥ (2)_1_ºÎ´ëÅä°ø " xfId="996" xr:uid="{00000000-0005-0000-0000-0000E3030000}"/>
    <cellStyle name="C￥AØ_´eºnC￥ (2)_1_ºI´eAa°ø  2" xfId="997" xr:uid="{00000000-0005-0000-0000-0000E4030000}"/>
    <cellStyle name="Ç¥ÁØ_´ëºñÇ¥ (2)_ºÎ´ëÅä°ø " xfId="998" xr:uid="{00000000-0005-0000-0000-0000E5030000}"/>
    <cellStyle name="C￥AØ_´eºnC￥ (2)_ºI´eAa°ø  2" xfId="999" xr:uid="{00000000-0005-0000-0000-0000E6030000}"/>
    <cellStyle name="Ç¥ÁØ_¸ÅÃâ¸ÅÃâ¿ø°¡ " xfId="1000" xr:uid="{00000000-0005-0000-0000-0000E7030000}"/>
    <cellStyle name="C￥AØ_¿uº¸¼o·a " xfId="1001" xr:uid="{00000000-0005-0000-0000-0000E8030000}"/>
    <cellStyle name="Ç¥ÁØ_¿ùº¸¼ö·á " xfId="1002" xr:uid="{00000000-0005-0000-0000-0000E9030000}"/>
    <cellStyle name="C￥AØ_¿uº¸¼o·a  2" xfId="1003" xr:uid="{00000000-0005-0000-0000-0000EA030000}"/>
    <cellStyle name="Ç¥ÁØ_±¤¾ç2Ãþ " xfId="1004" xr:uid="{00000000-0005-0000-0000-0000EB030000}"/>
    <cellStyle name="C￥AØ_≫c¾÷ºIº° AN°e " xfId="1005" xr:uid="{00000000-0005-0000-0000-0000EC030000}"/>
    <cellStyle name="Ç¥ÁØ_°èÈ¹3 " xfId="1006" xr:uid="{00000000-0005-0000-0000-0000ED030000}"/>
    <cellStyle name="C￥AØ_0N-HANDLING " xfId="1007" xr:uid="{00000000-0005-0000-0000-0000EE030000}"/>
    <cellStyle name="Ç¥ÁØ_0N-HANDLING " xfId="1008" xr:uid="{00000000-0005-0000-0000-0000EF030000}"/>
    <cellStyle name="C￥AØ_0N-HANDLING  2" xfId="1009" xr:uid="{00000000-0005-0000-0000-0000F0030000}"/>
    <cellStyle name="Ç¥ÁØ_0N-HANDLING _한컴04반기" xfId="1010" xr:uid="{00000000-0005-0000-0000-0000F1030000}"/>
    <cellStyle name="C￥AØ_¼±AoAc°i_1_³≫ºI°eE¹´e AßA¤A÷AI " xfId="1011" xr:uid="{00000000-0005-0000-0000-0000F2030000}"/>
    <cellStyle name="Ç¥ÁØ_5-1±¤°í " xfId="1012" xr:uid="{00000000-0005-0000-0000-0000F3030000}"/>
    <cellStyle name="C￥AØ_5-1±¤°i _6RCB1 " xfId="1013" xr:uid="{00000000-0005-0000-0000-0000F4030000}"/>
    <cellStyle name="Ç¥ÁØ_5-1±¤°í _어음수표총괄" xfId="1014" xr:uid="{00000000-0005-0000-0000-0000F5030000}"/>
    <cellStyle name="C￥AØ_5-1±¤°i _어음수표총괄_퇴직충당금 - 2004" xfId="1015" xr:uid="{00000000-0005-0000-0000-0000F6030000}"/>
    <cellStyle name="Ç¥ÁØ_5-1±¤°í _어음수표총괄_퇴직충당금 - 2004" xfId="1016" xr:uid="{00000000-0005-0000-0000-0000F7030000}"/>
    <cellStyle name="C￥AØ_5-1±¤°i _어음수표총괄_퇴직충당금 - 2004 2" xfId="1017" xr:uid="{00000000-0005-0000-0000-0000F8030000}"/>
    <cellStyle name="Ç¥ÁØ_5-1±¤°í _외화환산" xfId="1018" xr:uid="{00000000-0005-0000-0000-0000F9030000}"/>
    <cellStyle name="C￥AØ_5-1±¤°i _외화환산_퇴직충당금 - 2004" xfId="1019" xr:uid="{00000000-0005-0000-0000-0000FA030000}"/>
    <cellStyle name="Ç¥ÁØ_5-1±¤°í _외화환산_퇴직충당금 - 2004" xfId="1020" xr:uid="{00000000-0005-0000-0000-0000FB030000}"/>
    <cellStyle name="C￥AØ_5-1±¤°i _외화환산_퇴직충당금 - 2004 2" xfId="1021" xr:uid="{00000000-0005-0000-0000-0000FC030000}"/>
    <cellStyle name="Ç¥ÁØ_Áý°èÇ¥(2¿ù) " xfId="1022" xr:uid="{00000000-0005-0000-0000-0000FD030000}"/>
    <cellStyle name="C￥AØ_Ay°eC￥(2¿u) _Mr. Han Page 11, 14, 15" xfId="1023" xr:uid="{00000000-0005-0000-0000-0000FE030000}"/>
    <cellStyle name="Ç¥ÁØ_Áý°èÇ¥(2¿ù) _Mr. Han Page 11, 14, 15" xfId="1024" xr:uid="{00000000-0005-0000-0000-0000FF030000}"/>
    <cellStyle name="C￥AØ_Ay°eC￥(2¿u) _Mr. Han Page 11, 14, 15 2" xfId="1025" xr:uid="{00000000-0005-0000-0000-000000040000}"/>
    <cellStyle name="Ç¥ÁØ_Áý°èÇ¥(2¿ù) _산은수정091702" xfId="1026" xr:uid="{00000000-0005-0000-0000-000001040000}"/>
    <cellStyle name="C￥AØ_Ay°eC￥(2¿u) _산은수정091702 2" xfId="1027" xr:uid="{00000000-0005-0000-0000-000002040000}"/>
    <cellStyle name="Ç¥ÁØ_Áý°èÇ¥(2¿ù) _어음수표총괄" xfId="1028" xr:uid="{00000000-0005-0000-0000-000003040000}"/>
    <cellStyle name="C￥AØ_Ay°eC￥(2¿u) _어음수표총괄_퇴직충당금 - 2004" xfId="1029" xr:uid="{00000000-0005-0000-0000-000004040000}"/>
    <cellStyle name="Ç¥ÁØ_Áý°èÇ¥(2¿ù) _어음수표총괄_퇴직충당금 - 2004" xfId="1030" xr:uid="{00000000-0005-0000-0000-000005040000}"/>
    <cellStyle name="C￥AØ_Ay°eC￥(2¿u) _어음수표총괄_퇴직충당금 - 2004 2" xfId="1031" xr:uid="{00000000-0005-0000-0000-000006040000}"/>
    <cellStyle name="Ç¥ÁØ_Áý°èÇ¥(2¿ù) _외화환산" xfId="1032" xr:uid="{00000000-0005-0000-0000-000007040000}"/>
    <cellStyle name="C￥AØ_Ay°eC￥(2¿u) _외화환산_퇴직충당금 - 2004" xfId="1033" xr:uid="{00000000-0005-0000-0000-000008040000}"/>
    <cellStyle name="Ç¥ÁØ_Áý°èÇ¥(2¿ù) _외화환산_퇴직충당금 - 2004" xfId="1034" xr:uid="{00000000-0005-0000-0000-000009040000}"/>
    <cellStyle name="C￥AØ_Ay°eC￥(2¿u) _외화환산_퇴직충당금 - 2004 2" xfId="1035" xr:uid="{00000000-0005-0000-0000-00000A040000}"/>
    <cellStyle name="Ç¥ÁØ_Áý°èÇ¥(2¿ù) _총괄표최" xfId="1036" xr:uid="{00000000-0005-0000-0000-00000B040000}"/>
    <cellStyle name="C￥AØ_Ay°eC￥(2¿u) _총괄표최 2" xfId="1037" xr:uid="{00000000-0005-0000-0000-00000C040000}"/>
    <cellStyle name="Ç¥ÁØ_Áý°èÇ¥(2¿ù) _협의보고1012" xfId="1038" xr:uid="{00000000-0005-0000-0000-00000D040000}"/>
    <cellStyle name="C￥AØ_Ay°eC￥(2¿u) _협의보고1012_신임사장보고자료" xfId="1039" xr:uid="{00000000-0005-0000-0000-00000E040000}"/>
    <cellStyle name="Ç¥ÁØ_Áý°èÇ¥(2¿ù) _협의보고1012_신임사장보고자료" xfId="1040" xr:uid="{00000000-0005-0000-0000-00000F040000}"/>
    <cellStyle name="C￥AØ_Ay°eC￥(2¿u) _협의보고1012_신임사장보고자료 2" xfId="1041" xr:uid="{00000000-0005-0000-0000-000010040000}"/>
    <cellStyle name="Ç¥ÁØ_laroux" xfId="1042" xr:uid="{00000000-0005-0000-0000-000011040000}"/>
    <cellStyle name="C￥AØ_PERSONAL" xfId="1043" xr:uid="{00000000-0005-0000-0000-000012040000}"/>
    <cellStyle name="Ç¥ÁØ_Sheet1_¿µ¾÷ÇöÈ² " xfId="1044" xr:uid="{00000000-0005-0000-0000-000013040000}"/>
    <cellStyle name="C￥AØ_Sheet1_¿μ¾÷CoE² " xfId="1045" xr:uid="{00000000-0005-0000-0000-000014040000}"/>
    <cellStyle name="Ç¥ÁØ_Sheet1_0N-HANDLING " xfId="1046" xr:uid="{00000000-0005-0000-0000-000015040000}"/>
    <cellStyle name="C￥AØ_Sheet1_Ay°eC￥(2¿u) " xfId="1047" xr:uid="{00000000-0005-0000-0000-000016040000}"/>
    <cellStyle name="Ç¥ÁØ_Sheet1_Áý°èÇ¥(2¿ù) " xfId="1048" xr:uid="{00000000-0005-0000-0000-000017040000}"/>
    <cellStyle name="C￥AØ_Sheet1_Ay°eC￥(2¿u)  2" xfId="1049" xr:uid="{00000000-0005-0000-0000-000018040000}"/>
    <cellStyle name="Ç¥ÁØ_Sheet1_Áý°èÇ¥(2¿ù) _Mr. Han Page 11, 14, 15" xfId="1050" xr:uid="{00000000-0005-0000-0000-000019040000}"/>
    <cellStyle name="C￥AØ_Sheet1_Ay°eC￥(2¿u) _Mr. Han Page 11, 14, 15 2" xfId="1051" xr:uid="{00000000-0005-0000-0000-00001A040000}"/>
    <cellStyle name="Ç¥ÁØ_Sheet1_Áý°èÇ¥(2¿ù) _산은수정091702" xfId="1052" xr:uid="{00000000-0005-0000-0000-00001B040000}"/>
    <cellStyle name="C￥AØ_Sheet1_Ay°eC￥(2¿u) _산은수정091702 2" xfId="1053" xr:uid="{00000000-0005-0000-0000-00001C040000}"/>
    <cellStyle name="Ç¥ÁØ_Sheet1_Áý°èÇ¥(2¿ù) _어음수표총괄" xfId="1054" xr:uid="{00000000-0005-0000-0000-00001D040000}"/>
    <cellStyle name="C￥AØ_Sheet1_Ay°eC￥(2¿u) _어음수표총괄_퇴직충당금 - 2004" xfId="1055" xr:uid="{00000000-0005-0000-0000-00001E040000}"/>
    <cellStyle name="Ç¥ÁØ_Sheet1_Áý°èÇ¥(2¿ù) _어음수표총괄_퇴직충당금 - 2004" xfId="1056" xr:uid="{00000000-0005-0000-0000-00001F040000}"/>
    <cellStyle name="C￥AØ_Sheet1_Ay°eC￥(2¿u) _어음수표총괄_퇴직충당금 - 2004 2" xfId="1057" xr:uid="{00000000-0005-0000-0000-000020040000}"/>
    <cellStyle name="Ç¥ÁØ_Sheet1_Áý°èÇ¥(2¿ù) _외화환산" xfId="1058" xr:uid="{00000000-0005-0000-0000-000021040000}"/>
    <cellStyle name="C￥AØ_Sheet1_Ay°eC￥(2¿u) _외화환산_퇴직충당금 - 2004" xfId="1059" xr:uid="{00000000-0005-0000-0000-000022040000}"/>
    <cellStyle name="Ç¥ÁØ_Sheet1_Áý°èÇ¥(2¿ù) _외화환산_퇴직충당금 - 2004" xfId="1060" xr:uid="{00000000-0005-0000-0000-000023040000}"/>
    <cellStyle name="C￥AØ_Sheet1_Ay°eC￥(2¿u) _외화환산_퇴직충당금 - 2004 2" xfId="1061" xr:uid="{00000000-0005-0000-0000-000024040000}"/>
    <cellStyle name="Ç¥ÁØ_Sheet1_Áý°èÇ¥(2¿ù) _총괄표최" xfId="1062" xr:uid="{00000000-0005-0000-0000-000025040000}"/>
    <cellStyle name="C￥AØ_Sheet1_Ay°eC￥(2¿u) _총괄표최 2" xfId="1063" xr:uid="{00000000-0005-0000-0000-000026040000}"/>
    <cellStyle name="Ç¥ÁØ_Sheet1_Áý°èÇ¥(2¿ù) _협의보고1012" xfId="1064" xr:uid="{00000000-0005-0000-0000-000027040000}"/>
    <cellStyle name="C￥AØ_Sheet1_Ay°eC￥(2¿u) _협의보고1012 2" xfId="1065" xr:uid="{00000000-0005-0000-0000-000028040000}"/>
    <cellStyle name="Ç¥ÁØ_Sheet1_Áý°èÇ¥(2¿ù) _협의보고1012_신임사장보고자료" xfId="1066" xr:uid="{00000000-0005-0000-0000-000029040000}"/>
    <cellStyle name="C￥AØ_Sheet1_Ay°eC￥(2¿u) _협의보고1012_신임사장보고자료 2" xfId="1067" xr:uid="{00000000-0005-0000-0000-00002A040000}"/>
    <cellStyle name="Ç¥ÁØ_SOON1 " xfId="1068" xr:uid="{00000000-0005-0000-0000-00002B040000}"/>
    <cellStyle name="C￥AØ_SOON1  2" xfId="1069" xr:uid="{00000000-0005-0000-0000-00002C040000}"/>
    <cellStyle name="Ç¥ÁØ_WINDOW(´ç»ç) " xfId="1070" xr:uid="{00000000-0005-0000-0000-00002D040000}"/>
    <cellStyle name="C￥AØ_WINDOW(´c≫c) " xfId="1071" xr:uid="{00000000-0005-0000-0000-00002E040000}"/>
    <cellStyle name="Calc Currency (0)" xfId="1072" xr:uid="{00000000-0005-0000-0000-00002F040000}"/>
    <cellStyle name="Calc Currency (2)" xfId="1073" xr:uid="{00000000-0005-0000-0000-000030040000}"/>
    <cellStyle name="Calc Percent (0)" xfId="1074" xr:uid="{00000000-0005-0000-0000-000031040000}"/>
    <cellStyle name="Calc Percent (1)" xfId="1075" xr:uid="{00000000-0005-0000-0000-000032040000}"/>
    <cellStyle name="Calc Percent (2)" xfId="1076" xr:uid="{00000000-0005-0000-0000-000033040000}"/>
    <cellStyle name="Calc Units (0)" xfId="1077" xr:uid="{00000000-0005-0000-0000-000034040000}"/>
    <cellStyle name="Calc Units (1)" xfId="1078" xr:uid="{00000000-0005-0000-0000-000035040000}"/>
    <cellStyle name="Calc Units (2)" xfId="1079" xr:uid="{00000000-0005-0000-0000-000036040000}"/>
    <cellStyle name="category" xfId="1080" xr:uid="{00000000-0005-0000-0000-000037040000}"/>
    <cellStyle name="CHANGE" xfId="1081" xr:uid="{00000000-0005-0000-0000-000038040000}"/>
    <cellStyle name="Çõ»ê" xfId="1082" xr:uid="{00000000-0005-0000-0000-000039040000}"/>
    <cellStyle name="Co⑭????" xfId="1083" xr:uid="{00000000-0005-0000-0000-00003A040000}"/>
    <cellStyle name="ⓒoe¨￢¨￠Aⓒ÷_¡¾aA￠￢" xfId="1084" xr:uid="{00000000-0005-0000-0000-00003B040000}"/>
    <cellStyle name="Column_Title" xfId="1085" xr:uid="{00000000-0005-0000-0000-00003C040000}"/>
    <cellStyle name="Comma" xfId="1086" xr:uid="{00000000-0005-0000-0000-00003D040000}"/>
    <cellStyle name="Comma  - Style1" xfId="1087" xr:uid="{00000000-0005-0000-0000-00003E040000}"/>
    <cellStyle name="Comma  - Style2" xfId="1088" xr:uid="{00000000-0005-0000-0000-00003F040000}"/>
    <cellStyle name="Comma  - Style3" xfId="1089" xr:uid="{00000000-0005-0000-0000-000040040000}"/>
    <cellStyle name="Comma  - Style4" xfId="1090" xr:uid="{00000000-0005-0000-0000-000041040000}"/>
    <cellStyle name="Comma  - Style5" xfId="1091" xr:uid="{00000000-0005-0000-0000-000042040000}"/>
    <cellStyle name="Comma  - Style6" xfId="1092" xr:uid="{00000000-0005-0000-0000-000043040000}"/>
    <cellStyle name="Comma  - Style7" xfId="1093" xr:uid="{00000000-0005-0000-0000-000044040000}"/>
    <cellStyle name="Comma  - Style8" xfId="1094" xr:uid="{00000000-0005-0000-0000-000045040000}"/>
    <cellStyle name="Comma  - 유형6" xfId="1095" xr:uid="{00000000-0005-0000-0000-000046040000}"/>
    <cellStyle name="Comma [0]" xfId="1096" xr:uid="{00000000-0005-0000-0000-000047040000}"/>
    <cellStyle name="Comma [00]" xfId="1097" xr:uid="{00000000-0005-0000-0000-000048040000}"/>
    <cellStyle name="Comma [0⢰_SATOCPX" xfId="1098" xr:uid="{00000000-0005-0000-0000-000049040000}"/>
    <cellStyle name="Comma [1]" xfId="1099" xr:uid="{00000000-0005-0000-0000-00004A040000}"/>
    <cellStyle name="comma zerodec" xfId="1100" xr:uid="{00000000-0005-0000-0000-00004B040000}"/>
    <cellStyle name="Comma_ '96  delivery" xfId="1101" xr:uid="{00000000-0005-0000-0000-00004C040000}"/>
    <cellStyle name="Comma0" xfId="1102" xr:uid="{00000000-0005-0000-0000-00004D040000}"/>
    <cellStyle name="Comma0 - 유형3" xfId="1103" xr:uid="{00000000-0005-0000-0000-00004E040000}"/>
    <cellStyle name="Comma0 - 유형4" xfId="1104" xr:uid="{00000000-0005-0000-0000-00004F040000}"/>
    <cellStyle name="Comma0 - 유형5" xfId="1105" xr:uid="{00000000-0005-0000-0000-000050040000}"/>
    <cellStyle name="Comma0_08 신인운수 중간감사 - CYJ" xfId="1106" xr:uid="{00000000-0005-0000-0000-000051040000}"/>
    <cellStyle name="Comma1 - 유형1" xfId="1107" xr:uid="{00000000-0005-0000-0000-000052040000}"/>
    <cellStyle name="Copied" xfId="1108" xr:uid="{00000000-0005-0000-0000-000053040000}"/>
    <cellStyle name="COST1" xfId="1109" xr:uid="{00000000-0005-0000-0000-000054040000}"/>
    <cellStyle name="Curren - 유형2" xfId="1110" xr:uid="{00000000-0005-0000-0000-000055040000}"/>
    <cellStyle name="Curren - 유형5" xfId="1111" xr:uid="{00000000-0005-0000-0000-000056040000}"/>
    <cellStyle name="Curren?_x0012_퐀_x0017_?" xfId="1112" xr:uid="{00000000-0005-0000-0000-000057040000}"/>
    <cellStyle name="Currency" xfId="1113" xr:uid="{00000000-0005-0000-0000-000058040000}"/>
    <cellStyle name="Currency [0]" xfId="1114" xr:uid="{00000000-0005-0000-0000-000059040000}"/>
    <cellStyle name="Currency [0] K" xfId="1115" xr:uid="{00000000-0005-0000-0000-00005A040000}"/>
    <cellStyle name="Currency [0]_ SG&amp;A Bridge " xfId="1116" xr:uid="{00000000-0005-0000-0000-00005B040000}"/>
    <cellStyle name="Currency [00]" xfId="1117" xr:uid="{00000000-0005-0000-0000-00005C040000}"/>
    <cellStyle name="Currency [1]" xfId="1118" xr:uid="{00000000-0005-0000-0000-00005D040000}"/>
    <cellStyle name="currency-$" xfId="1119" xr:uid="{00000000-0005-0000-0000-00005E040000}"/>
    <cellStyle name="Currency_ '96  delivery" xfId="1120" xr:uid="{00000000-0005-0000-0000-00005F040000}"/>
    <cellStyle name="Currency0" xfId="1121" xr:uid="{00000000-0005-0000-0000-000060040000}"/>
    <cellStyle name="Currency1" xfId="1122" xr:uid="{00000000-0005-0000-0000-000061040000}"/>
    <cellStyle name="Currsmall" xfId="1123" xr:uid="{00000000-0005-0000-0000-000062040000}"/>
    <cellStyle name="Curr技ncy [0]_Q4 FY96_PLDT" xfId="1124" xr:uid="{00000000-0005-0000-0000-000063040000}"/>
    <cellStyle name="custom" xfId="1125" xr:uid="{00000000-0005-0000-0000-000064040000}"/>
    <cellStyle name="dak" xfId="1126" xr:uid="{00000000-0005-0000-0000-000065040000}"/>
    <cellStyle name="Date" xfId="1127" xr:uid="{00000000-0005-0000-0000-000066040000}"/>
    <cellStyle name="Date Short" xfId="1128" xr:uid="{00000000-0005-0000-0000-000067040000}"/>
    <cellStyle name="Date_03.2008년 결산명세(경기)" xfId="1129" xr:uid="{00000000-0005-0000-0000-000068040000}"/>
    <cellStyle name="Datum" xfId="1130" xr:uid="{00000000-0005-0000-0000-000069040000}"/>
    <cellStyle name="Dezimal (4)" xfId="1131" xr:uid="{00000000-0005-0000-0000-00006A040000}"/>
    <cellStyle name="Dezimal (6)" xfId="1132" xr:uid="{00000000-0005-0000-0000-00006B040000}"/>
    <cellStyle name="Dezimal [0]_42_FINWE" xfId="1133" xr:uid="{00000000-0005-0000-0000-00006C040000}"/>
    <cellStyle name="Dezimal_42_FINWE" xfId="1134" xr:uid="{00000000-0005-0000-0000-00006D040000}"/>
    <cellStyle name="Dm_unit" xfId="1135" xr:uid="{00000000-0005-0000-0000-00006E040000}"/>
    <cellStyle name="DMY" xfId="1136" xr:uid="{00000000-0005-0000-0000-00006F040000}"/>
    <cellStyle name="Dollar" xfId="1137" xr:uid="{00000000-0005-0000-0000-000070040000}"/>
    <cellStyle name="Dollar (zero dec)" xfId="1138" xr:uid="{00000000-0005-0000-0000-000071040000}"/>
    <cellStyle name="Dollar/mt" xfId="1139" xr:uid="{00000000-0005-0000-0000-000072040000}"/>
    <cellStyle name="Dollar2" xfId="1140" xr:uid="{00000000-0005-0000-0000-000073040000}"/>
    <cellStyle name="Dollar3" xfId="1141" xr:uid="{00000000-0005-0000-0000-000074040000}"/>
    <cellStyle name="Dollars" xfId="1142" xr:uid="{00000000-0005-0000-0000-000075040000}"/>
    <cellStyle name="Dziesietny [0]_Plan inwestycji 2000-2002" xfId="1143" xr:uid="{00000000-0005-0000-0000-000076040000}"/>
    <cellStyle name="Dziesietny_Plan inwestycji 2000-2002" xfId="1144" xr:uid="{00000000-0005-0000-0000-000077040000}"/>
    <cellStyle name="Ea_unit" xfId="1145" xr:uid="{00000000-0005-0000-0000-000078040000}"/>
    <cellStyle name="È­æó±âè£" xfId="1146" xr:uid="{00000000-0005-0000-0000-000079040000}"/>
    <cellStyle name="È­æó±âè£0" xfId="1147" xr:uid="{00000000-0005-0000-0000-00007A040000}"/>
    <cellStyle name="Enter Currency (0)" xfId="1148" xr:uid="{00000000-0005-0000-0000-00007B040000}"/>
    <cellStyle name="Enter Currency (2)" xfId="1149" xr:uid="{00000000-0005-0000-0000-00007C040000}"/>
    <cellStyle name="Enter Units (0)" xfId="1150" xr:uid="{00000000-0005-0000-0000-00007D040000}"/>
    <cellStyle name="Enter Units (1)" xfId="1151" xr:uid="{00000000-0005-0000-0000-00007E040000}"/>
    <cellStyle name="Enter Units (2)" xfId="1152" xr:uid="{00000000-0005-0000-0000-00007F040000}"/>
    <cellStyle name="Entered" xfId="1153" xr:uid="{00000000-0005-0000-0000-000080040000}"/>
    <cellStyle name="Error" xfId="1154" xr:uid="{00000000-0005-0000-0000-000081040000}"/>
    <cellStyle name="estimated price" xfId="1155" xr:uid="{00000000-0005-0000-0000-000082040000}"/>
    <cellStyle name="Euro" xfId="1156" xr:uid="{00000000-0005-0000-0000-000083040000}"/>
    <cellStyle name="EY House" xfId="1157" xr:uid="{00000000-0005-0000-0000-000084040000}"/>
    <cellStyle name="F2" xfId="1158" xr:uid="{00000000-0005-0000-0000-000085040000}"/>
    <cellStyle name="F3" xfId="1159" xr:uid="{00000000-0005-0000-0000-000086040000}"/>
    <cellStyle name="F4" xfId="1160" xr:uid="{00000000-0005-0000-0000-000087040000}"/>
    <cellStyle name="F5" xfId="1161" xr:uid="{00000000-0005-0000-0000-000088040000}"/>
    <cellStyle name="F6" xfId="1162" xr:uid="{00000000-0005-0000-0000-000089040000}"/>
    <cellStyle name="F7" xfId="1163" xr:uid="{00000000-0005-0000-0000-00008A040000}"/>
    <cellStyle name="F8" xfId="1164" xr:uid="{00000000-0005-0000-0000-00008B040000}"/>
    <cellStyle name="FacNo" xfId="1165" xr:uid="{00000000-0005-0000-0000-00008C040000}"/>
    <cellStyle name="Fixed" xfId="1166" xr:uid="{00000000-0005-0000-0000-00008D040000}"/>
    <cellStyle name="Fixed2 - 유형2" xfId="1167" xr:uid="{00000000-0005-0000-0000-00008E040000}"/>
    <cellStyle name="Fixlong" xfId="1168" xr:uid="{00000000-0005-0000-0000-00008F040000}"/>
    <cellStyle name="Followed Hyperlink" xfId="1169" xr:uid="{00000000-0005-0000-0000-000090040000}"/>
    <cellStyle name="Footnote" xfId="1170" xr:uid="{00000000-0005-0000-0000-000091040000}"/>
    <cellStyle name="ƒp[ƒZƒ“ƒg_pldt" xfId="1171" xr:uid="{00000000-0005-0000-0000-000092040000}"/>
    <cellStyle name="Grey" xfId="1172" xr:uid="{00000000-0005-0000-0000-000093040000}"/>
    <cellStyle name="H 1" xfId="1173" xr:uid="{00000000-0005-0000-0000-000094040000}"/>
    <cellStyle name="H 2" xfId="1174" xr:uid="{00000000-0005-0000-0000-000095040000}"/>
    <cellStyle name="HDR" xfId="1175" xr:uid="{00000000-0005-0000-0000-000096040000}"/>
    <cellStyle name="Head1" xfId="1176" xr:uid="{00000000-0005-0000-0000-000097040000}"/>
    <cellStyle name="HEADER" xfId="1177" xr:uid="{00000000-0005-0000-0000-000098040000}"/>
    <cellStyle name="Header - Style1" xfId="1178" xr:uid="{00000000-0005-0000-0000-000099040000}"/>
    <cellStyle name="Header1" xfId="1179" xr:uid="{00000000-0005-0000-0000-00009A040000}"/>
    <cellStyle name="Header2" xfId="1180" xr:uid="{00000000-0005-0000-0000-00009B040000}"/>
    <cellStyle name="HEADING" xfId="1181" xr:uid="{00000000-0005-0000-0000-00009C040000}"/>
    <cellStyle name="Heading 1" xfId="1182" xr:uid="{00000000-0005-0000-0000-00009D040000}"/>
    <cellStyle name="Heading 2" xfId="1183" xr:uid="{00000000-0005-0000-0000-00009E040000}"/>
    <cellStyle name="heading, 1,A MAJOR/BOLD" xfId="1184" xr:uid="{00000000-0005-0000-0000-00009F040000}"/>
    <cellStyle name="Heading_2009년 4월 계정명세서" xfId="1185" xr:uid="{00000000-0005-0000-0000-0000A0040000}"/>
    <cellStyle name="Heading1" xfId="1186" xr:uid="{00000000-0005-0000-0000-0000A1040000}"/>
    <cellStyle name="Heading2" xfId="1187" xr:uid="{00000000-0005-0000-0000-0000A2040000}"/>
    <cellStyle name="hong kong" xfId="1188" xr:uid="{00000000-0005-0000-0000-0000A3040000}"/>
    <cellStyle name="Hyperlink" xfId="1189" xr:uid="{00000000-0005-0000-0000-0000A4040000}"/>
    <cellStyle name="Hyperlink seguido" xfId="1190" xr:uid="{00000000-0005-0000-0000-0000A5040000}"/>
    <cellStyle name="Hyperlink_NEGS" xfId="1191" xr:uid="{00000000-0005-0000-0000-0000A6040000}"/>
    <cellStyle name="Input" xfId="1192" xr:uid="{00000000-0005-0000-0000-0000A7040000}"/>
    <cellStyle name="Input [yellow]" xfId="1193" xr:uid="{00000000-0005-0000-0000-0000A8040000}"/>
    <cellStyle name="Input Cells" xfId="1194" xr:uid="{00000000-0005-0000-0000-0000A9040000}"/>
    <cellStyle name="Kg_unit" xfId="1195" xr:uid="{00000000-0005-0000-0000-0000AA040000}"/>
    <cellStyle name="Kl_unit" xfId="1196" xr:uid="{00000000-0005-0000-0000-0000AB040000}"/>
    <cellStyle name="KPMG Heading 1" xfId="1197" xr:uid="{00000000-0005-0000-0000-0000AC040000}"/>
    <cellStyle name="KPMG Heading 2" xfId="1198" xr:uid="{00000000-0005-0000-0000-0000AD040000}"/>
    <cellStyle name="KPMG Heading 3" xfId="1199" xr:uid="{00000000-0005-0000-0000-0000AE040000}"/>
    <cellStyle name="KPMG Heading 4" xfId="1200" xr:uid="{00000000-0005-0000-0000-0000AF040000}"/>
    <cellStyle name="KPMG Normal" xfId="1201" xr:uid="{00000000-0005-0000-0000-0000B0040000}"/>
    <cellStyle name="KPMG Normal Text" xfId="1202" xr:uid="{00000000-0005-0000-0000-0000B1040000}"/>
    <cellStyle name="Link Currency (0)" xfId="1203" xr:uid="{00000000-0005-0000-0000-0000B2040000}"/>
    <cellStyle name="Link Currency (2)" xfId="1204" xr:uid="{00000000-0005-0000-0000-0000B3040000}"/>
    <cellStyle name="Link Units (0)" xfId="1205" xr:uid="{00000000-0005-0000-0000-0000B4040000}"/>
    <cellStyle name="Link Units (1)" xfId="1206" xr:uid="{00000000-0005-0000-0000-0000B5040000}"/>
    <cellStyle name="Link Units (2)" xfId="1207" xr:uid="{00000000-0005-0000-0000-0000B6040000}"/>
    <cellStyle name="Linked Cells" xfId="1208" xr:uid="{00000000-0005-0000-0000-0000B7040000}"/>
    <cellStyle name="LIST" xfId="1209" xr:uid="{00000000-0005-0000-0000-0000B8040000}"/>
    <cellStyle name="Migliaia (0)_Actu e Piano Maggio98" xfId="1210" xr:uid="{00000000-0005-0000-0000-0000B9040000}"/>
    <cellStyle name="Migliaia_Actu e Piano Maggio98" xfId="1211" xr:uid="{00000000-0005-0000-0000-0000BA040000}"/>
    <cellStyle name="Millares [0]_Arbefec" xfId="1212" xr:uid="{00000000-0005-0000-0000-0000BB040000}"/>
    <cellStyle name="Millares_Arbefec" xfId="1213" xr:uid="{00000000-0005-0000-0000-0000BC040000}"/>
    <cellStyle name="Milliers [0]_!!!GO" xfId="1214" xr:uid="{00000000-0005-0000-0000-0000BD040000}"/>
    <cellStyle name="Milliers_!!!GO" xfId="1215" xr:uid="{00000000-0005-0000-0000-0000BE040000}"/>
    <cellStyle name="Minus" xfId="1216" xr:uid="{00000000-0005-0000-0000-0000BF040000}"/>
    <cellStyle name="Minus(0)" xfId="1217" xr:uid="{00000000-0005-0000-0000-0000C0040000}"/>
    <cellStyle name="Minus(1)" xfId="1218" xr:uid="{00000000-0005-0000-0000-0000C1040000}"/>
    <cellStyle name="Minus2" xfId="1219" xr:uid="{00000000-0005-0000-0000-0000C2040000}"/>
    <cellStyle name="Minus3" xfId="1220" xr:uid="{00000000-0005-0000-0000-0000C3040000}"/>
    <cellStyle name="Model" xfId="1221" xr:uid="{00000000-0005-0000-0000-0000C4040000}"/>
    <cellStyle name="Moeda [0]_aola" xfId="1222" xr:uid="{00000000-0005-0000-0000-0000C5040000}"/>
    <cellStyle name="Moeda_aola" xfId="1223" xr:uid="{00000000-0005-0000-0000-0000C6040000}"/>
    <cellStyle name="Mon?aire [0]_!!!GO" xfId="1224" xr:uid="{00000000-0005-0000-0000-0000C7040000}"/>
    <cellStyle name="Mon?aire_!!!GO" xfId="1225" xr:uid="{00000000-0005-0000-0000-0000C8040000}"/>
    <cellStyle name="Moneda [0]_Arbefec" xfId="1226" xr:uid="{00000000-0005-0000-0000-0000C9040000}"/>
    <cellStyle name="Moneda_Arbefec" xfId="1227" xr:uid="{00000000-0005-0000-0000-0000CA040000}"/>
    <cellStyle name="Monétaire [0]_!!!GO" xfId="1228" xr:uid="{00000000-0005-0000-0000-0000CB040000}"/>
    <cellStyle name="Monétaire_!!!GO" xfId="1229" xr:uid="{00000000-0005-0000-0000-0000CC040000}"/>
    <cellStyle name="Mon騁aire [0]_!!!GO" xfId="1230" xr:uid="{00000000-0005-0000-0000-0000CD040000}"/>
    <cellStyle name="Mon騁aire_!!!GO" xfId="1231" xr:uid="{00000000-0005-0000-0000-0000CE040000}"/>
    <cellStyle name="Mt_unit" xfId="1232" xr:uid="{00000000-0005-0000-0000-0000CF040000}"/>
    <cellStyle name="Multiple" xfId="1233" xr:uid="{00000000-0005-0000-0000-0000D0040000}"/>
    <cellStyle name="Multiple [0]" xfId="1234" xr:uid="{00000000-0005-0000-0000-0000D1040000}"/>
    <cellStyle name="Multiple [1]" xfId="1235" xr:uid="{00000000-0005-0000-0000-0000D2040000}"/>
    <cellStyle name="My-수량" xfId="1236" xr:uid="{00000000-0005-0000-0000-0000D3040000}"/>
    <cellStyle name="new" xfId="1237" xr:uid="{00000000-0005-0000-0000-0000D4040000}"/>
    <cellStyle name="no dec" xfId="1238" xr:uid="{00000000-0005-0000-0000-0000D5040000}"/>
    <cellStyle name="Non défini" xfId="1239" xr:uid="{00000000-0005-0000-0000-0000D6040000}"/>
    <cellStyle name="Norma|_comp.xls Chart 6" xfId="1240" xr:uid="{00000000-0005-0000-0000-0000D7040000}"/>
    <cellStyle name="normal" xfId="1241" xr:uid="{00000000-0005-0000-0000-0000D8040000}"/>
    <cellStyle name="Normal - Formatvorlage1" xfId="1242" xr:uid="{00000000-0005-0000-0000-0000D9040000}"/>
    <cellStyle name="Normal - Formatvorlage2" xfId="1243" xr:uid="{00000000-0005-0000-0000-0000DA040000}"/>
    <cellStyle name="Normal - Formatvorlage3" xfId="1244" xr:uid="{00000000-0005-0000-0000-0000DB040000}"/>
    <cellStyle name="Normal - Formatvorlage4" xfId="1245" xr:uid="{00000000-0005-0000-0000-0000DC040000}"/>
    <cellStyle name="Normal - Formatvorlage5" xfId="1246" xr:uid="{00000000-0005-0000-0000-0000DD040000}"/>
    <cellStyle name="Normal - Formatvorlage6" xfId="1247" xr:uid="{00000000-0005-0000-0000-0000DE040000}"/>
    <cellStyle name="Normal - Formatvorlage7" xfId="1248" xr:uid="{00000000-0005-0000-0000-0000DF040000}"/>
    <cellStyle name="Normal - Formatvorlage8" xfId="1249" xr:uid="{00000000-0005-0000-0000-0000E0040000}"/>
    <cellStyle name="Normal - Style1" xfId="1250" xr:uid="{00000000-0005-0000-0000-0000E1040000}"/>
    <cellStyle name="Normal - Style2" xfId="1251" xr:uid="{00000000-0005-0000-0000-0000E2040000}"/>
    <cellStyle name="Normal - Style3" xfId="1252" xr:uid="{00000000-0005-0000-0000-0000E3040000}"/>
    <cellStyle name="Normal - Style4" xfId="1253" xr:uid="{00000000-0005-0000-0000-0000E4040000}"/>
    <cellStyle name="Normal - Style5" xfId="1254" xr:uid="{00000000-0005-0000-0000-0000E5040000}"/>
    <cellStyle name="Normal - Style6" xfId="1255" xr:uid="{00000000-0005-0000-0000-0000E6040000}"/>
    <cellStyle name="Normal - Style7" xfId="1256" xr:uid="{00000000-0005-0000-0000-0000E7040000}"/>
    <cellStyle name="Normal - Style8" xfId="1257" xr:uid="{00000000-0005-0000-0000-0000E8040000}"/>
    <cellStyle name="Normal - 유형1" xfId="1258" xr:uid="{00000000-0005-0000-0000-0000E9040000}"/>
    <cellStyle name="Normal 5" xfId="1259" xr:uid="{00000000-0005-0000-0000-0000EA040000}"/>
    <cellStyle name="Normal 6" xfId="1260" xr:uid="{00000000-0005-0000-0000-0000EB040000}"/>
    <cellStyle name="Normal 7" xfId="1261" xr:uid="{00000000-0005-0000-0000-0000EC040000}"/>
    <cellStyle name="Normal_ '96  delivery" xfId="1262" xr:uid="{00000000-0005-0000-0000-0000ED040000}"/>
    <cellStyle name="Normal1" xfId="1263" xr:uid="{00000000-0005-0000-0000-0000EE040000}"/>
    <cellStyle name="Normal2" xfId="1264" xr:uid="{00000000-0005-0000-0000-0000EF040000}"/>
    <cellStyle name="Normal3" xfId="1265" xr:uid="{00000000-0005-0000-0000-0000F0040000}"/>
    <cellStyle name="Normal4" xfId="1266" xr:uid="{00000000-0005-0000-0000-0000F1040000}"/>
    <cellStyle name="NormalBlue" xfId="1267" xr:uid="{00000000-0005-0000-0000-0000F2040000}"/>
    <cellStyle name="NormalBold" xfId="1268" xr:uid="{00000000-0005-0000-0000-0000F3040000}"/>
    <cellStyle name="Normale_argenture" xfId="1269" xr:uid="{00000000-0005-0000-0000-0000F4040000}"/>
    <cellStyle name="Normalny_Plan inwestycji 2000-2002" xfId="1270" xr:uid="{00000000-0005-0000-0000-0000F5040000}"/>
    <cellStyle name="Number" xfId="1271" xr:uid="{00000000-0005-0000-0000-0000F6040000}"/>
    <cellStyle name="Obsolete" xfId="1272" xr:uid="{00000000-0005-0000-0000-0000F7040000}"/>
    <cellStyle name="Œ…?æ맖?e [0.00]_laroux" xfId="1273" xr:uid="{00000000-0005-0000-0000-0000F8040000}"/>
    <cellStyle name="Œ…?æ맖?e_laroux" xfId="1274" xr:uid="{00000000-0005-0000-0000-0000F9040000}"/>
    <cellStyle name="Œ…‹æØ‚è [0.00]_pldt" xfId="1275" xr:uid="{00000000-0005-0000-0000-0000FA040000}"/>
    <cellStyle name="Œ…‹æØ‚è_pldt" xfId="1276" xr:uid="{00000000-0005-0000-0000-0000FB040000}"/>
    <cellStyle name="oft Excel]_x000d__x000a_Comment=The open=/f lines load custom functions into the Paste Function list._x000d__x000a_Maximized=3_x000d__x000a_AutoFormat=" xfId="1277" xr:uid="{00000000-0005-0000-0000-0000FC040000}"/>
    <cellStyle name="One-Decimal" xfId="1278" xr:uid="{00000000-0005-0000-0000-0000FD040000}"/>
    <cellStyle name="Output Amounts" xfId="1279" xr:uid="{00000000-0005-0000-0000-0000FE040000}"/>
    <cellStyle name="Output Column Headings" xfId="1280" xr:uid="{00000000-0005-0000-0000-0000FF040000}"/>
    <cellStyle name="Output Line Items" xfId="1281" xr:uid="{00000000-0005-0000-0000-000000050000}"/>
    <cellStyle name="Output Report Heading" xfId="1282" xr:uid="{00000000-0005-0000-0000-000001050000}"/>
    <cellStyle name="Output Report Title" xfId="1283" xr:uid="{00000000-0005-0000-0000-000002050000}"/>
    <cellStyle name="PAL" xfId="1284" xr:uid="{00000000-0005-0000-0000-000003050000}"/>
    <cellStyle name="PARK" xfId="1285" xr:uid="{00000000-0005-0000-0000-000004050000}"/>
    <cellStyle name="per.style" xfId="1286" xr:uid="{00000000-0005-0000-0000-000005050000}"/>
    <cellStyle name="Percen - 유형3" xfId="1287" xr:uid="{00000000-0005-0000-0000-000006050000}"/>
    <cellStyle name="Percent" xfId="1288" xr:uid="{00000000-0005-0000-0000-000007050000}"/>
    <cellStyle name="Percent (.0)" xfId="1289" xr:uid="{00000000-0005-0000-0000-000008050000}"/>
    <cellStyle name="Percent (0)" xfId="1290" xr:uid="{00000000-0005-0000-0000-000009050000}"/>
    <cellStyle name="Percent [0]" xfId="1291" xr:uid="{00000000-0005-0000-0000-00000A050000}"/>
    <cellStyle name="Percent [00]" xfId="1292" xr:uid="{00000000-0005-0000-0000-00000B050000}"/>
    <cellStyle name="Percent [1]" xfId="1293" xr:uid="{00000000-0005-0000-0000-00000C050000}"/>
    <cellStyle name="Percent [2]" xfId="1294" xr:uid="{00000000-0005-0000-0000-00000D050000}"/>
    <cellStyle name="Percent_!!!GO" xfId="1295" xr:uid="{00000000-0005-0000-0000-00000E050000}"/>
    <cellStyle name="Percent0" xfId="1296" xr:uid="{00000000-0005-0000-0000-00000F050000}"/>
    <cellStyle name="Percent1" xfId="1297" xr:uid="{00000000-0005-0000-0000-000010050000}"/>
    <cellStyle name="Percent2" xfId="1298" xr:uid="{00000000-0005-0000-0000-000011050000}"/>
    <cellStyle name="Percent3" xfId="1299" xr:uid="{00000000-0005-0000-0000-000012050000}"/>
    <cellStyle name="percentage" xfId="1300" xr:uid="{00000000-0005-0000-0000-000013050000}"/>
    <cellStyle name="Perlong" xfId="1301" xr:uid="{00000000-0005-0000-0000-000014050000}"/>
    <cellStyle name="PLAN97" xfId="1302" xr:uid="{00000000-0005-0000-0000-000015050000}"/>
    <cellStyle name="Plus" xfId="1303" xr:uid="{00000000-0005-0000-0000-000016050000}"/>
    <cellStyle name="PrePop Currency (0)" xfId="1304" xr:uid="{00000000-0005-0000-0000-000017050000}"/>
    <cellStyle name="PrePop Currency (2)" xfId="1305" xr:uid="{00000000-0005-0000-0000-000018050000}"/>
    <cellStyle name="PrePop Units (0)" xfId="1306" xr:uid="{00000000-0005-0000-0000-000019050000}"/>
    <cellStyle name="PrePop Units (1)" xfId="1307" xr:uid="{00000000-0005-0000-0000-00001A050000}"/>
    <cellStyle name="PrePop Units (2)" xfId="1308" xr:uid="{00000000-0005-0000-0000-00001B050000}"/>
    <cellStyle name="PRICE ADJUSTMENT" xfId="1309" xr:uid="{00000000-0005-0000-0000-00001C050000}"/>
    <cellStyle name="pricing" xfId="1310" xr:uid="{00000000-0005-0000-0000-00001D050000}"/>
    <cellStyle name="Print Titles" xfId="1311" xr:uid="{00000000-0005-0000-0000-00001E050000}"/>
    <cellStyle name="PSChar" xfId="1312" xr:uid="{00000000-0005-0000-0000-00001F050000}"/>
    <cellStyle name="PSDate" xfId="1313" xr:uid="{00000000-0005-0000-0000-000020050000}"/>
    <cellStyle name="PSDec" xfId="1314" xr:uid="{00000000-0005-0000-0000-000021050000}"/>
    <cellStyle name="PSHeading" xfId="1315" xr:uid="{00000000-0005-0000-0000-000022050000}"/>
    <cellStyle name="PSInt" xfId="1316" xr:uid="{00000000-0005-0000-0000-000023050000}"/>
    <cellStyle name="PSSpacer" xfId="1317" xr:uid="{00000000-0005-0000-0000-000024050000}"/>
    <cellStyle name="qbh_x0003__x000c_bh_x0017_&quot;blTT０_x0008__x0003__x0008_?)(일)" xfId="1318" xr:uid="{00000000-0005-0000-0000-000025050000}"/>
    <cellStyle name="qbh_x0003__x000c_bh_x0017_&quot;blTT０_x0008__x0003__x0008_磚)(일)" xfId="1319" xr:uid="{00000000-0005-0000-0000-000026050000}"/>
    <cellStyle name="QDF" xfId="1320" xr:uid="{00000000-0005-0000-0000-000027050000}"/>
    <cellStyle name="Ra" xfId="1321" xr:uid="{00000000-0005-0000-0000-000028050000}"/>
    <cellStyle name="Red,Bold,12pt" xfId="1322" xr:uid="{00000000-0005-0000-0000-000029050000}"/>
    <cellStyle name="Results % 0 dp" xfId="1323" xr:uid="{00000000-0005-0000-0000-00002A050000}"/>
    <cellStyle name="Results % 1 dp" xfId="1324" xr:uid="{00000000-0005-0000-0000-00002B050000}"/>
    <cellStyle name="Results % 2 dp" xfId="1325" xr:uid="{00000000-0005-0000-0000-00002C050000}"/>
    <cellStyle name="Results 0 dp" xfId="1326" xr:uid="{00000000-0005-0000-0000-00002D050000}"/>
    <cellStyle name="Results 2 dp" xfId="1327" xr:uid="{00000000-0005-0000-0000-00002E050000}"/>
    <cellStyle name="Results 3 dp" xfId="1328" xr:uid="{00000000-0005-0000-0000-00002F050000}"/>
    <cellStyle name="Results x 1 dp" xfId="1329" xr:uid="{00000000-0005-0000-0000-000030050000}"/>
    <cellStyle name="Results x 2 dp" xfId="1330" xr:uid="{00000000-0005-0000-0000-000031050000}"/>
    <cellStyle name="RevList" xfId="1331" xr:uid="{00000000-0005-0000-0000-000032050000}"/>
    <cellStyle name="ROOM HEADING" xfId="1332" xr:uid="{00000000-0005-0000-0000-000033050000}"/>
    <cellStyle name="ROOM TOTAL" xfId="1333" xr:uid="{00000000-0005-0000-0000-000034050000}"/>
    <cellStyle name="-S" xfId="1334" xr:uid="{00000000-0005-0000-0000-000035050000}"/>
    <cellStyle name="-S 2" xfId="1335" xr:uid="{00000000-0005-0000-0000-000036050000}"/>
    <cellStyle name="SAPBEXaggData" xfId="1336" xr:uid="{00000000-0005-0000-0000-000037050000}"/>
    <cellStyle name="SDentry" xfId="1337" xr:uid="{00000000-0005-0000-0000-000038050000}"/>
    <cellStyle name="SDheader" xfId="1338" xr:uid="{00000000-0005-0000-0000-000039050000}"/>
    <cellStyle name="Separador de milhares [0]_Person" xfId="1339" xr:uid="{00000000-0005-0000-0000-00003A050000}"/>
    <cellStyle name="Separador de milhares_Person" xfId="1340" xr:uid="{00000000-0005-0000-0000-00003B050000}"/>
    <cellStyle name="SHeader" xfId="1341" xr:uid="{00000000-0005-0000-0000-00003C050000}"/>
    <cellStyle name="Small Print" xfId="1342" xr:uid="{00000000-0005-0000-0000-00003D050000}"/>
    <cellStyle name="STANDARD" xfId="1343" xr:uid="{00000000-0005-0000-0000-00003E050000}"/>
    <cellStyle name="Strictly confidential" xfId="1344" xr:uid="{00000000-0005-0000-0000-00003F050000}"/>
    <cellStyle name="style" xfId="1345" xr:uid="{00000000-0005-0000-0000-000040050000}"/>
    <cellStyle name="style1" xfId="1346" xr:uid="{00000000-0005-0000-0000-000041050000}"/>
    <cellStyle name="style1 - Style1" xfId="1347" xr:uid="{00000000-0005-0000-0000-000042050000}"/>
    <cellStyle name="style2" xfId="1348" xr:uid="{00000000-0005-0000-0000-000043050000}"/>
    <cellStyle name="style2 - Style2" xfId="1349" xr:uid="{00000000-0005-0000-0000-000044050000}"/>
    <cellStyle name="style3 - Style3" xfId="1350" xr:uid="{00000000-0005-0000-0000-000045050000}"/>
    <cellStyle name="style4 - Style4" xfId="1351" xr:uid="{00000000-0005-0000-0000-000046050000}"/>
    <cellStyle name="subhead" xfId="1352" xr:uid="{00000000-0005-0000-0000-000047050000}"/>
    <cellStyle name="Subtotal" xfId="1353" xr:uid="{00000000-0005-0000-0000-000048050000}"/>
    <cellStyle name="Switch" xfId="1354" xr:uid="{00000000-0005-0000-0000-000049050000}"/>
    <cellStyle name="T０_x0008__x0003__x0008_?)(일)" xfId="1355" xr:uid="{00000000-0005-0000-0000-00004A050000}"/>
    <cellStyle name="T０_x0008__x0003__x0008_磚)(일)" xfId="1356" xr:uid="{00000000-0005-0000-0000-00004B050000}"/>
    <cellStyle name="Table" xfId="1357" xr:uid="{00000000-0005-0000-0000-00004C050000}"/>
    <cellStyle name="TB" xfId="1358" xr:uid="{00000000-0005-0000-0000-00004D050000}"/>
    <cellStyle name="TBdp" xfId="1359" xr:uid="{00000000-0005-0000-0000-00004E050000}"/>
    <cellStyle name="Text Indent A" xfId="1360" xr:uid="{00000000-0005-0000-0000-00004F050000}"/>
    <cellStyle name="Text Indent B" xfId="1361" xr:uid="{00000000-0005-0000-0000-000050050000}"/>
    <cellStyle name="Text Indent C" xfId="1362" xr:uid="{00000000-0005-0000-0000-000051050000}"/>
    <cellStyle name="þ_x001d_ð &amp;뛹?†yG_x0008__x0009_X_x000a__x0007__x0001__x0001_" xfId="1363" xr:uid="{00000000-0005-0000-0000-000052050000}"/>
    <cellStyle name="þ_x001d_ð &amp;뛹?†yG_x0008__x0009_X_x000a__x0007__x0001__x0001_ 2" xfId="1364" xr:uid="{00000000-0005-0000-0000-000053050000}"/>
    <cellStyle name="þ_x001d_ð'&amp;Oy?Hy9_x0008__x000f__x0007_æ_x0007__x0007__x0001__x0001_" xfId="1365" xr:uid="{00000000-0005-0000-0000-000054050000}"/>
    <cellStyle name="þ_x001d_ð'&amp;Oy?Hy9_x0008__x000f__x0007_æ_x0007__x0007__x0001__x0001_ 2" xfId="1366" xr:uid="{00000000-0005-0000-0000-000055050000}"/>
    <cellStyle name="Tick" xfId="1367" xr:uid="{00000000-0005-0000-0000-000056050000}"/>
    <cellStyle name="Tickmark" xfId="1368" xr:uid="{00000000-0005-0000-0000-000057050000}"/>
    <cellStyle name="Title" xfId="1369" xr:uid="{00000000-0005-0000-0000-000058050000}"/>
    <cellStyle name="title [1]" xfId="1370" xr:uid="{00000000-0005-0000-0000-000059050000}"/>
    <cellStyle name="title [2]" xfId="1371" xr:uid="{00000000-0005-0000-0000-00005A050000}"/>
    <cellStyle name="Title2" xfId="1372" xr:uid="{00000000-0005-0000-0000-00005B050000}"/>
    <cellStyle name="Total" xfId="1373" xr:uid="{00000000-0005-0000-0000-00005C050000}"/>
    <cellStyle name="Tusental_NPV" xfId="1374" xr:uid="{00000000-0005-0000-0000-00005D050000}"/>
    <cellStyle name="Unprotect" xfId="1375" xr:uid="{00000000-0005-0000-0000-00005E050000}"/>
    <cellStyle name="V?gula_VERA" xfId="1376" xr:uid="{00000000-0005-0000-0000-00005F050000}"/>
    <cellStyle name="Valuta (0)_Actu e Piano Maggio98" xfId="1377" xr:uid="{00000000-0005-0000-0000-000060050000}"/>
    <cellStyle name="Valuta_Actu e Piano Maggio98" xfId="1378" xr:uid="{00000000-0005-0000-0000-000061050000}"/>
    <cellStyle name="W?rung [0]_42_FINWE" xfId="1379" xr:uid="{00000000-0005-0000-0000-000062050000}"/>
    <cellStyle name="W?rung_42_FINWE" xfId="1380" xr:uid="{00000000-0005-0000-0000-000063050000}"/>
    <cellStyle name="Währung [0]_AFA_MJP 97-99 S'berg" xfId="1381" xr:uid="{00000000-0005-0000-0000-000064050000}"/>
    <cellStyle name="Währung_AFA_MJP 97-99 S'berg" xfId="1382" xr:uid="{00000000-0005-0000-0000-000065050000}"/>
    <cellStyle name="Walutowy [0]_Plan inwestycji 2000-2002" xfId="1383" xr:uid="{00000000-0005-0000-0000-000066050000}"/>
    <cellStyle name="Walutowy_Plan inwestycji 2000-2002" xfId="1384" xr:uid="{00000000-0005-0000-0000-000067050000}"/>
    <cellStyle name="WHead - Style2" xfId="1385" xr:uid="{00000000-0005-0000-0000-000068050000}"/>
    <cellStyle name="Won" xfId="1386" xr:uid="{00000000-0005-0000-0000-000069050000}"/>
    <cellStyle name="Won2" xfId="1387" xr:uid="{00000000-0005-0000-0000-00006A050000}"/>
    <cellStyle name="YearHeader" xfId="1388" xr:uid="{00000000-0005-0000-0000-00006B050000}"/>
    <cellStyle name="Yen" xfId="1389" xr:uid="{00000000-0005-0000-0000-00006C050000}"/>
    <cellStyle name="Yen2" xfId="1390" xr:uid="{00000000-0005-0000-0000-00006D050000}"/>
    <cellStyle name="Yen3" xfId="1391" xr:uid="{00000000-0005-0000-0000-00006E050000}"/>
    <cellStyle name="ハイパーリンク" xfId="1392" xr:uid="{00000000-0005-0000-0000-00006F050000}"/>
    <cellStyle name=" [0.00]_sm001(kashiwa) " xfId="1393" xr:uid="{00000000-0005-0000-0000-000070050000}"/>
    <cellStyle name="_sm001(kashiwa) " xfId="1394" xr:uid="{00000000-0005-0000-0000-000071050000}"/>
    <cellStyle name="?_sm001(kashiwa) " xfId="1395" xr:uid="{00000000-0005-0000-0000-000072050000}"/>
    <cellStyle name="강조색1 2" xfId="1396" xr:uid="{00000000-0005-0000-0000-000073050000}"/>
    <cellStyle name="강조색1 3" xfId="1397" xr:uid="{00000000-0005-0000-0000-000074050000}"/>
    <cellStyle name="강조색2 2" xfId="1398" xr:uid="{00000000-0005-0000-0000-000075050000}"/>
    <cellStyle name="강조색2 3" xfId="1399" xr:uid="{00000000-0005-0000-0000-000076050000}"/>
    <cellStyle name="강조색3 2" xfId="1400" xr:uid="{00000000-0005-0000-0000-000077050000}"/>
    <cellStyle name="강조색3 3" xfId="1401" xr:uid="{00000000-0005-0000-0000-000078050000}"/>
    <cellStyle name="강조색4 2" xfId="1402" xr:uid="{00000000-0005-0000-0000-000079050000}"/>
    <cellStyle name="강조색4 3" xfId="1403" xr:uid="{00000000-0005-0000-0000-00007A050000}"/>
    <cellStyle name="강조색5 2" xfId="1404" xr:uid="{00000000-0005-0000-0000-00007B050000}"/>
    <cellStyle name="강조색5 3" xfId="1405" xr:uid="{00000000-0005-0000-0000-00007C050000}"/>
    <cellStyle name="강조색6 2" xfId="1406" xr:uid="{00000000-0005-0000-0000-00007D050000}"/>
    <cellStyle name="강조색6 3" xfId="1407" xr:uid="{00000000-0005-0000-0000-00007E050000}"/>
    <cellStyle name="경고문 2" xfId="1408" xr:uid="{00000000-0005-0000-0000-00007F050000}"/>
    <cellStyle name="경고문 3" xfId="1409" xr:uid="{00000000-0005-0000-0000-000080050000}"/>
    <cellStyle name="계산 2" xfId="1410" xr:uid="{00000000-0005-0000-0000-000081050000}"/>
    <cellStyle name="계산 3" xfId="1411" xr:uid="{00000000-0005-0000-0000-000082050000}"/>
    <cellStyle name="계정과목" xfId="1412" xr:uid="{00000000-0005-0000-0000-000083050000}"/>
    <cellStyle name="고정소숫점" xfId="1413" xr:uid="{00000000-0005-0000-0000-000084050000}"/>
    <cellStyle name="고정출력1" xfId="1414" xr:uid="{00000000-0005-0000-0000-000085050000}"/>
    <cellStyle name="고정출력2" xfId="1415" xr:uid="{00000000-0005-0000-0000-000086050000}"/>
    <cellStyle name="괄호금액" xfId="1416" xr:uid="{00000000-0005-0000-0000-000087050000}"/>
    <cellStyle name="咬訌裝?INCOM1" xfId="1417" xr:uid="{00000000-0005-0000-0000-000088050000}"/>
    <cellStyle name="咬訌裝?INCOM10" xfId="1418" xr:uid="{00000000-0005-0000-0000-000089050000}"/>
    <cellStyle name="咬訌裝?INCOM2" xfId="1419" xr:uid="{00000000-0005-0000-0000-00008A050000}"/>
    <cellStyle name="咬訌裝?INCOM3" xfId="1420" xr:uid="{00000000-0005-0000-0000-00008B050000}"/>
    <cellStyle name="咬訌裝?INCOM4" xfId="1421" xr:uid="{00000000-0005-0000-0000-00008C050000}"/>
    <cellStyle name="咬訌裝?INCOM5" xfId="1422" xr:uid="{00000000-0005-0000-0000-00008D050000}"/>
    <cellStyle name="咬訌裝?INCOM6" xfId="1423" xr:uid="{00000000-0005-0000-0000-00008E050000}"/>
    <cellStyle name="咬訌裝?INCOM7" xfId="1424" xr:uid="{00000000-0005-0000-0000-00008F050000}"/>
    <cellStyle name="咬訌裝?INCOM8" xfId="1425" xr:uid="{00000000-0005-0000-0000-000090050000}"/>
    <cellStyle name="咬訌裝?INCOM9" xfId="1426" xr:uid="{00000000-0005-0000-0000-000091050000}"/>
    <cellStyle name="咬訌裝?laroux" xfId="1427" xr:uid="{00000000-0005-0000-0000-000092050000}"/>
    <cellStyle name="咬訌裝?PRIB11" xfId="1428" xr:uid="{00000000-0005-0000-0000-000093050000}"/>
    <cellStyle name="咬訌裝?report-2 " xfId="1429" xr:uid="{00000000-0005-0000-0000-000094050000}"/>
    <cellStyle name="금액" xfId="1430" xr:uid="{00000000-0005-0000-0000-000095050000}"/>
    <cellStyle name="긪귽긬?깏깛긏" xfId="1431" xr:uid="{00000000-0005-0000-0000-000096050000}"/>
    <cellStyle name="김" xfId="1432" xr:uid="{00000000-0005-0000-0000-000097050000}"/>
    <cellStyle name="나쁨" xfId="1433" builtinId="27"/>
    <cellStyle name="나쁨 2" xfId="1434" xr:uid="{00000000-0005-0000-0000-000099050000}"/>
    <cellStyle name="나쁨 3" xfId="1435" xr:uid="{00000000-0005-0000-0000-00009A050000}"/>
    <cellStyle name="나열번호" xfId="1436" xr:uid="{00000000-0005-0000-0000-00009B050000}"/>
    <cellStyle name="날짜" xfId="1437" xr:uid="{00000000-0005-0000-0000-00009C050000}"/>
    <cellStyle name="내문서" xfId="1438" xr:uid="{00000000-0005-0000-0000-00009D050000}"/>
    <cellStyle name="내양식" xfId="1439" xr:uid="{00000000-0005-0000-0000-00009E050000}"/>
    <cellStyle name="달러" xfId="1440" xr:uid="{00000000-0005-0000-0000-00009F050000}"/>
    <cellStyle name="돋움" xfId="1441" xr:uid="{00000000-0005-0000-0000-0000A0050000}"/>
    <cellStyle name="逗壯章荻渾 [0]_laroux" xfId="1442" xr:uid="{00000000-0005-0000-0000-0000A1050000}"/>
    <cellStyle name="逗壯章荻渾_laroux" xfId="1443" xr:uid="{00000000-0005-0000-0000-0000A2050000}"/>
    <cellStyle name="뒤에 오는 하이퍼링크" xfId="1444" xr:uid="{00000000-0005-0000-0000-0000A3050000}"/>
    <cellStyle name="똿떓죶Ø괻 [0.00]_PRODUCT DETAIL Q1" xfId="1445" xr:uid="{00000000-0005-0000-0000-0000A4050000}"/>
    <cellStyle name="똿떓죶Ø괻_PRODUCT DETAIL Q1" xfId="1446" xr:uid="{00000000-0005-0000-0000-0000A5050000}"/>
    <cellStyle name="똿뗦먛귟 [0.00]_9703JPY" xfId="1447" xr:uid="{00000000-0005-0000-0000-0000A6050000}"/>
    <cellStyle name="똿뗦먛귟_9703JPY" xfId="1448" xr:uid="{00000000-0005-0000-0000-0000A7050000}"/>
    <cellStyle name="메모 2" xfId="1449" xr:uid="{00000000-0005-0000-0000-0000A8050000}"/>
    <cellStyle name="메모 3" xfId="1450" xr:uid="{00000000-0005-0000-0000-0000A9050000}"/>
    <cellStyle name="묮뎋 [0.00]_PRODUCT DETAIL Q1" xfId="1451" xr:uid="{00000000-0005-0000-0000-0000AA050000}"/>
    <cellStyle name="묮뎋_PRODUCT DETAIL Q1" xfId="1452" xr:uid="{00000000-0005-0000-0000-0000AB050000}"/>
    <cellStyle name="문자열" xfId="1453" xr:uid="{00000000-0005-0000-0000-0000AC050000}"/>
    <cellStyle name="믅됞 [0.00]_9703JPY" xfId="1454" xr:uid="{00000000-0005-0000-0000-0000AD050000}"/>
    <cellStyle name="믅됞_9703JPY" xfId="1455" xr:uid="{00000000-0005-0000-0000-0000AE050000}"/>
    <cellStyle name="바깥" xfId="1456" xr:uid="{00000000-0005-0000-0000-0000AF050000}"/>
    <cellStyle name="백 " xfId="1457" xr:uid="{00000000-0005-0000-0000-0000B0050000}"/>
    <cellStyle name="백분율" xfId="1458" builtinId="5"/>
    <cellStyle name="백분율 [0]" xfId="1459" xr:uid="{00000000-0005-0000-0000-0000B2050000}"/>
    <cellStyle name="백분율 [2]" xfId="1460" xr:uid="{00000000-0005-0000-0000-0000B3050000}"/>
    <cellStyle name="백분율 2" xfId="1461" xr:uid="{00000000-0005-0000-0000-0000B4050000}"/>
    <cellStyle name="백분율 2 2" xfId="1462" xr:uid="{00000000-0005-0000-0000-0000B5050000}"/>
    <cellStyle name="백분율 2 2 2" xfId="1463" xr:uid="{00000000-0005-0000-0000-0000B6050000}"/>
    <cellStyle name="백분율 2 2 3" xfId="1464" xr:uid="{00000000-0005-0000-0000-0000B7050000}"/>
    <cellStyle name="백분율 2 2 4" xfId="2036" xr:uid="{00000000-0005-0000-0000-0000B8050000}"/>
    <cellStyle name="백분율 2 3" xfId="1465" xr:uid="{00000000-0005-0000-0000-0000B9050000}"/>
    <cellStyle name="백분율 2 4" xfId="1466" xr:uid="{00000000-0005-0000-0000-0000BA050000}"/>
    <cellStyle name="백분율 2 5" xfId="1467" xr:uid="{00000000-0005-0000-0000-0000BB050000}"/>
    <cellStyle name="백분율 3" xfId="1468" xr:uid="{00000000-0005-0000-0000-0000BC050000}"/>
    <cellStyle name="백분율 3 2" xfId="1469" xr:uid="{00000000-0005-0000-0000-0000BD050000}"/>
    <cellStyle name="백분율 3 2 2" xfId="2035" xr:uid="{00000000-0005-0000-0000-0000BE050000}"/>
    <cellStyle name="백분율 3 3" xfId="2031" xr:uid="{00000000-0005-0000-0000-0000BF050000}"/>
    <cellStyle name="백분율 4" xfId="1470" xr:uid="{00000000-0005-0000-0000-0000C0050000}"/>
    <cellStyle name="백분율 5" xfId="1471" xr:uid="{00000000-0005-0000-0000-0000C1050000}"/>
    <cellStyle name="백분율 유형(&amp;P)" xfId="1472" xr:uid="{00000000-0005-0000-0000-0000C2050000}"/>
    <cellStyle name="백분율유형(1)" xfId="1473" xr:uid="{00000000-0005-0000-0000-0000C3050000}"/>
    <cellStyle name="보통 2" xfId="1474" xr:uid="{00000000-0005-0000-0000-0000C4050000}"/>
    <cellStyle name="보통 3" xfId="1475" xr:uid="{00000000-0005-0000-0000-0000C5050000}"/>
    <cellStyle name="뷭?_ 뽑裳쾴C둖" xfId="1476" xr:uid="{00000000-0005-0000-0000-0000C6050000}"/>
    <cellStyle name="븿뗦먛귟_PRODUCT DETAIL Q1" xfId="1477" xr:uid="{00000000-0005-0000-0000-0000C7050000}"/>
    <cellStyle name="삼일-금지" xfId="1478" xr:uid="{00000000-0005-0000-0000-0000C8050000}"/>
    <cellStyle name="삼일-입력" xfId="1479" xr:uid="{00000000-0005-0000-0000-0000C9050000}"/>
    <cellStyle name="常规_12.31" xfId="1480" xr:uid="{00000000-0005-0000-0000-0000CA050000}"/>
    <cellStyle name="새귑[0]_롤痰삠悧 " xfId="1481" xr:uid="{00000000-0005-0000-0000-0000CB050000}"/>
    <cellStyle name="새귑_롤痰삠悧 " xfId="1482" xr:uid="{00000000-0005-0000-0000-0000CC050000}"/>
    <cellStyle name="선택영역의 가운데로" xfId="1483" xr:uid="{00000000-0005-0000-0000-0000CD050000}"/>
    <cellStyle name="설계서-내용" xfId="1484" xr:uid="{00000000-0005-0000-0000-0000CE050000}"/>
    <cellStyle name="설계서-내용-소수점" xfId="1485" xr:uid="{00000000-0005-0000-0000-0000CF050000}"/>
    <cellStyle name="설계서-내용-우" xfId="1486" xr:uid="{00000000-0005-0000-0000-0000D0050000}"/>
    <cellStyle name="설계서-내용-좌" xfId="1487" xr:uid="{00000000-0005-0000-0000-0000D1050000}"/>
    <cellStyle name="설계서-소제목" xfId="1488" xr:uid="{00000000-0005-0000-0000-0000D2050000}"/>
    <cellStyle name="설계서-타이틀" xfId="1489" xr:uid="{00000000-0005-0000-0000-0000D3050000}"/>
    <cellStyle name="설계서-항목" xfId="1490" xr:uid="{00000000-0005-0000-0000-0000D4050000}"/>
    <cellStyle name="설명 텍스트 2" xfId="1491" xr:uid="{00000000-0005-0000-0000-0000D5050000}"/>
    <cellStyle name="설명 텍스트 3" xfId="1492" xr:uid="{00000000-0005-0000-0000-0000D6050000}"/>
    <cellStyle name="셀 확인 2" xfId="1493" xr:uid="{00000000-0005-0000-0000-0000D7050000}"/>
    <cellStyle name="셀 확인 3" xfId="1494" xr:uid="{00000000-0005-0000-0000-0000D8050000}"/>
    <cellStyle name="숫자" xfId="1495" xr:uid="{00000000-0005-0000-0000-0000D9050000}"/>
    <cellStyle name="숫자(R)" xfId="1496" xr:uid="{00000000-0005-0000-0000-0000DA050000}"/>
    <cellStyle name="숫자_삼각형[0-]" xfId="1497" xr:uid="{00000000-0005-0000-0000-0000DB050000}"/>
    <cellStyle name="쉼표 [0]" xfId="1498" builtinId="6"/>
    <cellStyle name="쉼표 [0] 10" xfId="1499" xr:uid="{00000000-0005-0000-0000-0000DD050000}"/>
    <cellStyle name="쉼표 [0] 10 2" xfId="1500" xr:uid="{00000000-0005-0000-0000-0000DE050000}"/>
    <cellStyle name="쉼표 [0] 10 2 2" xfId="1501" xr:uid="{00000000-0005-0000-0000-0000DF050000}"/>
    <cellStyle name="쉼표 [0] 10 3" xfId="1502" xr:uid="{00000000-0005-0000-0000-0000E0050000}"/>
    <cellStyle name="쉼표 [0] 103" xfId="1503" xr:uid="{00000000-0005-0000-0000-0000E1050000}"/>
    <cellStyle name="쉼표 [0] 103 2" xfId="1504" xr:uid="{00000000-0005-0000-0000-0000E2050000}"/>
    <cellStyle name="쉼표 [0] 11" xfId="1505" xr:uid="{00000000-0005-0000-0000-0000E3050000}"/>
    <cellStyle name="쉼표 [0] 11 2" xfId="1506" xr:uid="{00000000-0005-0000-0000-0000E4050000}"/>
    <cellStyle name="쉼표 [0] 115" xfId="1507" xr:uid="{00000000-0005-0000-0000-0000E5050000}"/>
    <cellStyle name="쉼표 [0] 115 2" xfId="1508" xr:uid="{00000000-0005-0000-0000-0000E6050000}"/>
    <cellStyle name="쉼표 [0] 116" xfId="1509" xr:uid="{00000000-0005-0000-0000-0000E7050000}"/>
    <cellStyle name="쉼표 [0] 116 2" xfId="1510" xr:uid="{00000000-0005-0000-0000-0000E8050000}"/>
    <cellStyle name="쉼표 [0] 12" xfId="1511" xr:uid="{00000000-0005-0000-0000-0000E9050000}"/>
    <cellStyle name="쉼표 [0] 12 2" xfId="1512" xr:uid="{00000000-0005-0000-0000-0000EA050000}"/>
    <cellStyle name="쉼표 [0] 126" xfId="1513" xr:uid="{00000000-0005-0000-0000-0000EB050000}"/>
    <cellStyle name="쉼표 [0] 126 2" xfId="1514" xr:uid="{00000000-0005-0000-0000-0000EC050000}"/>
    <cellStyle name="쉼표 [0] 13" xfId="1515" xr:uid="{00000000-0005-0000-0000-0000ED050000}"/>
    <cellStyle name="쉼표 [0] 13 2" xfId="1516" xr:uid="{00000000-0005-0000-0000-0000EE050000}"/>
    <cellStyle name="쉼표 [0] 14" xfId="1517" xr:uid="{00000000-0005-0000-0000-0000EF050000}"/>
    <cellStyle name="쉼표 [0] 14 2" xfId="1518" xr:uid="{00000000-0005-0000-0000-0000F0050000}"/>
    <cellStyle name="쉼표 [0] 15" xfId="1519" xr:uid="{00000000-0005-0000-0000-0000F1050000}"/>
    <cellStyle name="쉼표 [0] 15 2" xfId="1520" xr:uid="{00000000-0005-0000-0000-0000F2050000}"/>
    <cellStyle name="쉼표 [0] 16" xfId="1521" xr:uid="{00000000-0005-0000-0000-0000F3050000}"/>
    <cellStyle name="쉼표 [0] 16 2" xfId="1522" xr:uid="{00000000-0005-0000-0000-0000F4050000}"/>
    <cellStyle name="쉼표 [0] 17" xfId="1523" xr:uid="{00000000-0005-0000-0000-0000F5050000}"/>
    <cellStyle name="쉼표 [0] 17 2" xfId="1524" xr:uid="{00000000-0005-0000-0000-0000F6050000}"/>
    <cellStyle name="쉼표 [0] 17 4" xfId="2020" xr:uid="{00000000-0005-0000-0000-0000F7050000}"/>
    <cellStyle name="쉼표 [0] 18" xfId="1525" xr:uid="{00000000-0005-0000-0000-0000F8050000}"/>
    <cellStyle name="쉼표 [0] 18 2" xfId="1526" xr:uid="{00000000-0005-0000-0000-0000F9050000}"/>
    <cellStyle name="쉼표 [0] 19" xfId="1527" xr:uid="{00000000-0005-0000-0000-0000FA050000}"/>
    <cellStyle name="쉼표 [0] 19 2" xfId="1528" xr:uid="{00000000-0005-0000-0000-0000FB050000}"/>
    <cellStyle name="쉼표 [0] 2" xfId="1529" xr:uid="{00000000-0005-0000-0000-0000FC050000}"/>
    <cellStyle name="쉼표 [0] 2 2" xfId="1530" xr:uid="{00000000-0005-0000-0000-0000FD050000}"/>
    <cellStyle name="쉼표 [0] 2 2 2" xfId="1531" xr:uid="{00000000-0005-0000-0000-0000FE050000}"/>
    <cellStyle name="쉼표 [0] 2 2 2 2" xfId="1532" xr:uid="{00000000-0005-0000-0000-0000FF050000}"/>
    <cellStyle name="쉼표 [0] 2 2 2 2 2" xfId="1533" xr:uid="{00000000-0005-0000-0000-000000060000}"/>
    <cellStyle name="쉼표 [0] 2 2 2 3" xfId="1534" xr:uid="{00000000-0005-0000-0000-000001060000}"/>
    <cellStyle name="쉼표 [0] 2 2 3" xfId="1535" xr:uid="{00000000-0005-0000-0000-000002060000}"/>
    <cellStyle name="쉼표 [0] 2 2 3 2" xfId="1536" xr:uid="{00000000-0005-0000-0000-000003060000}"/>
    <cellStyle name="쉼표 [0] 2 2 4" xfId="1537" xr:uid="{00000000-0005-0000-0000-000004060000}"/>
    <cellStyle name="쉼표 [0] 2 2 5" xfId="2037" xr:uid="{00000000-0005-0000-0000-000005060000}"/>
    <cellStyle name="쉼표 [0] 2 3" xfId="1538" xr:uid="{00000000-0005-0000-0000-000006060000}"/>
    <cellStyle name="쉼표 [0] 2 3 2" xfId="1539" xr:uid="{00000000-0005-0000-0000-000007060000}"/>
    <cellStyle name="쉼표 [0] 2 4" xfId="1540" xr:uid="{00000000-0005-0000-0000-000008060000}"/>
    <cellStyle name="쉼표 [0] 2 4 2" xfId="1541" xr:uid="{00000000-0005-0000-0000-000009060000}"/>
    <cellStyle name="쉼표 [0] 2 5" xfId="1542" xr:uid="{00000000-0005-0000-0000-00000A060000}"/>
    <cellStyle name="쉼표 [0] 2 5 2" xfId="1543" xr:uid="{00000000-0005-0000-0000-00000B060000}"/>
    <cellStyle name="쉼표 [0] 2 6" xfId="1544" xr:uid="{00000000-0005-0000-0000-00000C060000}"/>
    <cellStyle name="쉼표 [0] 2 7" xfId="2024" xr:uid="{00000000-0005-0000-0000-00000D060000}"/>
    <cellStyle name="쉼표 [0] 20" xfId="1545" xr:uid="{00000000-0005-0000-0000-00000E060000}"/>
    <cellStyle name="쉼표 [0] 20 2" xfId="1546" xr:uid="{00000000-0005-0000-0000-00000F060000}"/>
    <cellStyle name="쉼표 [0] 21" xfId="1547" xr:uid="{00000000-0005-0000-0000-000010060000}"/>
    <cellStyle name="쉼표 [0] 21 2" xfId="1548" xr:uid="{00000000-0005-0000-0000-000011060000}"/>
    <cellStyle name="쉼표 [0] 22" xfId="1549" xr:uid="{00000000-0005-0000-0000-000012060000}"/>
    <cellStyle name="쉼표 [0] 22 2" xfId="1550" xr:uid="{00000000-0005-0000-0000-000013060000}"/>
    <cellStyle name="쉼표 [0] 23" xfId="1551" xr:uid="{00000000-0005-0000-0000-000014060000}"/>
    <cellStyle name="쉼표 [0] 23 2" xfId="1552" xr:uid="{00000000-0005-0000-0000-000015060000}"/>
    <cellStyle name="쉼표 [0] 24" xfId="1553" xr:uid="{00000000-0005-0000-0000-000016060000}"/>
    <cellStyle name="쉼표 [0] 24 2" xfId="1554" xr:uid="{00000000-0005-0000-0000-000017060000}"/>
    <cellStyle name="쉼표 [0] 25" xfId="1555" xr:uid="{00000000-0005-0000-0000-000018060000}"/>
    <cellStyle name="쉼표 [0] 25 2" xfId="1556" xr:uid="{00000000-0005-0000-0000-000019060000}"/>
    <cellStyle name="쉼표 [0] 26" xfId="1557" xr:uid="{00000000-0005-0000-0000-00001A060000}"/>
    <cellStyle name="쉼표 [0] 26 2" xfId="1558" xr:uid="{00000000-0005-0000-0000-00001B060000}"/>
    <cellStyle name="쉼표 [0] 27" xfId="1559" xr:uid="{00000000-0005-0000-0000-00001C060000}"/>
    <cellStyle name="쉼표 [0] 27 2" xfId="1560" xr:uid="{00000000-0005-0000-0000-00001D060000}"/>
    <cellStyle name="쉼표 [0] 28" xfId="1561" xr:uid="{00000000-0005-0000-0000-00001E060000}"/>
    <cellStyle name="쉼표 [0] 28 2" xfId="1562" xr:uid="{00000000-0005-0000-0000-00001F060000}"/>
    <cellStyle name="쉼표 [0] 29" xfId="1563" xr:uid="{00000000-0005-0000-0000-000020060000}"/>
    <cellStyle name="쉼표 [0] 29 2" xfId="1564" xr:uid="{00000000-0005-0000-0000-000021060000}"/>
    <cellStyle name="쉼표 [0] 3" xfId="1565" xr:uid="{00000000-0005-0000-0000-000022060000}"/>
    <cellStyle name="쉼표 [0] 3 2" xfId="1566" xr:uid="{00000000-0005-0000-0000-000023060000}"/>
    <cellStyle name="쉼표 [0] 3 2 2" xfId="1567" xr:uid="{00000000-0005-0000-0000-000024060000}"/>
    <cellStyle name="쉼표 [0] 3 2 3" xfId="2033" xr:uid="{00000000-0005-0000-0000-000025060000}"/>
    <cellStyle name="쉼표 [0] 3 3" xfId="1568" xr:uid="{00000000-0005-0000-0000-000026060000}"/>
    <cellStyle name="쉼표 [0] 3 3 2" xfId="1569" xr:uid="{00000000-0005-0000-0000-000027060000}"/>
    <cellStyle name="쉼표 [0] 30" xfId="1570" xr:uid="{00000000-0005-0000-0000-000028060000}"/>
    <cellStyle name="쉼표 [0] 30 2" xfId="1571" xr:uid="{00000000-0005-0000-0000-000029060000}"/>
    <cellStyle name="쉼표 [0] 31" xfId="1572" xr:uid="{00000000-0005-0000-0000-00002A060000}"/>
    <cellStyle name="쉼표 [0] 31 2" xfId="1573" xr:uid="{00000000-0005-0000-0000-00002B060000}"/>
    <cellStyle name="쉼표 [0] 32" xfId="1574" xr:uid="{00000000-0005-0000-0000-00002C060000}"/>
    <cellStyle name="쉼표 [0] 32 2" xfId="1575" xr:uid="{00000000-0005-0000-0000-00002D060000}"/>
    <cellStyle name="쉼표 [0] 33" xfId="1576" xr:uid="{00000000-0005-0000-0000-00002E060000}"/>
    <cellStyle name="쉼표 [0] 33 2" xfId="1577" xr:uid="{00000000-0005-0000-0000-00002F060000}"/>
    <cellStyle name="쉼표 [0] 34" xfId="1578" xr:uid="{00000000-0005-0000-0000-000030060000}"/>
    <cellStyle name="쉼표 [0] 34 2" xfId="1579" xr:uid="{00000000-0005-0000-0000-000031060000}"/>
    <cellStyle name="쉼표 [0] 35" xfId="1580" xr:uid="{00000000-0005-0000-0000-000032060000}"/>
    <cellStyle name="쉼표 [0] 35 2" xfId="1581" xr:uid="{00000000-0005-0000-0000-000033060000}"/>
    <cellStyle name="쉼표 [0] 36" xfId="1582" xr:uid="{00000000-0005-0000-0000-000034060000}"/>
    <cellStyle name="쉼표 [0] 36 2" xfId="1583" xr:uid="{00000000-0005-0000-0000-000035060000}"/>
    <cellStyle name="쉼표 [0] 37" xfId="1584" xr:uid="{00000000-0005-0000-0000-000036060000}"/>
    <cellStyle name="쉼표 [0] 37 2" xfId="1585" xr:uid="{00000000-0005-0000-0000-000037060000}"/>
    <cellStyle name="쉼표 [0] 38" xfId="1586" xr:uid="{00000000-0005-0000-0000-000038060000}"/>
    <cellStyle name="쉼표 [0] 38 2" xfId="1587" xr:uid="{00000000-0005-0000-0000-000039060000}"/>
    <cellStyle name="쉼표 [0] 39" xfId="1588" xr:uid="{00000000-0005-0000-0000-00003A060000}"/>
    <cellStyle name="쉼표 [0] 39 2" xfId="1589" xr:uid="{00000000-0005-0000-0000-00003B060000}"/>
    <cellStyle name="쉼표 [0] 4" xfId="1590" xr:uid="{00000000-0005-0000-0000-00003C060000}"/>
    <cellStyle name="쉼표 [0] 40" xfId="1591" xr:uid="{00000000-0005-0000-0000-00003D060000}"/>
    <cellStyle name="쉼표 [0] 40 2" xfId="1592" xr:uid="{00000000-0005-0000-0000-00003E060000}"/>
    <cellStyle name="쉼표 [0] 41" xfId="1593" xr:uid="{00000000-0005-0000-0000-00003F060000}"/>
    <cellStyle name="쉼표 [0] 41 2" xfId="1594" xr:uid="{00000000-0005-0000-0000-000040060000}"/>
    <cellStyle name="쉼표 [0] 42" xfId="1595" xr:uid="{00000000-0005-0000-0000-000041060000}"/>
    <cellStyle name="쉼표 [0] 42 2" xfId="1596" xr:uid="{00000000-0005-0000-0000-000042060000}"/>
    <cellStyle name="쉼표 [0] 43" xfId="1597" xr:uid="{00000000-0005-0000-0000-000043060000}"/>
    <cellStyle name="쉼표 [0] 43 2" xfId="1598" xr:uid="{00000000-0005-0000-0000-000044060000}"/>
    <cellStyle name="쉼표 [0] 44" xfId="1599" xr:uid="{00000000-0005-0000-0000-000045060000}"/>
    <cellStyle name="쉼표 [0] 44 2" xfId="1600" xr:uid="{00000000-0005-0000-0000-000046060000}"/>
    <cellStyle name="쉼표 [0] 45" xfId="1601" xr:uid="{00000000-0005-0000-0000-000047060000}"/>
    <cellStyle name="쉼표 [0] 45 2" xfId="1602" xr:uid="{00000000-0005-0000-0000-000048060000}"/>
    <cellStyle name="쉼표 [0] 46" xfId="1603" xr:uid="{00000000-0005-0000-0000-000049060000}"/>
    <cellStyle name="쉼표 [0] 46 2" xfId="1604" xr:uid="{00000000-0005-0000-0000-00004A060000}"/>
    <cellStyle name="쉼표 [0] 47" xfId="1605" xr:uid="{00000000-0005-0000-0000-00004B060000}"/>
    <cellStyle name="쉼표 [0] 47 2" xfId="1606" xr:uid="{00000000-0005-0000-0000-00004C060000}"/>
    <cellStyle name="쉼표 [0] 48" xfId="1607" xr:uid="{00000000-0005-0000-0000-00004D060000}"/>
    <cellStyle name="쉼표 [0] 48 2" xfId="1608" xr:uid="{00000000-0005-0000-0000-00004E060000}"/>
    <cellStyle name="쉼표 [0] 49" xfId="1609" xr:uid="{00000000-0005-0000-0000-00004F060000}"/>
    <cellStyle name="쉼표 [0] 49 2" xfId="1610" xr:uid="{00000000-0005-0000-0000-000050060000}"/>
    <cellStyle name="쉼표 [0] 5" xfId="1611" xr:uid="{00000000-0005-0000-0000-000051060000}"/>
    <cellStyle name="쉼표 [0] 5 2" xfId="1612" xr:uid="{00000000-0005-0000-0000-000052060000}"/>
    <cellStyle name="쉼표 [0] 5 2 2" xfId="2034" xr:uid="{00000000-0005-0000-0000-000053060000}"/>
    <cellStyle name="쉼표 [0] 5 3" xfId="1613" xr:uid="{00000000-0005-0000-0000-000054060000}"/>
    <cellStyle name="쉼표 [0] 5 3 2" xfId="1614" xr:uid="{00000000-0005-0000-0000-000055060000}"/>
    <cellStyle name="쉼표 [0] 5 4" xfId="2029" xr:uid="{00000000-0005-0000-0000-000056060000}"/>
    <cellStyle name="쉼표 [0] 50" xfId="1615" xr:uid="{00000000-0005-0000-0000-000057060000}"/>
    <cellStyle name="쉼표 [0] 50 2" xfId="1616" xr:uid="{00000000-0005-0000-0000-000058060000}"/>
    <cellStyle name="쉼표 [0] 51" xfId="1617" xr:uid="{00000000-0005-0000-0000-000059060000}"/>
    <cellStyle name="쉼표 [0] 51 2" xfId="1618" xr:uid="{00000000-0005-0000-0000-00005A060000}"/>
    <cellStyle name="쉼표 [0] 52" xfId="1619" xr:uid="{00000000-0005-0000-0000-00005B060000}"/>
    <cellStyle name="쉼표 [0] 52 2" xfId="1620" xr:uid="{00000000-0005-0000-0000-00005C060000}"/>
    <cellStyle name="쉼표 [0] 53" xfId="1621" xr:uid="{00000000-0005-0000-0000-00005D060000}"/>
    <cellStyle name="쉼표 [0] 53 2" xfId="1622" xr:uid="{00000000-0005-0000-0000-00005E060000}"/>
    <cellStyle name="쉼표 [0] 54" xfId="1623" xr:uid="{00000000-0005-0000-0000-00005F060000}"/>
    <cellStyle name="쉼표 [0] 54 2" xfId="1624" xr:uid="{00000000-0005-0000-0000-000060060000}"/>
    <cellStyle name="쉼표 [0] 55" xfId="1625" xr:uid="{00000000-0005-0000-0000-000061060000}"/>
    <cellStyle name="쉼표 [0] 55 2" xfId="1626" xr:uid="{00000000-0005-0000-0000-000062060000}"/>
    <cellStyle name="쉼표 [0] 56" xfId="1627" xr:uid="{00000000-0005-0000-0000-000063060000}"/>
    <cellStyle name="쉼표 [0] 56 2" xfId="1628" xr:uid="{00000000-0005-0000-0000-000064060000}"/>
    <cellStyle name="쉼표 [0] 57" xfId="1629" xr:uid="{00000000-0005-0000-0000-000065060000}"/>
    <cellStyle name="쉼표 [0] 57 2" xfId="1630" xr:uid="{00000000-0005-0000-0000-000066060000}"/>
    <cellStyle name="쉼표 [0] 58" xfId="1631" xr:uid="{00000000-0005-0000-0000-000067060000}"/>
    <cellStyle name="쉼표 [0] 58 2" xfId="1632" xr:uid="{00000000-0005-0000-0000-000068060000}"/>
    <cellStyle name="쉼표 [0] 59" xfId="1633" xr:uid="{00000000-0005-0000-0000-000069060000}"/>
    <cellStyle name="쉼표 [0] 59 2" xfId="1634" xr:uid="{00000000-0005-0000-0000-00006A060000}"/>
    <cellStyle name="쉼표 [0] 6" xfId="1635" xr:uid="{00000000-0005-0000-0000-00006B060000}"/>
    <cellStyle name="쉼표 [0] 6 2" xfId="1636" xr:uid="{00000000-0005-0000-0000-00006C060000}"/>
    <cellStyle name="쉼표 [0] 6 2 2" xfId="1637" xr:uid="{00000000-0005-0000-0000-00006D060000}"/>
    <cellStyle name="쉼표 [0] 6 3" xfId="2028" xr:uid="{00000000-0005-0000-0000-00006E060000}"/>
    <cellStyle name="쉼표 [0] 60" xfId="1638" xr:uid="{00000000-0005-0000-0000-00006F060000}"/>
    <cellStyle name="쉼표 [0] 60 2" xfId="1639" xr:uid="{00000000-0005-0000-0000-000070060000}"/>
    <cellStyle name="쉼표 [0] 61" xfId="1640" xr:uid="{00000000-0005-0000-0000-000071060000}"/>
    <cellStyle name="쉼표 [0] 61 2" xfId="1641" xr:uid="{00000000-0005-0000-0000-000072060000}"/>
    <cellStyle name="쉼표 [0] 62" xfId="1642" xr:uid="{00000000-0005-0000-0000-000073060000}"/>
    <cellStyle name="쉼표 [0] 62 2" xfId="1643" xr:uid="{00000000-0005-0000-0000-000074060000}"/>
    <cellStyle name="쉼표 [0] 63" xfId="1644" xr:uid="{00000000-0005-0000-0000-000075060000}"/>
    <cellStyle name="쉼표 [0] 63 2" xfId="1645" xr:uid="{00000000-0005-0000-0000-000076060000}"/>
    <cellStyle name="쉼표 [0] 64" xfId="1646" xr:uid="{00000000-0005-0000-0000-000077060000}"/>
    <cellStyle name="쉼표 [0] 64 2" xfId="1647" xr:uid="{00000000-0005-0000-0000-000078060000}"/>
    <cellStyle name="쉼표 [0] 65" xfId="1648" xr:uid="{00000000-0005-0000-0000-000079060000}"/>
    <cellStyle name="쉼표 [0] 65 2" xfId="1649" xr:uid="{00000000-0005-0000-0000-00007A060000}"/>
    <cellStyle name="쉼표 [0] 66" xfId="1650" xr:uid="{00000000-0005-0000-0000-00007B060000}"/>
    <cellStyle name="쉼표 [0] 66 2" xfId="1651" xr:uid="{00000000-0005-0000-0000-00007C060000}"/>
    <cellStyle name="쉼표 [0] 67" xfId="1652" xr:uid="{00000000-0005-0000-0000-00007D060000}"/>
    <cellStyle name="쉼표 [0] 67 2" xfId="1653" xr:uid="{00000000-0005-0000-0000-00007E060000}"/>
    <cellStyle name="쉼표 [0] 68" xfId="1654" xr:uid="{00000000-0005-0000-0000-00007F060000}"/>
    <cellStyle name="쉼표 [0] 68 2" xfId="1655" xr:uid="{00000000-0005-0000-0000-000080060000}"/>
    <cellStyle name="쉼표 [0] 69" xfId="1656" xr:uid="{00000000-0005-0000-0000-000081060000}"/>
    <cellStyle name="쉼표 [0] 69 2" xfId="1657" xr:uid="{00000000-0005-0000-0000-000082060000}"/>
    <cellStyle name="쉼표 [0] 7" xfId="1658" xr:uid="{00000000-0005-0000-0000-000083060000}"/>
    <cellStyle name="쉼표 [0] 7 2" xfId="1659" xr:uid="{00000000-0005-0000-0000-000084060000}"/>
    <cellStyle name="쉼표 [0] 70" xfId="1660" xr:uid="{00000000-0005-0000-0000-000085060000}"/>
    <cellStyle name="쉼표 [0] 70 2" xfId="1661" xr:uid="{00000000-0005-0000-0000-000086060000}"/>
    <cellStyle name="쉼표 [0] 71" xfId="1662" xr:uid="{00000000-0005-0000-0000-000087060000}"/>
    <cellStyle name="쉼표 [0] 71 2" xfId="1663" xr:uid="{00000000-0005-0000-0000-000088060000}"/>
    <cellStyle name="쉼표 [0] 72" xfId="1664" xr:uid="{00000000-0005-0000-0000-000089060000}"/>
    <cellStyle name="쉼표 [0] 72 2" xfId="1665" xr:uid="{00000000-0005-0000-0000-00008A060000}"/>
    <cellStyle name="쉼표 [0] 73" xfId="1666" xr:uid="{00000000-0005-0000-0000-00008B060000}"/>
    <cellStyle name="쉼표 [0] 73 2" xfId="1667" xr:uid="{00000000-0005-0000-0000-00008C060000}"/>
    <cellStyle name="쉼표 [0] 74" xfId="1668" xr:uid="{00000000-0005-0000-0000-00008D060000}"/>
    <cellStyle name="쉼표 [0] 74 2" xfId="1669" xr:uid="{00000000-0005-0000-0000-00008E060000}"/>
    <cellStyle name="쉼표 [0] 75" xfId="1670" xr:uid="{00000000-0005-0000-0000-00008F060000}"/>
    <cellStyle name="쉼표 [0] 75 2" xfId="1671" xr:uid="{00000000-0005-0000-0000-000090060000}"/>
    <cellStyle name="쉼표 [0] 76" xfId="1672" xr:uid="{00000000-0005-0000-0000-000091060000}"/>
    <cellStyle name="쉼표 [0] 76 2" xfId="1673" xr:uid="{00000000-0005-0000-0000-000092060000}"/>
    <cellStyle name="쉼표 [0] 77" xfId="1674" xr:uid="{00000000-0005-0000-0000-000093060000}"/>
    <cellStyle name="쉼표 [0] 77 2" xfId="1675" xr:uid="{00000000-0005-0000-0000-000094060000}"/>
    <cellStyle name="쉼표 [0] 78" xfId="1676" xr:uid="{00000000-0005-0000-0000-000095060000}"/>
    <cellStyle name="쉼표 [0] 78 2" xfId="1677" xr:uid="{00000000-0005-0000-0000-000096060000}"/>
    <cellStyle name="쉼표 [0] 79" xfId="1678" xr:uid="{00000000-0005-0000-0000-000097060000}"/>
    <cellStyle name="쉼표 [0] 79 2" xfId="1679" xr:uid="{00000000-0005-0000-0000-000098060000}"/>
    <cellStyle name="쉼표 [0] 8" xfId="1680" xr:uid="{00000000-0005-0000-0000-000099060000}"/>
    <cellStyle name="쉼표 [0] 8 2" xfId="1681" xr:uid="{00000000-0005-0000-0000-00009A060000}"/>
    <cellStyle name="쉼표 [0] 80" xfId="1682" xr:uid="{00000000-0005-0000-0000-00009B060000}"/>
    <cellStyle name="쉼표 [0] 80 2" xfId="1683" xr:uid="{00000000-0005-0000-0000-00009C060000}"/>
    <cellStyle name="쉼표 [0] 81" xfId="1684" xr:uid="{00000000-0005-0000-0000-00009D060000}"/>
    <cellStyle name="쉼표 [0] 81 2" xfId="1685" xr:uid="{00000000-0005-0000-0000-00009E060000}"/>
    <cellStyle name="쉼표 [0] 82" xfId="1686" xr:uid="{00000000-0005-0000-0000-00009F060000}"/>
    <cellStyle name="쉼표 [0] 82 2" xfId="1687" xr:uid="{00000000-0005-0000-0000-0000A0060000}"/>
    <cellStyle name="쉼표 [0] 83" xfId="1688" xr:uid="{00000000-0005-0000-0000-0000A1060000}"/>
    <cellStyle name="쉼표 [0] 83 2" xfId="1689" xr:uid="{00000000-0005-0000-0000-0000A2060000}"/>
    <cellStyle name="쉼표 [0] 84" xfId="1690" xr:uid="{00000000-0005-0000-0000-0000A3060000}"/>
    <cellStyle name="쉼표 [0] 84 2" xfId="1691" xr:uid="{00000000-0005-0000-0000-0000A4060000}"/>
    <cellStyle name="쉼표 [0] 85" xfId="1692" xr:uid="{00000000-0005-0000-0000-0000A5060000}"/>
    <cellStyle name="쉼표 [0] 85 2" xfId="1693" xr:uid="{00000000-0005-0000-0000-0000A6060000}"/>
    <cellStyle name="쉼표 [0] 86" xfId="1694" xr:uid="{00000000-0005-0000-0000-0000A7060000}"/>
    <cellStyle name="쉼표 [0] 86 2" xfId="1695" xr:uid="{00000000-0005-0000-0000-0000A8060000}"/>
    <cellStyle name="쉼표 [0] 87" xfId="1696" xr:uid="{00000000-0005-0000-0000-0000A9060000}"/>
    <cellStyle name="쉼표 [0] 87 2" xfId="1697" xr:uid="{00000000-0005-0000-0000-0000AA060000}"/>
    <cellStyle name="쉼표 [0] 88" xfId="1698" xr:uid="{00000000-0005-0000-0000-0000AB060000}"/>
    <cellStyle name="쉼표 [0] 88 2" xfId="1699" xr:uid="{00000000-0005-0000-0000-0000AC060000}"/>
    <cellStyle name="쉼표 [0] 89" xfId="1700" xr:uid="{00000000-0005-0000-0000-0000AD060000}"/>
    <cellStyle name="쉼표 [0] 89 2" xfId="1701" xr:uid="{00000000-0005-0000-0000-0000AE060000}"/>
    <cellStyle name="쉼표 [0] 9" xfId="1702" xr:uid="{00000000-0005-0000-0000-0000AF060000}"/>
    <cellStyle name="쉼표 [0] 9 2" xfId="1703" xr:uid="{00000000-0005-0000-0000-0000B0060000}"/>
    <cellStyle name="쉼표 [0] 90" xfId="1704" xr:uid="{00000000-0005-0000-0000-0000B1060000}"/>
    <cellStyle name="쉼표 [0] 90 2" xfId="1705" xr:uid="{00000000-0005-0000-0000-0000B2060000}"/>
    <cellStyle name="쉼표 [0] 91" xfId="1706" xr:uid="{00000000-0005-0000-0000-0000B3060000}"/>
    <cellStyle name="쉼표 [0] 91 2" xfId="1707" xr:uid="{00000000-0005-0000-0000-0000B4060000}"/>
    <cellStyle name="쉼표 [0] 92" xfId="1708" xr:uid="{00000000-0005-0000-0000-0000B5060000}"/>
    <cellStyle name="쉼표 [0] 92 2" xfId="1709" xr:uid="{00000000-0005-0000-0000-0000B6060000}"/>
    <cellStyle name="쉼표 [0] 93" xfId="1710" xr:uid="{00000000-0005-0000-0000-0000B7060000}"/>
    <cellStyle name="쉼표 [0] 93 2" xfId="1711" xr:uid="{00000000-0005-0000-0000-0000B8060000}"/>
    <cellStyle name="쉼표 [0] 94" xfId="1712" xr:uid="{00000000-0005-0000-0000-0000B9060000}"/>
    <cellStyle name="쉼표 [0] 94 2" xfId="1713" xr:uid="{00000000-0005-0000-0000-0000BA060000}"/>
    <cellStyle name="쉼표 [0] 95" xfId="1714" xr:uid="{00000000-0005-0000-0000-0000BB060000}"/>
    <cellStyle name="쉼표 [0] 95 2" xfId="1715" xr:uid="{00000000-0005-0000-0000-0000BC060000}"/>
    <cellStyle name="쉼표 [0] 96" xfId="1716" xr:uid="{00000000-0005-0000-0000-0000BD060000}"/>
    <cellStyle name="쉼표 [0] 97" xfId="2025" xr:uid="{00000000-0005-0000-0000-0000BE060000}"/>
    <cellStyle name="쉼표 [0] 98" xfId="2045" xr:uid="{00000000-0005-0000-0000-0000BF060000}"/>
    <cellStyle name="쉼표 [0] 99" xfId="1717" xr:uid="{00000000-0005-0000-0000-0000C0060000}"/>
    <cellStyle name="쉼표 [0] 99 2" xfId="1718" xr:uid="{00000000-0005-0000-0000-0000C1060000}"/>
    <cellStyle name="쉼표 [0]_기결산1-재무제표,현금과 유가증권" xfId="1719" xr:uid="{00000000-0005-0000-0000-0000C2060000}"/>
    <cellStyle name="쉼표 2 8" xfId="1720" xr:uid="{00000000-0005-0000-0000-0000C3060000}"/>
    <cellStyle name="스타일 1" xfId="1721" xr:uid="{00000000-0005-0000-0000-0000C4060000}"/>
    <cellStyle name="스타일 10" xfId="1722" xr:uid="{00000000-0005-0000-0000-0000C5060000}"/>
    <cellStyle name="스타일 10 2" xfId="1723" xr:uid="{00000000-0005-0000-0000-0000C6060000}"/>
    <cellStyle name="스타일 11" xfId="1724" xr:uid="{00000000-0005-0000-0000-0000C7060000}"/>
    <cellStyle name="스타일 11 2" xfId="1725" xr:uid="{00000000-0005-0000-0000-0000C8060000}"/>
    <cellStyle name="스타일 12" xfId="1726" xr:uid="{00000000-0005-0000-0000-0000C9060000}"/>
    <cellStyle name="스타일 12 2" xfId="1727" xr:uid="{00000000-0005-0000-0000-0000CA060000}"/>
    <cellStyle name="스타일 13" xfId="1728" xr:uid="{00000000-0005-0000-0000-0000CB060000}"/>
    <cellStyle name="스타일 13 2" xfId="1729" xr:uid="{00000000-0005-0000-0000-0000CC060000}"/>
    <cellStyle name="스타일 14" xfId="1730" xr:uid="{00000000-0005-0000-0000-0000CD060000}"/>
    <cellStyle name="스타일 14 2" xfId="1731" xr:uid="{00000000-0005-0000-0000-0000CE060000}"/>
    <cellStyle name="스타일 15" xfId="1732" xr:uid="{00000000-0005-0000-0000-0000CF060000}"/>
    <cellStyle name="스타일 15 2" xfId="1733" xr:uid="{00000000-0005-0000-0000-0000D0060000}"/>
    <cellStyle name="스타일 16" xfId="1734" xr:uid="{00000000-0005-0000-0000-0000D1060000}"/>
    <cellStyle name="스타일 16 2" xfId="1735" xr:uid="{00000000-0005-0000-0000-0000D2060000}"/>
    <cellStyle name="스타일 17" xfId="1736" xr:uid="{00000000-0005-0000-0000-0000D3060000}"/>
    <cellStyle name="스타일 17 2" xfId="1737" xr:uid="{00000000-0005-0000-0000-0000D4060000}"/>
    <cellStyle name="스타일 18" xfId="1738" xr:uid="{00000000-0005-0000-0000-0000D5060000}"/>
    <cellStyle name="스타일 18 2" xfId="1739" xr:uid="{00000000-0005-0000-0000-0000D6060000}"/>
    <cellStyle name="스타일 19" xfId="1740" xr:uid="{00000000-0005-0000-0000-0000D7060000}"/>
    <cellStyle name="스타일 19 2" xfId="1741" xr:uid="{00000000-0005-0000-0000-0000D8060000}"/>
    <cellStyle name="스타일 2" xfId="1742" xr:uid="{00000000-0005-0000-0000-0000D9060000}"/>
    <cellStyle name="스타일 20" xfId="1743" xr:uid="{00000000-0005-0000-0000-0000DA060000}"/>
    <cellStyle name="스타일 20 2" xfId="1744" xr:uid="{00000000-0005-0000-0000-0000DB060000}"/>
    <cellStyle name="스타일 21" xfId="1745" xr:uid="{00000000-0005-0000-0000-0000DC060000}"/>
    <cellStyle name="스타일 21 2" xfId="1746" xr:uid="{00000000-0005-0000-0000-0000DD060000}"/>
    <cellStyle name="스타일 22" xfId="1747" xr:uid="{00000000-0005-0000-0000-0000DE060000}"/>
    <cellStyle name="스타일 22 2" xfId="1748" xr:uid="{00000000-0005-0000-0000-0000DF060000}"/>
    <cellStyle name="스타일 23" xfId="1749" xr:uid="{00000000-0005-0000-0000-0000E0060000}"/>
    <cellStyle name="스타일 23 2" xfId="1750" xr:uid="{00000000-0005-0000-0000-0000E1060000}"/>
    <cellStyle name="스타일 24" xfId="1751" xr:uid="{00000000-0005-0000-0000-0000E2060000}"/>
    <cellStyle name="스타일 24 2" xfId="1752" xr:uid="{00000000-0005-0000-0000-0000E3060000}"/>
    <cellStyle name="스타일 25" xfId="1753" xr:uid="{00000000-0005-0000-0000-0000E4060000}"/>
    <cellStyle name="스타일 25 2" xfId="1754" xr:uid="{00000000-0005-0000-0000-0000E5060000}"/>
    <cellStyle name="스타일 26" xfId="1755" xr:uid="{00000000-0005-0000-0000-0000E6060000}"/>
    <cellStyle name="스타일 26 2" xfId="1756" xr:uid="{00000000-0005-0000-0000-0000E7060000}"/>
    <cellStyle name="스타일 27" xfId="1757" xr:uid="{00000000-0005-0000-0000-0000E8060000}"/>
    <cellStyle name="스타일 27 2" xfId="1758" xr:uid="{00000000-0005-0000-0000-0000E9060000}"/>
    <cellStyle name="스타일 28" xfId="1759" xr:uid="{00000000-0005-0000-0000-0000EA060000}"/>
    <cellStyle name="스타일 28 2" xfId="1760" xr:uid="{00000000-0005-0000-0000-0000EB060000}"/>
    <cellStyle name="스타일 29" xfId="1761" xr:uid="{00000000-0005-0000-0000-0000EC060000}"/>
    <cellStyle name="스타일 29 2" xfId="1762" xr:uid="{00000000-0005-0000-0000-0000ED060000}"/>
    <cellStyle name="스타일 3" xfId="1763" xr:uid="{00000000-0005-0000-0000-0000EE060000}"/>
    <cellStyle name="스타일 30" xfId="1764" xr:uid="{00000000-0005-0000-0000-0000EF060000}"/>
    <cellStyle name="스타일 30 2" xfId="1765" xr:uid="{00000000-0005-0000-0000-0000F0060000}"/>
    <cellStyle name="스타일 31" xfId="1766" xr:uid="{00000000-0005-0000-0000-0000F1060000}"/>
    <cellStyle name="스타일 31 2" xfId="1767" xr:uid="{00000000-0005-0000-0000-0000F2060000}"/>
    <cellStyle name="스타일 32" xfId="1768" xr:uid="{00000000-0005-0000-0000-0000F3060000}"/>
    <cellStyle name="스타일 32 2" xfId="1769" xr:uid="{00000000-0005-0000-0000-0000F4060000}"/>
    <cellStyle name="스타일 33" xfId="1770" xr:uid="{00000000-0005-0000-0000-0000F5060000}"/>
    <cellStyle name="스타일 33 2" xfId="1771" xr:uid="{00000000-0005-0000-0000-0000F6060000}"/>
    <cellStyle name="스타일 34" xfId="1772" xr:uid="{00000000-0005-0000-0000-0000F7060000}"/>
    <cellStyle name="스타일 34 2" xfId="1773" xr:uid="{00000000-0005-0000-0000-0000F8060000}"/>
    <cellStyle name="스타일 35" xfId="1774" xr:uid="{00000000-0005-0000-0000-0000F9060000}"/>
    <cellStyle name="스타일 35 2" xfId="1775" xr:uid="{00000000-0005-0000-0000-0000FA060000}"/>
    <cellStyle name="스타일 4" xfId="1776" xr:uid="{00000000-0005-0000-0000-0000FB060000}"/>
    <cellStyle name="스타일 5" xfId="1777" xr:uid="{00000000-0005-0000-0000-0000FC060000}"/>
    <cellStyle name="스타일 6" xfId="1778" xr:uid="{00000000-0005-0000-0000-0000FD060000}"/>
    <cellStyle name="스타일 6 2" xfId="1779" xr:uid="{00000000-0005-0000-0000-0000FE060000}"/>
    <cellStyle name="스타일 7" xfId="1780" xr:uid="{00000000-0005-0000-0000-0000FF060000}"/>
    <cellStyle name="스타일 7 2" xfId="1781" xr:uid="{00000000-0005-0000-0000-000000070000}"/>
    <cellStyle name="스타일 8" xfId="1782" xr:uid="{00000000-0005-0000-0000-000001070000}"/>
    <cellStyle name="스타일 8 2" xfId="1783" xr:uid="{00000000-0005-0000-0000-000002070000}"/>
    <cellStyle name="스타일 9" xfId="1784" xr:uid="{00000000-0005-0000-0000-000003070000}"/>
    <cellStyle name="스타일 9 2" xfId="1785" xr:uid="{00000000-0005-0000-0000-000004070000}"/>
    <cellStyle name="신진수" xfId="1786" xr:uid="{00000000-0005-0000-0000-000005070000}"/>
    <cellStyle name="안건회계법인" xfId="1787" xr:uid="{00000000-0005-0000-0000-000006070000}"/>
    <cellStyle name="연결된 셀 2" xfId="1788" xr:uid="{00000000-0005-0000-0000-000007070000}"/>
    <cellStyle name="연결된 셀 3" xfId="1789" xr:uid="{00000000-0005-0000-0000-000008070000}"/>
    <cellStyle name="열어본 하이퍼링크" xfId="1790" xr:uid="{00000000-0005-0000-0000-000009070000}"/>
    <cellStyle name="요약 2" xfId="1791" xr:uid="{00000000-0005-0000-0000-00000A070000}"/>
    <cellStyle name="요약 3" xfId="1792" xr:uid="{00000000-0005-0000-0000-00000B070000}"/>
    <cellStyle name="원" xfId="1793" xr:uid="{00000000-0005-0000-0000-00000C070000}"/>
    <cellStyle name="원_02대여금" xfId="1794" xr:uid="{00000000-0005-0000-0000-00000D070000}"/>
    <cellStyle name="원_02투자" xfId="1795" xr:uid="{00000000-0005-0000-0000-00000E070000}"/>
    <cellStyle name="원_02투자및대여금종합" xfId="1796" xr:uid="{00000000-0005-0000-0000-00000F070000}"/>
    <cellStyle name="원_1등 기업가치자료 수정자료(아시아나공항)" xfId="1797" xr:uid="{00000000-0005-0000-0000-000010070000}"/>
    <cellStyle name="원_2.전략부문" xfId="1798" xr:uid="{00000000-0005-0000-0000-000011070000}"/>
    <cellStyle name="원_2003년예산(1)" xfId="1799" xr:uid="{00000000-0005-0000-0000-000012070000}"/>
    <cellStyle name="원_NCF6BB2F" xfId="1800" xr:uid="{00000000-0005-0000-0000-000013070000}"/>
    <cellStyle name="원_NCF6BB2F_감사자료(월별fs)" xfId="1801" xr:uid="{00000000-0005-0000-0000-000014070000}"/>
    <cellStyle name="원_감사자료(월별fs)" xfId="1802" xr:uid="{00000000-0005-0000-0000-000015070000}"/>
    <cellStyle name="원_공구와 기구" xfId="1803" xr:uid="{00000000-0005-0000-0000-000016070000}"/>
    <cellStyle name="원_환경1팀수주최종본" xfId="1804" xr:uid="{00000000-0005-0000-0000-000017070000}"/>
    <cellStyle name="원통화" xfId="1805" xr:uid="{00000000-0005-0000-0000-000018070000}"/>
    <cellStyle name="유입" xfId="1806" xr:uid="{00000000-0005-0000-0000-000019070000}"/>
    <cellStyle name="일반" xfId="1807" xr:uid="{00000000-0005-0000-0000-00001A070000}"/>
    <cellStyle name="일반숫자" xfId="1808" xr:uid="{00000000-0005-0000-0000-00001B070000}"/>
    <cellStyle name="일자" xfId="1809" xr:uid="{00000000-0005-0000-0000-00001C070000}"/>
    <cellStyle name="입력 2" xfId="1810" xr:uid="{00000000-0005-0000-0000-00001D070000}"/>
    <cellStyle name="입력 3" xfId="1811" xr:uid="{00000000-0005-0000-0000-00001E070000}"/>
    <cellStyle name="자리수" xfId="1812" xr:uid="{00000000-0005-0000-0000-00001F070000}"/>
    <cellStyle name="자리수0" xfId="1813" xr:uid="{00000000-0005-0000-0000-000020070000}"/>
    <cellStyle name="제목 1 2" xfId="1814" xr:uid="{00000000-0005-0000-0000-000021070000}"/>
    <cellStyle name="제목 1 3" xfId="1815" xr:uid="{00000000-0005-0000-0000-000022070000}"/>
    <cellStyle name="제목 2 2" xfId="1816" xr:uid="{00000000-0005-0000-0000-000023070000}"/>
    <cellStyle name="제목 2 3" xfId="1817" xr:uid="{00000000-0005-0000-0000-000024070000}"/>
    <cellStyle name="제목 3 2" xfId="1818" xr:uid="{00000000-0005-0000-0000-000025070000}"/>
    <cellStyle name="제목 3 3" xfId="1819" xr:uid="{00000000-0005-0000-0000-000026070000}"/>
    <cellStyle name="제목 4 2" xfId="1820" xr:uid="{00000000-0005-0000-0000-000027070000}"/>
    <cellStyle name="제목 4 3" xfId="1821" xr:uid="{00000000-0005-0000-0000-000028070000}"/>
    <cellStyle name="제목 5" xfId="1822" xr:uid="{00000000-0005-0000-0000-000029070000}"/>
    <cellStyle name="제목 6" xfId="1823" xr:uid="{00000000-0005-0000-0000-00002A070000}"/>
    <cellStyle name="조서번호" xfId="1824" xr:uid="{00000000-0005-0000-0000-00002B070000}"/>
    <cellStyle name="晀화_양식2_계획대비" xfId="1825" xr:uid="{00000000-0005-0000-0000-00002C070000}"/>
    <cellStyle name="좋음 2" xfId="1826" xr:uid="{00000000-0005-0000-0000-00002D070000}"/>
    <cellStyle name="좋음 3" xfId="1827" xr:uid="{00000000-0005-0000-0000-00002E070000}"/>
    <cellStyle name="주석" xfId="1828" xr:uid="{00000000-0005-0000-0000-00002F070000}"/>
    <cellStyle name="지정되지 않음" xfId="1829" xr:uid="{00000000-0005-0000-0000-000030070000}"/>
    <cellStyle name="쨊ㅐ?[0]_laroux" xfId="1830" xr:uid="{00000000-0005-0000-0000-000031070000}"/>
    <cellStyle name="쨊ㅐ?_laroux" xfId="1831" xr:uid="{00000000-0005-0000-0000-000032070000}"/>
    <cellStyle name="참조" xfId="1832" xr:uid="{00000000-0005-0000-0000-000033070000}"/>
    <cellStyle name="千位分隔_12.31" xfId="1833" xr:uid="{00000000-0005-0000-0000-000034070000}"/>
    <cellStyle name="추(1)" xfId="1834" xr:uid="{00000000-0005-0000-0000-000035070000}"/>
    <cellStyle name="출력 2" xfId="1835" xr:uid="{00000000-0005-0000-0000-000036070000}"/>
    <cellStyle name="출력 3" xfId="1836" xr:uid="{00000000-0005-0000-0000-000037070000}"/>
    <cellStyle name="콤" xfId="1837" xr:uid="{00000000-0005-0000-0000-000038070000}"/>
    <cellStyle name="콤_다모아_중간_운송원가, 판관비-조정상" xfId="1838" xr:uid="{00000000-0005-0000-0000-000039070000}"/>
    <cellStyle name="콤_다모아_중간_운송원가, 판관비-조정상 2" xfId="1839" xr:uid="{00000000-0005-0000-0000-00003A070000}"/>
    <cellStyle name="콤_신인감사조서PMJ" xfId="1840" xr:uid="{00000000-0005-0000-0000-00003B070000}"/>
    <cellStyle name="콤_신인감사조서PMJ 2" xfId="1841" xr:uid="{00000000-0005-0000-0000-00003C070000}"/>
    <cellStyle name="콤_회계감사 감가상각명세서(박명주)" xfId="1842" xr:uid="{00000000-0005-0000-0000-00003D070000}"/>
    <cellStyle name="콤_회계감사 감가상각명세서(박명주) 2" xfId="1843" xr:uid="{00000000-0005-0000-0000-00003E070000}"/>
    <cellStyle name="콤냡?&lt;_x000f_$??: `1_1 " xfId="1844" xr:uid="{00000000-0005-0000-0000-00003F070000}"/>
    <cellStyle name="콤냡?&lt;_x000f_$??:_x0009_`1_1 " xfId="1845" xr:uid="{00000000-0005-0000-0000-000040070000}"/>
    <cellStyle name="콤마 [" xfId="1846" xr:uid="{00000000-0005-0000-0000-000041070000}"/>
    <cellStyle name="콤마 [0]_" xfId="1847" xr:uid="{00000000-0005-0000-0000-000042070000}"/>
    <cellStyle name="콤마 [2]" xfId="1848" xr:uid="{00000000-0005-0000-0000-000043070000}"/>
    <cellStyle name="콤마_  종  합  " xfId="1849" xr:uid="{00000000-0005-0000-0000-000044070000}"/>
    <cellStyle name="콤마숫자" xfId="1850" xr:uid="{00000000-0005-0000-0000-000045070000}"/>
    <cellStyle name="콸張悅渾 [0]_laroux" xfId="1851" xr:uid="{00000000-0005-0000-0000-000046070000}"/>
    <cellStyle name="콸張悅渾_laroux" xfId="1852" xr:uid="{00000000-0005-0000-0000-000047070000}"/>
    <cellStyle name="쿯뱐 [0]_PERSONAL" xfId="1853" xr:uid="{00000000-0005-0000-0000-000048070000}"/>
    <cellStyle name="쿯뱐[0]_laroux" xfId="1854" xr:uid="{00000000-0005-0000-0000-000049070000}"/>
    <cellStyle name="쿯뱐_laroux" xfId="1855" xr:uid="{00000000-0005-0000-0000-00004A070000}"/>
    <cellStyle name="테두리(실선)" xfId="1856" xr:uid="{00000000-0005-0000-0000-00004B070000}"/>
    <cellStyle name="통" xfId="1857" xr:uid="{00000000-0005-0000-0000-00004C070000}"/>
    <cellStyle name="통_다모아_중간_운송원가, 판관비-조정상" xfId="1858" xr:uid="{00000000-0005-0000-0000-00004D070000}"/>
    <cellStyle name="통_다모아_중간_운송원가, 판관비-조정상 2" xfId="1859" xr:uid="{00000000-0005-0000-0000-00004E070000}"/>
    <cellStyle name="통_신인감사조서PMJ" xfId="1860" xr:uid="{00000000-0005-0000-0000-00004F070000}"/>
    <cellStyle name="통_신인감사조서PMJ 2" xfId="1861" xr:uid="{00000000-0005-0000-0000-000050070000}"/>
    <cellStyle name="통_회계감사 감가상각명세서(박명주)" xfId="1862" xr:uid="{00000000-0005-0000-0000-000051070000}"/>
    <cellStyle name="통_회계감사 감가상각명세서(박명주) 2" xfId="1863" xr:uid="{00000000-0005-0000-0000-000052070000}"/>
    <cellStyle name="통화 [" xfId="1864" xr:uid="{00000000-0005-0000-0000-000053070000}"/>
    <cellStyle name="通貨 [0.00]_PLDT" xfId="1865" xr:uid="{00000000-0005-0000-0000-000054070000}"/>
    <cellStyle name="통화 [0] 2" xfId="1866" xr:uid="{00000000-0005-0000-0000-000055070000}"/>
    <cellStyle name="통화 [0] 2 2" xfId="1867" xr:uid="{00000000-0005-0000-0000-000056070000}"/>
    <cellStyle name="통화 [0] 3" xfId="1868" xr:uid="{00000000-0005-0000-0000-000057070000}"/>
    <cellStyle name="통화 [0] 3 2" xfId="1869" xr:uid="{00000000-0005-0000-0000-000058070000}"/>
    <cellStyle name="통화 [0ɝ_laroux_성일개발(주)현금흐름표" xfId="1870" xr:uid="{00000000-0005-0000-0000-000059070000}"/>
    <cellStyle name="통화 [0ဠ_Model mix1_원가 " xfId="1871" xr:uid="{00000000-0005-0000-0000-00005A070000}"/>
    <cellStyle name="通貨_PLDT" xfId="1872" xr:uid="{00000000-0005-0000-0000-00005B070000}"/>
    <cellStyle name="튡" xfId="1873" xr:uid="{00000000-0005-0000-0000-00005C070000}"/>
    <cellStyle name="퍼샌트" xfId="1874" xr:uid="{00000000-0005-0000-0000-00005D070000}"/>
    <cellStyle name="퍼센트" xfId="1875" xr:uid="{00000000-0005-0000-0000-00005E070000}"/>
    <cellStyle name="표" xfId="1876" xr:uid="{00000000-0005-0000-0000-00005F070000}"/>
    <cellStyle name="표_다모아_중간_운송원가, 판관비-조정상" xfId="1877" xr:uid="{00000000-0005-0000-0000-000060070000}"/>
    <cellStyle name="표_다모아_중간_운송원가, 판관비-조정상 2" xfId="1878" xr:uid="{00000000-0005-0000-0000-000061070000}"/>
    <cellStyle name="표_신인감사조서PMJ" xfId="1879" xr:uid="{00000000-0005-0000-0000-000062070000}"/>
    <cellStyle name="표_신인감사조서PMJ 2" xfId="1880" xr:uid="{00000000-0005-0000-0000-000063070000}"/>
    <cellStyle name="표_회계감사 감가상각명세서(박명주)" xfId="1881" xr:uid="{00000000-0005-0000-0000-000064070000}"/>
    <cellStyle name="표_회계감사 감가상각명세서(박명주) 2" xfId="1882" xr:uid="{00000000-0005-0000-0000-000065070000}"/>
    <cellStyle name="표10" xfId="1883" xr:uid="{00000000-0005-0000-0000-000066070000}"/>
    <cellStyle name="표13" xfId="1884" xr:uid="{00000000-0005-0000-0000-000067070000}"/>
    <cellStyle name="表示済みのハイパーリンク" xfId="1885" xr:uid="{00000000-0005-0000-0000-000068070000}"/>
    <cellStyle name="표준" xfId="0" builtinId="0"/>
    <cellStyle name="표준 10" xfId="1886" xr:uid="{00000000-0005-0000-0000-00006A070000}"/>
    <cellStyle name="표준 10 2" xfId="1887" xr:uid="{00000000-0005-0000-0000-00006B070000}"/>
    <cellStyle name="표준 10 3" xfId="1888" xr:uid="{00000000-0005-0000-0000-00006C070000}"/>
    <cellStyle name="표준 10 4" xfId="1889" xr:uid="{00000000-0005-0000-0000-00006D070000}"/>
    <cellStyle name="표준 10 5" xfId="1890" xr:uid="{00000000-0005-0000-0000-00006E070000}"/>
    <cellStyle name="표준 10 6" xfId="1891" xr:uid="{00000000-0005-0000-0000-00006F070000}"/>
    <cellStyle name="표준 10 7" xfId="1892" xr:uid="{00000000-0005-0000-0000-000070070000}"/>
    <cellStyle name="표준 101" xfId="1893" xr:uid="{00000000-0005-0000-0000-000071070000}"/>
    <cellStyle name="표준 11" xfId="1894" xr:uid="{00000000-0005-0000-0000-000072070000}"/>
    <cellStyle name="표준 11 2" xfId="1895" xr:uid="{00000000-0005-0000-0000-000073070000}"/>
    <cellStyle name="표준 12" xfId="1896" xr:uid="{00000000-0005-0000-0000-000074070000}"/>
    <cellStyle name="표준 12 2" xfId="1897" xr:uid="{00000000-0005-0000-0000-000075070000}"/>
    <cellStyle name="표준 13" xfId="1898" xr:uid="{00000000-0005-0000-0000-000076070000}"/>
    <cellStyle name="표준 14" xfId="1899" xr:uid="{00000000-0005-0000-0000-000077070000}"/>
    <cellStyle name="표준 14 3" xfId="1900" xr:uid="{00000000-0005-0000-0000-000078070000}"/>
    <cellStyle name="표준 15" xfId="1901" xr:uid="{00000000-0005-0000-0000-000079070000}"/>
    <cellStyle name="표준 15 3" xfId="1902" xr:uid="{00000000-0005-0000-0000-00007A070000}"/>
    <cellStyle name="표준 16" xfId="1903" xr:uid="{00000000-0005-0000-0000-00007B070000}"/>
    <cellStyle name="표준 16 2" xfId="1904" xr:uid="{00000000-0005-0000-0000-00007C070000}"/>
    <cellStyle name="표준 17" xfId="1905" xr:uid="{00000000-0005-0000-0000-00007D070000}"/>
    <cellStyle name="표준 17 3" xfId="1906" xr:uid="{00000000-0005-0000-0000-00007E070000}"/>
    <cellStyle name="표준 18" xfId="1907" xr:uid="{00000000-0005-0000-0000-00007F070000}"/>
    <cellStyle name="표준 18 2" xfId="1908" xr:uid="{00000000-0005-0000-0000-000080070000}"/>
    <cellStyle name="표준 19" xfId="1909" xr:uid="{00000000-0005-0000-0000-000081070000}"/>
    <cellStyle name="표준 19 2" xfId="1910" xr:uid="{00000000-0005-0000-0000-000082070000}"/>
    <cellStyle name="표준 2" xfId="1911" xr:uid="{00000000-0005-0000-0000-000083070000}"/>
    <cellStyle name="표준 2 2" xfId="1912" xr:uid="{00000000-0005-0000-0000-000084070000}"/>
    <cellStyle name="표준 2 2 2" xfId="1913" xr:uid="{00000000-0005-0000-0000-000085070000}"/>
    <cellStyle name="표준 2 2 2 2" xfId="1914" xr:uid="{00000000-0005-0000-0000-000086070000}"/>
    <cellStyle name="표준 2 2 2 3" xfId="2030" xr:uid="{00000000-0005-0000-0000-000087070000}"/>
    <cellStyle name="표준 2 2 3" xfId="1915" xr:uid="{00000000-0005-0000-0000-000088070000}"/>
    <cellStyle name="표준 2 2 4" xfId="2026" xr:uid="{00000000-0005-0000-0000-000089070000}"/>
    <cellStyle name="표준 2 3" xfId="1916" xr:uid="{00000000-0005-0000-0000-00008A070000}"/>
    <cellStyle name="표준 2 3 2" xfId="2040" xr:uid="{00000000-0005-0000-0000-00008B070000}"/>
    <cellStyle name="표준 2 4" xfId="1917" xr:uid="{00000000-0005-0000-0000-00008C070000}"/>
    <cellStyle name="표준 2 5" xfId="1918" xr:uid="{00000000-0005-0000-0000-00008D070000}"/>
    <cellStyle name="표준 2 6" xfId="1919" xr:uid="{00000000-0005-0000-0000-00008E070000}"/>
    <cellStyle name="표준 2_다산-재무제표(수정본2)" xfId="1920" xr:uid="{00000000-0005-0000-0000-00008F070000}"/>
    <cellStyle name="표준 20" xfId="1921" xr:uid="{00000000-0005-0000-0000-000090070000}"/>
    <cellStyle name="표준 21" xfId="1922" xr:uid="{00000000-0005-0000-0000-000091070000}"/>
    <cellStyle name="표준 21 2" xfId="1923" xr:uid="{00000000-0005-0000-0000-000092070000}"/>
    <cellStyle name="표준 217" xfId="1924" xr:uid="{00000000-0005-0000-0000-000093070000}"/>
    <cellStyle name="표준 218" xfId="1925" xr:uid="{00000000-0005-0000-0000-000094070000}"/>
    <cellStyle name="표준 22" xfId="1926" xr:uid="{00000000-0005-0000-0000-000095070000}"/>
    <cellStyle name="표준 22 2" xfId="1927" xr:uid="{00000000-0005-0000-0000-000096070000}"/>
    <cellStyle name="표준 23" xfId="1928" xr:uid="{00000000-0005-0000-0000-000097070000}"/>
    <cellStyle name="표준 24" xfId="1929" xr:uid="{00000000-0005-0000-0000-000098070000}"/>
    <cellStyle name="표준 24 2" xfId="1930" xr:uid="{00000000-0005-0000-0000-000099070000}"/>
    <cellStyle name="표준 25" xfId="1931" xr:uid="{00000000-0005-0000-0000-00009A070000}"/>
    <cellStyle name="표준 26" xfId="1932" xr:uid="{00000000-0005-0000-0000-00009B070000}"/>
    <cellStyle name="표준 27" xfId="1933" xr:uid="{00000000-0005-0000-0000-00009C070000}"/>
    <cellStyle name="표준 28" xfId="1934" xr:uid="{00000000-0005-0000-0000-00009D070000}"/>
    <cellStyle name="표준 28 2" xfId="1935" xr:uid="{00000000-0005-0000-0000-00009E070000}"/>
    <cellStyle name="표준 29" xfId="1936" xr:uid="{00000000-0005-0000-0000-00009F070000}"/>
    <cellStyle name="표준 3" xfId="1937" xr:uid="{00000000-0005-0000-0000-0000A0070000}"/>
    <cellStyle name="표준 3 2" xfId="1938" xr:uid="{00000000-0005-0000-0000-0000A1070000}"/>
    <cellStyle name="표준 3 2 2" xfId="2038" xr:uid="{00000000-0005-0000-0000-0000A2070000}"/>
    <cellStyle name="표준 3 2 3" xfId="2041" xr:uid="{00000000-0005-0000-0000-0000A3070000}"/>
    <cellStyle name="표준 3 3" xfId="1939" xr:uid="{00000000-0005-0000-0000-0000A4070000}"/>
    <cellStyle name="표준 3 4" xfId="2023" xr:uid="{00000000-0005-0000-0000-0000A5070000}"/>
    <cellStyle name="표준 3 7" xfId="2039" xr:uid="{00000000-0005-0000-0000-0000A6070000}"/>
    <cellStyle name="표준 3 8" xfId="1940" xr:uid="{00000000-0005-0000-0000-0000A7070000}"/>
    <cellStyle name="표준 3_2009년도 결산서(재무팀용)-박기호" xfId="1941" xr:uid="{00000000-0005-0000-0000-0000A8070000}"/>
    <cellStyle name="표준 30" xfId="1942" xr:uid="{00000000-0005-0000-0000-0000A9070000}"/>
    <cellStyle name="표준 31" xfId="1943" xr:uid="{00000000-0005-0000-0000-0000AA070000}"/>
    <cellStyle name="표준 32" xfId="1944" xr:uid="{00000000-0005-0000-0000-0000AB070000}"/>
    <cellStyle name="표준 32 2" xfId="1945" xr:uid="{00000000-0005-0000-0000-0000AC070000}"/>
    <cellStyle name="표준 33" xfId="1946" xr:uid="{00000000-0005-0000-0000-0000AD070000}"/>
    <cellStyle name="표준 33 2" xfId="1947" xr:uid="{00000000-0005-0000-0000-0000AE070000}"/>
    <cellStyle name="표준 34" xfId="1948" xr:uid="{00000000-0005-0000-0000-0000AF070000}"/>
    <cellStyle name="표준 35" xfId="1949" xr:uid="{00000000-0005-0000-0000-0000B0070000}"/>
    <cellStyle name="표준 36" xfId="1950" xr:uid="{00000000-0005-0000-0000-0000B1070000}"/>
    <cellStyle name="표준 36 2" xfId="1951" xr:uid="{00000000-0005-0000-0000-0000B2070000}"/>
    <cellStyle name="표준 37" xfId="1952" xr:uid="{00000000-0005-0000-0000-0000B3070000}"/>
    <cellStyle name="표준 38" xfId="1953" xr:uid="{00000000-0005-0000-0000-0000B4070000}"/>
    <cellStyle name="표준 39" xfId="1954" xr:uid="{00000000-0005-0000-0000-0000B5070000}"/>
    <cellStyle name="표준 4" xfId="1955" xr:uid="{00000000-0005-0000-0000-0000B6070000}"/>
    <cellStyle name="표준 4 2" xfId="1956" xr:uid="{00000000-0005-0000-0000-0000B7070000}"/>
    <cellStyle name="표준 4 2 2" xfId="2032" xr:uid="{00000000-0005-0000-0000-0000B8070000}"/>
    <cellStyle name="표준 4 4" xfId="1957" xr:uid="{00000000-0005-0000-0000-0000B9070000}"/>
    <cellStyle name="표준 4_2009년도 결산서(재무팀용)-박기호" xfId="1958" xr:uid="{00000000-0005-0000-0000-0000BA070000}"/>
    <cellStyle name="표준 40" xfId="1959" xr:uid="{00000000-0005-0000-0000-0000BB070000}"/>
    <cellStyle name="표준 41" xfId="1960" xr:uid="{00000000-0005-0000-0000-0000BC070000}"/>
    <cellStyle name="표준 42" xfId="1961" xr:uid="{00000000-0005-0000-0000-0000BD070000}"/>
    <cellStyle name="표준 43" xfId="1962" xr:uid="{00000000-0005-0000-0000-0000BE070000}"/>
    <cellStyle name="표준 44" xfId="1963" xr:uid="{00000000-0005-0000-0000-0000BF070000}"/>
    <cellStyle name="표준 45" xfId="1964" xr:uid="{00000000-0005-0000-0000-0000C0070000}"/>
    <cellStyle name="표준 46" xfId="1965" xr:uid="{00000000-0005-0000-0000-0000C1070000}"/>
    <cellStyle name="표준 47" xfId="1966" xr:uid="{00000000-0005-0000-0000-0000C2070000}"/>
    <cellStyle name="표준 48" xfId="1967" xr:uid="{00000000-0005-0000-0000-0000C3070000}"/>
    <cellStyle name="표준 49" xfId="1968" xr:uid="{00000000-0005-0000-0000-0000C4070000}"/>
    <cellStyle name="표준 5" xfId="1969" xr:uid="{00000000-0005-0000-0000-0000C5070000}"/>
    <cellStyle name="표준 5 12" xfId="1970" xr:uid="{00000000-0005-0000-0000-0000C6070000}"/>
    <cellStyle name="표준 5 2" xfId="1971" xr:uid="{00000000-0005-0000-0000-0000C7070000}"/>
    <cellStyle name="표준 50" xfId="1972" xr:uid="{00000000-0005-0000-0000-0000C8070000}"/>
    <cellStyle name="표준 51" xfId="1973" xr:uid="{00000000-0005-0000-0000-0000C9070000}"/>
    <cellStyle name="표준 52" xfId="1974" xr:uid="{00000000-0005-0000-0000-0000CA070000}"/>
    <cellStyle name="표준 53" xfId="2042" xr:uid="{00000000-0005-0000-0000-0000CB070000}"/>
    <cellStyle name="표준 54" xfId="1975" xr:uid="{00000000-0005-0000-0000-0000CC070000}"/>
    <cellStyle name="표준 55" xfId="1976" xr:uid="{00000000-0005-0000-0000-0000CD070000}"/>
    <cellStyle name="표준 56" xfId="2043" xr:uid="{00000000-0005-0000-0000-0000CE070000}"/>
    <cellStyle name="표준 57" xfId="2044" xr:uid="{00000000-0005-0000-0000-0000CF070000}"/>
    <cellStyle name="표준 58" xfId="1977" xr:uid="{00000000-0005-0000-0000-0000D0070000}"/>
    <cellStyle name="표준 6" xfId="1978" xr:uid="{00000000-0005-0000-0000-0000D1070000}"/>
    <cellStyle name="표준 6 2" xfId="1979" xr:uid="{00000000-0005-0000-0000-0000D2070000}"/>
    <cellStyle name="표준 6 3" xfId="1980" xr:uid="{00000000-0005-0000-0000-0000D3070000}"/>
    <cellStyle name="표준 61" xfId="1981" xr:uid="{00000000-0005-0000-0000-0000D4070000}"/>
    <cellStyle name="표준 62" xfId="1982" xr:uid="{00000000-0005-0000-0000-0000D5070000}"/>
    <cellStyle name="표준 63" xfId="1983" xr:uid="{00000000-0005-0000-0000-0000D6070000}"/>
    <cellStyle name="표준 67" xfId="1984" xr:uid="{00000000-0005-0000-0000-0000D7070000}"/>
    <cellStyle name="표준 68" xfId="1985" xr:uid="{00000000-0005-0000-0000-0000D8070000}"/>
    <cellStyle name="표준 69" xfId="1986" xr:uid="{00000000-0005-0000-0000-0000D9070000}"/>
    <cellStyle name="표준 7" xfId="2022" xr:uid="{00000000-0005-0000-0000-0000DA070000}"/>
    <cellStyle name="표준 7 2" xfId="1987" xr:uid="{00000000-0005-0000-0000-0000DB070000}"/>
    <cellStyle name="표준 7 3" xfId="2027" xr:uid="{00000000-0005-0000-0000-0000DC070000}"/>
    <cellStyle name="표준 70" xfId="1988" xr:uid="{00000000-0005-0000-0000-0000DD070000}"/>
    <cellStyle name="표준 71" xfId="1989" xr:uid="{00000000-0005-0000-0000-0000DE070000}"/>
    <cellStyle name="표준 72" xfId="1990" xr:uid="{00000000-0005-0000-0000-0000DF070000}"/>
    <cellStyle name="표준 73" xfId="1991" xr:uid="{00000000-0005-0000-0000-0000E0070000}"/>
    <cellStyle name="표준 74" xfId="1992" xr:uid="{00000000-0005-0000-0000-0000E1070000}"/>
    <cellStyle name="표준 75" xfId="1993" xr:uid="{00000000-0005-0000-0000-0000E2070000}"/>
    <cellStyle name="표준 76" xfId="1994" xr:uid="{00000000-0005-0000-0000-0000E3070000}"/>
    <cellStyle name="표준 77" xfId="1995" xr:uid="{00000000-0005-0000-0000-0000E4070000}"/>
    <cellStyle name="표준 78" xfId="1996" xr:uid="{00000000-0005-0000-0000-0000E5070000}"/>
    <cellStyle name="표준 79" xfId="1997" xr:uid="{00000000-0005-0000-0000-0000E6070000}"/>
    <cellStyle name="표준 8" xfId="1998" xr:uid="{00000000-0005-0000-0000-0000E7070000}"/>
    <cellStyle name="표준 8 3" xfId="1999" xr:uid="{00000000-0005-0000-0000-0000E8070000}"/>
    <cellStyle name="표준 80" xfId="2000" xr:uid="{00000000-0005-0000-0000-0000E9070000}"/>
    <cellStyle name="표준 81" xfId="2001" xr:uid="{00000000-0005-0000-0000-0000EA070000}"/>
    <cellStyle name="표준 82" xfId="2002" xr:uid="{00000000-0005-0000-0000-0000EB070000}"/>
    <cellStyle name="표준 9" xfId="2003" xr:uid="{00000000-0005-0000-0000-0000EC070000}"/>
    <cellStyle name="표준 9 2" xfId="2004" xr:uid="{00000000-0005-0000-0000-0000ED070000}"/>
    <cellStyle name="標準_200112" xfId="2005" xr:uid="{00000000-0005-0000-0000-0000EE070000}"/>
    <cellStyle name="표준_기결산1-재무제표,현금과 유가증권" xfId="2006" xr:uid="{00000000-0005-0000-0000-0000EF070000}"/>
    <cellStyle name="표준△서식" xfId="2007" xr:uid="{00000000-0005-0000-0000-0000F0070000}"/>
    <cellStyle name="표준-이효주" xfId="2008" xr:uid="{00000000-0005-0000-0000-0000F1070000}"/>
    <cellStyle name="푤준_계수·손익계수_계산내역2" xfId="2009" xr:uid="{00000000-0005-0000-0000-0000F2070000}"/>
    <cellStyle name="하이퍼링크" xfId="2021" builtinId="8"/>
    <cellStyle name="하이퍼링크 2" xfId="2010" xr:uid="{00000000-0005-0000-0000-0000F4070000}"/>
    <cellStyle name="합산" xfId="2011" xr:uid="{00000000-0005-0000-0000-0000F5070000}"/>
    <cellStyle name="桁区切り [0.00]_PLDT" xfId="2012" xr:uid="{00000000-0005-0000-0000-0000F6070000}"/>
    <cellStyle name="桁区切り_PLDT" xfId="2013" xr:uid="{00000000-0005-0000-0000-0000F7070000}"/>
    <cellStyle name="헤딩" xfId="2014" xr:uid="{00000000-0005-0000-0000-0000F8070000}"/>
    <cellStyle name="현금" xfId="2015" xr:uid="{00000000-0005-0000-0000-0000F9070000}"/>
    <cellStyle name="화폐기호" xfId="2016" xr:uid="{00000000-0005-0000-0000-0000FA070000}"/>
    <cellStyle name="화폐기호0" xfId="2017" xr:uid="{00000000-0005-0000-0000-0000FB070000}"/>
    <cellStyle name="황대호" xfId="2018" xr:uid="{00000000-0005-0000-0000-0000FC070000}"/>
    <cellStyle name="회색테두리" xfId="2019" xr:uid="{00000000-0005-0000-0000-0000FD070000}"/>
  </cellStyles>
  <dxfs count="170">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FF0000"/>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FF0000"/>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9" tint="0.79998168889431442"/>
        </patternFill>
      </fill>
    </dxf>
    <dxf>
      <fill>
        <patternFill>
          <bgColor rgb="FFFF0000"/>
        </patternFill>
      </fill>
    </dxf>
    <dxf>
      <fill>
        <patternFill>
          <bgColor rgb="FFFF0000"/>
        </patternFill>
      </fill>
    </dxf>
    <dxf>
      <fill>
        <patternFill>
          <bgColor rgb="FFC00000"/>
        </patternFill>
      </fill>
    </dxf>
    <dxf>
      <fill>
        <patternFill>
          <bgColor theme="5" tint="0.79998168889431442"/>
        </patternFill>
      </fill>
    </dxf>
    <dxf>
      <fill>
        <patternFill>
          <bgColor rgb="FFFF0000"/>
        </patternFill>
      </fill>
    </dxf>
    <dxf>
      <font>
        <color theme="0"/>
      </font>
      <fill>
        <patternFill>
          <bgColor theme="3"/>
        </patternFill>
      </fill>
    </dxf>
    <dxf>
      <fill>
        <patternFill>
          <bgColor rgb="FFFF0000"/>
        </patternFill>
      </fill>
    </dxf>
    <dxf>
      <font>
        <color theme="0"/>
      </font>
      <fill>
        <patternFill>
          <bgColor theme="3"/>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62" Type="http://schemas.openxmlformats.org/officeDocument/2006/relationships/worksheet" Target="worksheets/sheet5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16</xdr:col>
      <xdr:colOff>50803</xdr:colOff>
      <xdr:row>2</xdr:row>
      <xdr:rowOff>8466</xdr:rowOff>
    </xdr:from>
    <xdr:to>
      <xdr:col>24</xdr:col>
      <xdr:colOff>531710</xdr:colOff>
      <xdr:row>6</xdr:row>
      <xdr:rowOff>199389</xdr:rowOff>
    </xdr:to>
    <xdr:pic>
      <xdr:nvPicPr>
        <xdr:cNvPr id="2" name="그림 1">
          <a:extLst>
            <a:ext uri="{FF2B5EF4-FFF2-40B4-BE49-F238E27FC236}">
              <a16:creationId xmlns:a16="http://schemas.microsoft.com/office/drawing/2014/main" id="{17E2D8C8-7FD6-49B3-8AEA-2D35C9371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2103" y="649816"/>
          <a:ext cx="5764107" cy="12069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227E2F-97CB-4604-A0A9-5D361C6E40DF}">
  <we:reference id="wa200010725" version="1.0.0.1" store="ko-KR" storeType="OMEX"/>
  <we:alternateReferences>
    <we:reference id="WA200010725" version="1.0.0.1" store="" storeType="OMEX"/>
  </we:alternateReferences>
  <we:properties>
    <we:property name="claude.fileId" value="&quot;2d5f775e-1c4b-4687-92de-ba833b9cde2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7.xml.rels><?xml version="1.0" encoding="UTF-8" standalone="yes"?>
<Relationships xmlns="http://schemas.openxmlformats.org/package/2006/relationships"><Relationship Id="rId1" Type="http://schemas.openxmlformats.org/officeDocument/2006/relationships/hyperlink" Target="https://otcinfo.kofia.or.kr/"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1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7" tint="0.79998168889431442"/>
  </sheetPr>
  <dimension ref="B2:D164"/>
  <sheetViews>
    <sheetView topLeftCell="A70" zoomScaleNormal="100" workbookViewId="0">
      <selection activeCell="C162" sqref="C162"/>
    </sheetView>
  </sheetViews>
  <sheetFormatPr defaultRowHeight="17.600000000000001"/>
  <cols>
    <col min="2" max="2" width="12.5" customWidth="1"/>
    <col min="4" max="4" width="24.0703125" bestFit="1" customWidth="1"/>
  </cols>
  <sheetData>
    <row r="2" spans="2:4">
      <c r="B2" s="47" t="s">
        <v>763</v>
      </c>
      <c r="C2" s="49" t="s">
        <v>764</v>
      </c>
      <c r="D2" s="47" t="s">
        <v>423</v>
      </c>
    </row>
    <row r="3" spans="2:4">
      <c r="B3" s="47"/>
      <c r="C3" s="49" t="s">
        <v>764</v>
      </c>
      <c r="D3" s="47" t="s">
        <v>424</v>
      </c>
    </row>
    <row r="4" spans="2:4">
      <c r="B4" s="47"/>
      <c r="C4" s="49" t="s">
        <v>764</v>
      </c>
      <c r="D4" s="47" t="s">
        <v>425</v>
      </c>
    </row>
    <row r="5" spans="2:4">
      <c r="B5" s="47"/>
      <c r="C5" s="47" t="s">
        <v>765</v>
      </c>
      <c r="D5" s="47" t="s">
        <v>766</v>
      </c>
    </row>
    <row r="6" spans="2:4">
      <c r="B6" s="47"/>
      <c r="C6" s="47" t="s">
        <v>767</v>
      </c>
      <c r="D6" s="47" t="s">
        <v>426</v>
      </c>
    </row>
    <row r="7" spans="2:4">
      <c r="B7" s="47"/>
      <c r="C7" s="47" t="s">
        <v>768</v>
      </c>
      <c r="D7" s="47" t="s">
        <v>769</v>
      </c>
    </row>
    <row r="8" spans="2:4">
      <c r="B8" s="47"/>
      <c r="C8" s="47" t="s">
        <v>770</v>
      </c>
      <c r="D8" s="47" t="s">
        <v>335</v>
      </c>
    </row>
    <row r="9" spans="2:4">
      <c r="B9" s="47"/>
      <c r="C9" s="47" t="s">
        <v>771</v>
      </c>
      <c r="D9" s="47" t="s">
        <v>772</v>
      </c>
    </row>
    <row r="10" spans="2:4">
      <c r="B10" s="47"/>
      <c r="C10" s="47" t="s">
        <v>773</v>
      </c>
      <c r="D10" s="47" t="s">
        <v>220</v>
      </c>
    </row>
    <row r="11" spans="2:4">
      <c r="B11" s="47"/>
      <c r="C11" s="47" t="s">
        <v>774</v>
      </c>
      <c r="D11" s="47" t="s">
        <v>775</v>
      </c>
    </row>
    <row r="12" spans="2:4">
      <c r="B12" s="47"/>
      <c r="C12" s="386">
        <v>12400</v>
      </c>
      <c r="D12" s="47" t="s">
        <v>1142</v>
      </c>
    </row>
    <row r="13" spans="2:4">
      <c r="B13" s="47"/>
      <c r="C13" s="47" t="s">
        <v>776</v>
      </c>
      <c r="D13" s="47" t="s">
        <v>3</v>
      </c>
    </row>
    <row r="14" spans="2:4">
      <c r="B14" s="47"/>
      <c r="C14" s="47" t="s">
        <v>777</v>
      </c>
      <c r="D14" s="47" t="s">
        <v>778</v>
      </c>
    </row>
    <row r="15" spans="2:4">
      <c r="B15" s="47"/>
      <c r="C15" s="47" t="s">
        <v>779</v>
      </c>
      <c r="D15" s="47" t="s">
        <v>4</v>
      </c>
    </row>
    <row r="16" spans="2:4">
      <c r="B16" s="47"/>
      <c r="C16" s="47" t="s">
        <v>780</v>
      </c>
      <c r="D16" s="47" t="s">
        <v>781</v>
      </c>
    </row>
    <row r="17" spans="2:4">
      <c r="B17" s="47"/>
      <c r="C17" s="47" t="s">
        <v>782</v>
      </c>
      <c r="D17" s="47" t="s">
        <v>783</v>
      </c>
    </row>
    <row r="18" spans="2:4">
      <c r="B18" s="47"/>
      <c r="C18" s="47" t="s">
        <v>784</v>
      </c>
      <c r="D18" s="47" t="s">
        <v>785</v>
      </c>
    </row>
    <row r="19" spans="2:4">
      <c r="B19" s="47"/>
      <c r="C19" s="47" t="s">
        <v>786</v>
      </c>
      <c r="D19" s="47" t="s">
        <v>787</v>
      </c>
    </row>
    <row r="20" spans="2:4">
      <c r="B20" s="47"/>
      <c r="C20" s="47" t="s">
        <v>788</v>
      </c>
      <c r="D20" s="47" t="s">
        <v>62</v>
      </c>
    </row>
    <row r="21" spans="2:4">
      <c r="B21" s="47"/>
      <c r="C21" s="47" t="s">
        <v>789</v>
      </c>
      <c r="D21" s="47" t="s">
        <v>63</v>
      </c>
    </row>
    <row r="22" spans="2:4">
      <c r="B22" s="47"/>
      <c r="C22" s="47" t="s">
        <v>790</v>
      </c>
      <c r="D22" s="47" t="s">
        <v>791</v>
      </c>
    </row>
    <row r="23" spans="2:4">
      <c r="B23" s="47"/>
      <c r="C23" s="47" t="s">
        <v>792</v>
      </c>
      <c r="D23" s="47" t="s">
        <v>263</v>
      </c>
    </row>
    <row r="24" spans="2:4">
      <c r="B24" s="47"/>
      <c r="C24" s="47" t="s">
        <v>793</v>
      </c>
      <c r="D24" s="47" t="s">
        <v>794</v>
      </c>
    </row>
    <row r="25" spans="2:4">
      <c r="B25" s="47"/>
      <c r="C25" s="48" t="s">
        <v>795</v>
      </c>
      <c r="D25" s="47" t="s">
        <v>796</v>
      </c>
    </row>
    <row r="26" spans="2:4">
      <c r="B26" s="47"/>
      <c r="C26" s="48" t="s">
        <v>797</v>
      </c>
      <c r="D26" s="47" t="s">
        <v>798</v>
      </c>
    </row>
    <row r="27" spans="2:4">
      <c r="B27" s="47"/>
      <c r="C27" s="47" t="s">
        <v>799</v>
      </c>
      <c r="D27" s="47" t="s">
        <v>750</v>
      </c>
    </row>
    <row r="28" spans="2:4">
      <c r="B28" s="47" t="s">
        <v>800</v>
      </c>
      <c r="C28" s="387">
        <v>17600</v>
      </c>
      <c r="D28" s="49" t="s">
        <v>1150</v>
      </c>
    </row>
    <row r="29" spans="2:4">
      <c r="B29" s="47"/>
      <c r="C29" s="387">
        <v>17700</v>
      </c>
      <c r="D29" s="49" t="s">
        <v>1151</v>
      </c>
    </row>
    <row r="30" spans="2:4">
      <c r="B30" s="47"/>
      <c r="C30" s="49" t="s">
        <v>801</v>
      </c>
      <c r="D30" s="49" t="s">
        <v>802</v>
      </c>
    </row>
    <row r="31" spans="2:4">
      <c r="B31" s="47"/>
      <c r="C31" s="47" t="s">
        <v>803</v>
      </c>
      <c r="D31" s="47" t="s">
        <v>66</v>
      </c>
    </row>
    <row r="32" spans="2:4">
      <c r="B32" s="47"/>
      <c r="C32" s="47" t="s">
        <v>804</v>
      </c>
      <c r="D32" s="47" t="s">
        <v>805</v>
      </c>
    </row>
    <row r="33" spans="2:4">
      <c r="B33" s="47"/>
      <c r="C33" s="47" t="s">
        <v>806</v>
      </c>
      <c r="D33" s="47" t="s">
        <v>67</v>
      </c>
    </row>
    <row r="34" spans="2:4">
      <c r="B34" s="47"/>
      <c r="C34" s="47" t="s">
        <v>807</v>
      </c>
      <c r="D34" s="47" t="s">
        <v>808</v>
      </c>
    </row>
    <row r="35" spans="2:4">
      <c r="B35" s="47"/>
      <c r="C35" s="47" t="s">
        <v>809</v>
      </c>
      <c r="D35" s="47" t="s">
        <v>68</v>
      </c>
    </row>
    <row r="36" spans="2:4">
      <c r="B36" s="47"/>
      <c r="C36" s="47" t="s">
        <v>810</v>
      </c>
      <c r="D36" s="47" t="s">
        <v>811</v>
      </c>
    </row>
    <row r="37" spans="2:4">
      <c r="B37" s="47"/>
      <c r="C37" s="47" t="s">
        <v>812</v>
      </c>
      <c r="D37" s="47" t="s">
        <v>331</v>
      </c>
    </row>
    <row r="38" spans="2:4">
      <c r="B38" s="47"/>
      <c r="C38" s="47" t="s">
        <v>813</v>
      </c>
      <c r="D38" s="47" t="s">
        <v>814</v>
      </c>
    </row>
    <row r="39" spans="2:4">
      <c r="B39" s="47"/>
      <c r="C39" s="387">
        <v>21400</v>
      </c>
      <c r="D39" s="49" t="s">
        <v>1143</v>
      </c>
    </row>
    <row r="40" spans="2:4">
      <c r="B40" s="47"/>
      <c r="C40" s="47" t="s">
        <v>815</v>
      </c>
      <c r="D40" s="47" t="s">
        <v>332</v>
      </c>
    </row>
    <row r="41" spans="2:4">
      <c r="B41" s="47"/>
      <c r="C41" s="47" t="s">
        <v>816</v>
      </c>
      <c r="D41" s="47" t="s">
        <v>817</v>
      </c>
    </row>
    <row r="42" spans="2:4">
      <c r="B42" s="47"/>
      <c r="C42" s="387">
        <v>22100</v>
      </c>
      <c r="D42" s="49" t="s">
        <v>1144</v>
      </c>
    </row>
    <row r="43" spans="2:4">
      <c r="B43" s="47"/>
      <c r="C43" s="387">
        <v>22200</v>
      </c>
      <c r="D43" s="49" t="s">
        <v>1145</v>
      </c>
    </row>
    <row r="44" spans="2:4">
      <c r="B44" s="47"/>
      <c r="C44" s="386" t="s">
        <v>818</v>
      </c>
      <c r="D44" s="47" t="s">
        <v>359</v>
      </c>
    </row>
    <row r="45" spans="2:4">
      <c r="B45" s="47"/>
      <c r="C45" s="47" t="s">
        <v>819</v>
      </c>
      <c r="D45" s="47" t="s">
        <v>820</v>
      </c>
    </row>
    <row r="46" spans="2:4">
      <c r="B46" s="47"/>
      <c r="C46" s="47" t="s">
        <v>821</v>
      </c>
      <c r="D46" s="47" t="s">
        <v>496</v>
      </c>
    </row>
    <row r="47" spans="2:4">
      <c r="B47" s="47"/>
      <c r="C47" s="47" t="s">
        <v>822</v>
      </c>
      <c r="D47" s="47" t="s">
        <v>427</v>
      </c>
    </row>
    <row r="48" spans="2:4">
      <c r="B48" s="47"/>
      <c r="C48" s="47" t="s">
        <v>823</v>
      </c>
      <c r="D48" s="47" t="s">
        <v>389</v>
      </c>
    </row>
    <row r="49" spans="2:4">
      <c r="B49" s="47"/>
      <c r="C49" s="48" t="s">
        <v>824</v>
      </c>
      <c r="D49" s="47" t="s">
        <v>825</v>
      </c>
    </row>
    <row r="50" spans="2:4">
      <c r="B50" s="47"/>
      <c r="C50" s="47" t="s">
        <v>826</v>
      </c>
      <c r="D50" s="47" t="s">
        <v>388</v>
      </c>
    </row>
    <row r="51" spans="2:4">
      <c r="B51" s="47"/>
      <c r="C51" s="47" t="s">
        <v>827</v>
      </c>
      <c r="D51" s="47" t="s">
        <v>260</v>
      </c>
    </row>
    <row r="52" spans="2:4">
      <c r="B52" s="47"/>
      <c r="C52" s="47" t="s">
        <v>828</v>
      </c>
      <c r="D52" s="47" t="s">
        <v>261</v>
      </c>
    </row>
    <row r="53" spans="2:4">
      <c r="B53" s="47"/>
      <c r="C53" s="48" t="s">
        <v>829</v>
      </c>
      <c r="D53" s="47" t="s">
        <v>288</v>
      </c>
    </row>
    <row r="54" spans="2:4">
      <c r="B54" s="47" t="s">
        <v>830</v>
      </c>
      <c r="C54" s="47" t="s">
        <v>831</v>
      </c>
      <c r="D54" s="47" t="s">
        <v>292</v>
      </c>
    </row>
    <row r="55" spans="2:4">
      <c r="B55" s="47"/>
      <c r="C55" s="47" t="s">
        <v>832</v>
      </c>
      <c r="D55" s="47" t="s">
        <v>6</v>
      </c>
    </row>
    <row r="56" spans="2:4">
      <c r="B56" s="47"/>
      <c r="C56" s="47" t="s">
        <v>833</v>
      </c>
      <c r="D56" s="47" t="s">
        <v>428</v>
      </c>
    </row>
    <row r="57" spans="2:4">
      <c r="B57" s="47"/>
      <c r="C57" s="47" t="s">
        <v>834</v>
      </c>
      <c r="D57" s="47" t="s">
        <v>429</v>
      </c>
    </row>
    <row r="58" spans="2:4">
      <c r="B58" s="47"/>
      <c r="C58" s="47" t="s">
        <v>835</v>
      </c>
      <c r="D58" s="47" t="s">
        <v>7</v>
      </c>
    </row>
    <row r="59" spans="2:4">
      <c r="B59" s="47"/>
      <c r="C59" s="47" t="s">
        <v>836</v>
      </c>
      <c r="D59" s="47" t="s">
        <v>251</v>
      </c>
    </row>
    <row r="60" spans="2:4">
      <c r="B60" s="47"/>
      <c r="C60" s="47" t="s">
        <v>837</v>
      </c>
      <c r="D60" s="47" t="s">
        <v>97</v>
      </c>
    </row>
    <row r="61" spans="2:4">
      <c r="B61" s="47"/>
      <c r="C61" s="47" t="s">
        <v>838</v>
      </c>
      <c r="D61" s="47" t="s">
        <v>290</v>
      </c>
    </row>
    <row r="62" spans="2:4">
      <c r="B62" s="47"/>
      <c r="C62" s="47" t="s">
        <v>839</v>
      </c>
      <c r="D62" s="47" t="s">
        <v>293</v>
      </c>
    </row>
    <row r="63" spans="2:4">
      <c r="B63" s="47"/>
      <c r="C63" s="47" t="s">
        <v>840</v>
      </c>
      <c r="D63" s="47" t="s">
        <v>662</v>
      </c>
    </row>
    <row r="64" spans="2:4">
      <c r="B64" s="47"/>
      <c r="C64" s="47" t="s">
        <v>841</v>
      </c>
      <c r="D64" s="47" t="s">
        <v>638</v>
      </c>
    </row>
    <row r="65" spans="2:4">
      <c r="B65" s="47" t="s">
        <v>842</v>
      </c>
      <c r="C65" s="47" t="s">
        <v>843</v>
      </c>
      <c r="D65" s="47" t="s">
        <v>253</v>
      </c>
    </row>
    <row r="66" spans="2:4">
      <c r="B66" s="47"/>
      <c r="C66" s="47" t="s">
        <v>844</v>
      </c>
      <c r="D66" s="47" t="s">
        <v>845</v>
      </c>
    </row>
    <row r="67" spans="2:4">
      <c r="B67" s="47"/>
      <c r="C67" s="47" t="s">
        <v>846</v>
      </c>
      <c r="D67" s="47" t="s">
        <v>252</v>
      </c>
    </row>
    <row r="68" spans="2:4">
      <c r="B68" s="47"/>
      <c r="C68" s="47" t="s">
        <v>847</v>
      </c>
      <c r="D68" s="47" t="s">
        <v>848</v>
      </c>
    </row>
    <row r="69" spans="2:4">
      <c r="B69" s="47"/>
      <c r="C69" s="47" t="s">
        <v>849</v>
      </c>
      <c r="D69" s="47" t="s">
        <v>850</v>
      </c>
    </row>
    <row r="70" spans="2:4">
      <c r="B70" s="47"/>
      <c r="C70" s="47" t="s">
        <v>851</v>
      </c>
      <c r="D70" s="47" t="s">
        <v>437</v>
      </c>
    </row>
    <row r="71" spans="2:4">
      <c r="B71" s="47"/>
      <c r="C71" s="47">
        <v>31600</v>
      </c>
      <c r="D71" s="47" t="s">
        <v>1298</v>
      </c>
    </row>
    <row r="72" spans="2:4">
      <c r="B72" s="47" t="s">
        <v>852</v>
      </c>
      <c r="C72" s="47" t="s">
        <v>853</v>
      </c>
      <c r="D72" s="47" t="s">
        <v>82</v>
      </c>
    </row>
    <row r="73" spans="2:4">
      <c r="B73" s="47"/>
      <c r="C73" s="47" t="s">
        <v>854</v>
      </c>
      <c r="D73" s="47" t="s">
        <v>430</v>
      </c>
    </row>
    <row r="74" spans="2:4">
      <c r="B74" s="47"/>
      <c r="C74" s="47" t="s">
        <v>855</v>
      </c>
      <c r="D74" s="47" t="s">
        <v>56</v>
      </c>
    </row>
    <row r="75" spans="2:4">
      <c r="B75" s="47"/>
      <c r="C75" s="47" t="s">
        <v>856</v>
      </c>
      <c r="D75" s="47" t="s">
        <v>431</v>
      </c>
    </row>
    <row r="76" spans="2:4">
      <c r="B76" s="47"/>
      <c r="C76" s="47" t="s">
        <v>857</v>
      </c>
      <c r="D76" s="47" t="s">
        <v>294</v>
      </c>
    </row>
    <row r="77" spans="2:4">
      <c r="B77" s="47"/>
      <c r="C77" s="49" t="s">
        <v>858</v>
      </c>
      <c r="D77" s="49" t="s">
        <v>859</v>
      </c>
    </row>
    <row r="78" spans="2:4">
      <c r="B78" s="47"/>
      <c r="C78" s="47" t="s">
        <v>860</v>
      </c>
      <c r="D78" s="47" t="s">
        <v>433</v>
      </c>
    </row>
    <row r="79" spans="2:4">
      <c r="B79" s="47"/>
      <c r="C79" s="47" t="s">
        <v>861</v>
      </c>
      <c r="D79" s="47" t="s">
        <v>862</v>
      </c>
    </row>
    <row r="80" spans="2:4">
      <c r="B80" s="47"/>
      <c r="C80" s="47" t="s">
        <v>863</v>
      </c>
      <c r="D80" s="47" t="s">
        <v>718</v>
      </c>
    </row>
    <row r="81" spans="2:4">
      <c r="B81" s="47"/>
      <c r="C81" s="47" t="s">
        <v>864</v>
      </c>
      <c r="D81" s="47" t="s">
        <v>70</v>
      </c>
    </row>
    <row r="83" spans="2:4">
      <c r="B83" s="47"/>
      <c r="C83" s="47" t="s">
        <v>866</v>
      </c>
      <c r="D83" s="47" t="s">
        <v>199</v>
      </c>
    </row>
    <row r="84" spans="2:4">
      <c r="B84" s="47"/>
      <c r="C84" s="47" t="s">
        <v>867</v>
      </c>
      <c r="D84" s="47" t="s">
        <v>181</v>
      </c>
    </row>
    <row r="85" spans="2:4">
      <c r="B85" s="47"/>
      <c r="C85" s="50" t="s">
        <v>911</v>
      </c>
      <c r="D85" s="49" t="s">
        <v>912</v>
      </c>
    </row>
    <row r="86" spans="2:4">
      <c r="B86" s="47"/>
      <c r="C86" s="50" t="s">
        <v>913</v>
      </c>
      <c r="D86" s="49" t="s">
        <v>914</v>
      </c>
    </row>
    <row r="87" spans="2:4">
      <c r="B87" s="47"/>
      <c r="C87" s="47" t="s">
        <v>869</v>
      </c>
      <c r="D87" s="47" t="s">
        <v>915</v>
      </c>
    </row>
    <row r="88" spans="2:4">
      <c r="B88" s="47"/>
      <c r="C88" s="47" t="s">
        <v>868</v>
      </c>
      <c r="D88" s="47" t="s">
        <v>183</v>
      </c>
    </row>
    <row r="89" spans="2:4">
      <c r="B89" s="47"/>
      <c r="C89" s="50" t="s">
        <v>916</v>
      </c>
      <c r="D89" s="49" t="s">
        <v>917</v>
      </c>
    </row>
    <row r="90" spans="2:4">
      <c r="B90" s="47"/>
      <c r="C90" s="50" t="s">
        <v>918</v>
      </c>
      <c r="D90" s="49" t="s">
        <v>919</v>
      </c>
    </row>
    <row r="91" spans="2:4">
      <c r="B91" s="47" t="s">
        <v>920</v>
      </c>
      <c r="C91" s="47" t="s">
        <v>921</v>
      </c>
      <c r="D91" s="47" t="s">
        <v>922</v>
      </c>
    </row>
    <row r="92" spans="2:4">
      <c r="B92" s="47"/>
      <c r="C92" s="47" t="s">
        <v>923</v>
      </c>
      <c r="D92" s="47" t="s">
        <v>108</v>
      </c>
    </row>
    <row r="93" spans="2:4">
      <c r="B93" s="47"/>
      <c r="C93" s="47" t="s">
        <v>924</v>
      </c>
      <c r="D93" s="47" t="s">
        <v>203</v>
      </c>
    </row>
    <row r="94" spans="2:4">
      <c r="B94" s="47"/>
      <c r="C94" s="47" t="s">
        <v>925</v>
      </c>
      <c r="D94" s="47" t="s">
        <v>10</v>
      </c>
    </row>
    <row r="95" spans="2:4">
      <c r="B95" s="47"/>
      <c r="C95" s="47" t="s">
        <v>926</v>
      </c>
      <c r="D95" s="47" t="s">
        <v>11</v>
      </c>
    </row>
    <row r="96" spans="2:4">
      <c r="B96" s="47"/>
      <c r="C96" s="47" t="s">
        <v>927</v>
      </c>
      <c r="D96" s="47" t="s">
        <v>12</v>
      </c>
    </row>
    <row r="97" spans="2:4">
      <c r="B97" s="47"/>
      <c r="C97" s="47" t="s">
        <v>928</v>
      </c>
      <c r="D97" s="47" t="s">
        <v>14</v>
      </c>
    </row>
    <row r="98" spans="2:4">
      <c r="B98" s="47"/>
      <c r="C98" s="387">
        <v>51500</v>
      </c>
      <c r="D98" s="49" t="s">
        <v>1146</v>
      </c>
    </row>
    <row r="99" spans="2:4">
      <c r="B99" s="47"/>
      <c r="C99" s="47" t="s">
        <v>929</v>
      </c>
      <c r="D99" s="47" t="s">
        <v>930</v>
      </c>
    </row>
    <row r="100" spans="2:4">
      <c r="B100" s="47"/>
      <c r="C100" s="47" t="s">
        <v>931</v>
      </c>
      <c r="D100" s="47" t="s">
        <v>351</v>
      </c>
    </row>
    <row r="101" spans="2:4">
      <c r="B101" s="47"/>
      <c r="C101" s="47" t="s">
        <v>932</v>
      </c>
      <c r="D101" s="47" t="s">
        <v>15</v>
      </c>
    </row>
    <row r="102" spans="2:4">
      <c r="B102" s="47"/>
      <c r="C102" s="47" t="s">
        <v>933</v>
      </c>
      <c r="D102" s="47" t="s">
        <v>352</v>
      </c>
    </row>
    <row r="103" spans="2:4">
      <c r="B103" s="47"/>
      <c r="C103" s="47" t="s">
        <v>934</v>
      </c>
      <c r="D103" s="47" t="s">
        <v>16</v>
      </c>
    </row>
    <row r="104" spans="2:4">
      <c r="B104" s="47"/>
      <c r="C104" s="47" t="s">
        <v>935</v>
      </c>
      <c r="D104" s="47" t="s">
        <v>17</v>
      </c>
    </row>
    <row r="105" spans="2:4">
      <c r="B105" s="47"/>
      <c r="C105" s="47" t="s">
        <v>936</v>
      </c>
      <c r="D105" s="47" t="s">
        <v>19</v>
      </c>
    </row>
    <row r="106" spans="2:4">
      <c r="B106" s="47"/>
      <c r="C106" s="47" t="s">
        <v>937</v>
      </c>
      <c r="D106" s="47" t="s">
        <v>75</v>
      </c>
    </row>
    <row r="107" spans="2:4">
      <c r="B107" s="47"/>
      <c r="C107" s="47" t="s">
        <v>938</v>
      </c>
      <c r="D107" s="47" t="s">
        <v>20</v>
      </c>
    </row>
    <row r="108" spans="2:4">
      <c r="B108" s="47"/>
      <c r="C108" s="47" t="s">
        <v>939</v>
      </c>
      <c r="D108" s="47" t="s">
        <v>205</v>
      </c>
    </row>
    <row r="109" spans="2:4">
      <c r="B109" s="47"/>
      <c r="C109" s="47" t="s">
        <v>940</v>
      </c>
      <c r="D109" s="47" t="s">
        <v>21</v>
      </c>
    </row>
    <row r="110" spans="2:4">
      <c r="B110" s="47"/>
      <c r="C110" s="47" t="s">
        <v>941</v>
      </c>
      <c r="D110" s="47" t="s">
        <v>22</v>
      </c>
    </row>
    <row r="111" spans="2:4">
      <c r="B111" s="47"/>
      <c r="C111" s="47" t="s">
        <v>942</v>
      </c>
      <c r="D111" s="47" t="s">
        <v>943</v>
      </c>
    </row>
    <row r="112" spans="2:4">
      <c r="B112" s="47"/>
      <c r="C112" s="47" t="s">
        <v>944</v>
      </c>
      <c r="D112" s="47" t="s">
        <v>355</v>
      </c>
    </row>
    <row r="113" spans="2:4">
      <c r="B113" s="47"/>
      <c r="C113" s="47" t="s">
        <v>945</v>
      </c>
      <c r="D113" s="47" t="s">
        <v>207</v>
      </c>
    </row>
    <row r="114" spans="2:4">
      <c r="B114" s="47" t="s">
        <v>946</v>
      </c>
      <c r="C114" s="47" t="s">
        <v>870</v>
      </c>
      <c r="D114" s="47" t="s">
        <v>202</v>
      </c>
    </row>
    <row r="115" spans="2:4">
      <c r="B115" s="47"/>
      <c r="C115" s="47" t="s">
        <v>947</v>
      </c>
      <c r="D115" s="47" t="s">
        <v>203</v>
      </c>
    </row>
    <row r="116" spans="2:4">
      <c r="B116" s="47"/>
      <c r="C116" s="47" t="s">
        <v>871</v>
      </c>
      <c r="D116" s="47" t="s">
        <v>10</v>
      </c>
    </row>
    <row r="117" spans="2:4">
      <c r="B117" s="47"/>
      <c r="C117" s="47" t="s">
        <v>872</v>
      </c>
      <c r="D117" s="47" t="s">
        <v>204</v>
      </c>
    </row>
    <row r="118" spans="2:4">
      <c r="B118" s="47"/>
      <c r="C118" s="47" t="s">
        <v>873</v>
      </c>
      <c r="D118" s="47" t="s">
        <v>11</v>
      </c>
    </row>
    <row r="119" spans="2:4">
      <c r="B119" s="47"/>
      <c r="C119" s="47" t="s">
        <v>874</v>
      </c>
      <c r="D119" s="47" t="s">
        <v>12</v>
      </c>
    </row>
    <row r="120" spans="2:4">
      <c r="B120" s="47"/>
      <c r="C120" s="47" t="s">
        <v>875</v>
      </c>
      <c r="D120" s="47" t="s">
        <v>13</v>
      </c>
    </row>
    <row r="121" spans="2:4">
      <c r="B121" s="47"/>
      <c r="C121" s="47" t="s">
        <v>876</v>
      </c>
      <c r="D121" s="47" t="s">
        <v>14</v>
      </c>
    </row>
    <row r="122" spans="2:4">
      <c r="B122" s="47"/>
      <c r="C122" s="47" t="s">
        <v>877</v>
      </c>
      <c r="D122" s="47" t="s">
        <v>74</v>
      </c>
    </row>
    <row r="123" spans="2:4">
      <c r="B123" s="47"/>
      <c r="C123" s="387">
        <v>81600</v>
      </c>
      <c r="D123" s="49" t="s">
        <v>1147</v>
      </c>
    </row>
    <row r="124" spans="2:4">
      <c r="B124" s="47"/>
      <c r="C124" s="47" t="s">
        <v>878</v>
      </c>
      <c r="D124" s="47" t="s">
        <v>351</v>
      </c>
    </row>
    <row r="125" spans="2:4">
      <c r="B125" s="47"/>
      <c r="C125" s="47" t="s">
        <v>879</v>
      </c>
      <c r="D125" s="47" t="s">
        <v>15</v>
      </c>
    </row>
    <row r="126" spans="2:4">
      <c r="B126" s="47"/>
      <c r="C126" s="47" t="s">
        <v>880</v>
      </c>
      <c r="D126" s="47" t="s">
        <v>352</v>
      </c>
    </row>
    <row r="127" spans="2:4">
      <c r="B127" s="47"/>
      <c r="C127" s="47" t="s">
        <v>881</v>
      </c>
      <c r="D127" s="47" t="s">
        <v>16</v>
      </c>
    </row>
    <row r="128" spans="2:4">
      <c r="B128" s="47"/>
      <c r="C128" s="47" t="s">
        <v>882</v>
      </c>
      <c r="D128" s="47" t="s">
        <v>17</v>
      </c>
    </row>
    <row r="129" spans="2:4">
      <c r="B129" s="47"/>
      <c r="C129" s="47" t="s">
        <v>883</v>
      </c>
      <c r="D129" s="47" t="s">
        <v>18</v>
      </c>
    </row>
    <row r="130" spans="2:4">
      <c r="B130" s="47"/>
      <c r="C130" s="47" t="s">
        <v>884</v>
      </c>
      <c r="D130" s="47" t="s">
        <v>353</v>
      </c>
    </row>
    <row r="131" spans="2:4">
      <c r="B131" s="47"/>
      <c r="C131" s="47" t="s">
        <v>885</v>
      </c>
      <c r="D131" s="47" t="s">
        <v>19</v>
      </c>
    </row>
    <row r="132" spans="2:4">
      <c r="B132" s="47"/>
      <c r="C132" s="47" t="s">
        <v>886</v>
      </c>
      <c r="D132" s="47" t="s">
        <v>75</v>
      </c>
    </row>
    <row r="133" spans="2:4">
      <c r="B133" s="47"/>
      <c r="C133" s="47" t="s">
        <v>887</v>
      </c>
      <c r="D133" s="47" t="s">
        <v>20</v>
      </c>
    </row>
    <row r="134" spans="2:4">
      <c r="B134" s="47"/>
      <c r="C134" s="47" t="s">
        <v>888</v>
      </c>
      <c r="D134" s="47" t="s">
        <v>110</v>
      </c>
    </row>
    <row r="135" spans="2:4">
      <c r="B135" s="47"/>
      <c r="C135" s="47" t="s">
        <v>889</v>
      </c>
      <c r="D135" s="47" t="s">
        <v>205</v>
      </c>
    </row>
    <row r="136" spans="2:4">
      <c r="B136" s="47"/>
      <c r="C136" s="47" t="s">
        <v>890</v>
      </c>
      <c r="D136" s="47" t="s">
        <v>21</v>
      </c>
    </row>
    <row r="137" spans="2:4">
      <c r="B137" s="47"/>
      <c r="C137" s="47" t="s">
        <v>891</v>
      </c>
      <c r="D137" s="47" t="s">
        <v>22</v>
      </c>
    </row>
    <row r="138" spans="2:4">
      <c r="B138" s="47"/>
      <c r="C138" s="47" t="s">
        <v>892</v>
      </c>
      <c r="D138" s="47" t="s">
        <v>23</v>
      </c>
    </row>
    <row r="139" spans="2:4">
      <c r="B139" s="47"/>
      <c r="C139" s="47" t="s">
        <v>893</v>
      </c>
      <c r="D139" s="47" t="s">
        <v>109</v>
      </c>
    </row>
    <row r="140" spans="2:4">
      <c r="B140" s="47"/>
      <c r="C140" s="47" t="s">
        <v>894</v>
      </c>
      <c r="D140" s="47" t="s">
        <v>355</v>
      </c>
    </row>
    <row r="141" spans="2:4">
      <c r="B141" s="47"/>
      <c r="C141" s="47" t="s">
        <v>895</v>
      </c>
      <c r="D141" s="47" t="s">
        <v>356</v>
      </c>
    </row>
    <row r="142" spans="2:4">
      <c r="B142" s="47"/>
      <c r="C142" s="47" t="s">
        <v>896</v>
      </c>
      <c r="D142" s="47" t="s">
        <v>206</v>
      </c>
    </row>
    <row r="143" spans="2:4">
      <c r="B143" s="47"/>
      <c r="C143" s="47" t="s">
        <v>897</v>
      </c>
      <c r="D143" s="47" t="s">
        <v>207</v>
      </c>
    </row>
    <row r="144" spans="2:4">
      <c r="B144" s="47"/>
      <c r="C144" s="47" t="s">
        <v>948</v>
      </c>
      <c r="D144" s="47" t="s">
        <v>357</v>
      </c>
    </row>
    <row r="145" spans="2:4">
      <c r="B145" s="47"/>
      <c r="C145" s="47" t="s">
        <v>898</v>
      </c>
      <c r="D145" s="47" t="s">
        <v>716</v>
      </c>
    </row>
    <row r="146" spans="2:4">
      <c r="B146" s="47"/>
      <c r="C146" s="48" t="s">
        <v>949</v>
      </c>
      <c r="D146" s="47" t="s">
        <v>950</v>
      </c>
    </row>
    <row r="147" spans="2:4">
      <c r="B147" s="47"/>
      <c r="C147" s="48" t="s">
        <v>951</v>
      </c>
      <c r="D147" s="47" t="s">
        <v>952</v>
      </c>
    </row>
    <row r="148" spans="2:4">
      <c r="B148" s="47" t="s">
        <v>953</v>
      </c>
      <c r="C148" s="47" t="s">
        <v>954</v>
      </c>
      <c r="D148" s="47" t="s">
        <v>955</v>
      </c>
    </row>
    <row r="149" spans="2:4">
      <c r="B149" s="47"/>
      <c r="C149" s="47" t="s">
        <v>956</v>
      </c>
      <c r="D149" s="47" t="s">
        <v>957</v>
      </c>
    </row>
    <row r="150" spans="2:4">
      <c r="B150" s="47"/>
      <c r="C150" s="47" t="s">
        <v>903</v>
      </c>
      <c r="D150" s="47" t="s">
        <v>208</v>
      </c>
    </row>
    <row r="151" spans="2:4">
      <c r="B151" s="47"/>
      <c r="C151" s="47" t="s">
        <v>904</v>
      </c>
      <c r="D151" s="47" t="s">
        <v>112</v>
      </c>
    </row>
    <row r="152" spans="2:4">
      <c r="B152" s="47"/>
      <c r="C152" s="47" t="s">
        <v>905</v>
      </c>
      <c r="D152" s="47" t="s">
        <v>113</v>
      </c>
    </row>
    <row r="153" spans="2:4">
      <c r="B153" s="47"/>
      <c r="C153" s="47" t="s">
        <v>958</v>
      </c>
      <c r="D153" s="47" t="s">
        <v>959</v>
      </c>
    </row>
    <row r="154" spans="2:4">
      <c r="B154" s="47"/>
      <c r="C154" s="47" t="s">
        <v>899</v>
      </c>
      <c r="D154" s="47" t="s">
        <v>24</v>
      </c>
    </row>
    <row r="155" spans="2:4">
      <c r="B155" s="47" t="s">
        <v>960</v>
      </c>
      <c r="C155" s="47" t="s">
        <v>961</v>
      </c>
      <c r="D155" s="47" t="s">
        <v>962</v>
      </c>
    </row>
    <row r="156" spans="2:4">
      <c r="B156" s="47"/>
      <c r="C156" s="47" t="s">
        <v>906</v>
      </c>
      <c r="D156" s="47" t="s">
        <v>25</v>
      </c>
    </row>
    <row r="157" spans="2:4">
      <c r="B157" s="47"/>
      <c r="C157" s="47" t="s">
        <v>907</v>
      </c>
      <c r="D157" s="47" t="s">
        <v>115</v>
      </c>
    </row>
    <row r="158" spans="2:4">
      <c r="B158" s="47"/>
      <c r="C158" s="47" t="s">
        <v>900</v>
      </c>
      <c r="D158" s="47" t="s">
        <v>963</v>
      </c>
    </row>
    <row r="159" spans="2:4">
      <c r="B159" s="47"/>
      <c r="C159" s="47" t="s">
        <v>908</v>
      </c>
      <c r="D159" s="47" t="s">
        <v>116</v>
      </c>
    </row>
    <row r="160" spans="2:4">
      <c r="B160" s="47"/>
      <c r="C160" s="48" t="s">
        <v>964</v>
      </c>
      <c r="D160" s="47" t="s">
        <v>965</v>
      </c>
    </row>
    <row r="161" spans="2:4">
      <c r="B161" s="47"/>
      <c r="C161" s="47" t="s">
        <v>966</v>
      </c>
      <c r="D161" s="47" t="s">
        <v>967</v>
      </c>
    </row>
    <row r="162" spans="2:4">
      <c r="B162" s="47"/>
      <c r="C162" s="47" t="s">
        <v>901</v>
      </c>
      <c r="D162" s="47" t="s">
        <v>209</v>
      </c>
    </row>
    <row r="163" spans="2:4">
      <c r="B163" s="47"/>
      <c r="C163" s="47" t="s">
        <v>902</v>
      </c>
      <c r="D163" s="47" t="s">
        <v>26</v>
      </c>
    </row>
    <row r="164" spans="2:4">
      <c r="B164" s="47"/>
      <c r="C164" s="47" t="s">
        <v>909</v>
      </c>
      <c r="D164" s="47" t="s">
        <v>968</v>
      </c>
    </row>
  </sheetData>
  <phoneticPr fontId="2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249977111117893"/>
    <outlinePr summaryBelow="0"/>
  </sheetPr>
  <dimension ref="B3:L42"/>
  <sheetViews>
    <sheetView showGridLines="0" zoomScale="115" zoomScaleNormal="115" zoomScaleSheetLayoutView="100" workbookViewId="0">
      <pane xSplit="1" ySplit="3" topLeftCell="B22" activePane="bottomRight" state="frozen"/>
      <selection activeCell="U53" sqref="U53"/>
      <selection pane="topRight" activeCell="U53" sqref="U53"/>
      <selection pane="bottomLeft" activeCell="U53" sqref="U53"/>
      <selection pane="bottomRight" activeCell="C35" sqref="C35:C40"/>
    </sheetView>
  </sheetViews>
  <sheetFormatPr defaultColWidth="9" defaultRowHeight="15"/>
  <cols>
    <col min="1" max="1" width="2.35546875" style="2" customWidth="1"/>
    <col min="2" max="2" width="25.5703125" style="2" bestFit="1" customWidth="1"/>
    <col min="3" max="5" width="15.5703125" style="2" customWidth="1"/>
    <col min="6" max="6" width="10.0703125" style="2" bestFit="1" customWidth="1"/>
    <col min="7" max="7" width="10.0703125" style="2" customWidth="1"/>
    <col min="8" max="8" width="4.0703125" style="2" customWidth="1"/>
    <col min="9" max="9" width="19" style="2" customWidth="1"/>
    <col min="10" max="10" width="9.0703125" style="2" bestFit="1" customWidth="1"/>
    <col min="11" max="11" width="13.140625" style="2" bestFit="1" customWidth="1"/>
    <col min="12" max="12" width="14.140625" style="2" bestFit="1" customWidth="1"/>
    <col min="13" max="16384" width="9" style="2"/>
  </cols>
  <sheetData>
    <row r="3" spans="2:12">
      <c r="B3" s="417" t="s">
        <v>1197</v>
      </c>
      <c r="C3" s="417" t="s">
        <v>2294</v>
      </c>
      <c r="D3" s="417" t="s">
        <v>2047</v>
      </c>
      <c r="I3" s="780" t="s">
        <v>1831</v>
      </c>
      <c r="J3" s="781" t="s">
        <v>1830</v>
      </c>
      <c r="K3" s="781" t="s">
        <v>2237</v>
      </c>
      <c r="L3" s="931" t="s">
        <v>2238</v>
      </c>
    </row>
    <row r="4" spans="2:12">
      <c r="B4" s="418" t="s">
        <v>1166</v>
      </c>
      <c r="C4" s="414"/>
      <c r="D4" s="414"/>
      <c r="I4" s="406" t="s">
        <v>1166</v>
      </c>
      <c r="J4" s="407"/>
      <c r="K4" s="407"/>
      <c r="L4" s="408"/>
    </row>
    <row r="5" spans="2:12">
      <c r="B5" s="418" t="s">
        <v>1167</v>
      </c>
      <c r="C5" s="419">
        <f>SUM(C6:C12)</f>
        <v>16937363250</v>
      </c>
      <c r="D5" s="419">
        <f>SUM(D6:D12)</f>
        <v>25996495943</v>
      </c>
      <c r="G5" s="2" t="b">
        <f>K5=D5</f>
        <v>1</v>
      </c>
      <c r="I5" s="406" t="s">
        <v>1167</v>
      </c>
      <c r="J5" s="337"/>
      <c r="K5" s="409">
        <v>25996495943</v>
      </c>
      <c r="L5" s="410">
        <v>7305989405</v>
      </c>
    </row>
    <row r="6" spans="2:12">
      <c r="B6" s="413" t="s">
        <v>1168</v>
      </c>
      <c r="C6" s="415">
        <f>정산표!H7</f>
        <v>10968165061</v>
      </c>
      <c r="D6" s="415">
        <f>정산표!M7</f>
        <v>19169211185</v>
      </c>
      <c r="G6" s="2" t="b">
        <f t="shared" ref="G6" si="0">K6=D6</f>
        <v>1</v>
      </c>
      <c r="I6" s="406" t="s">
        <v>1168</v>
      </c>
      <c r="J6" s="337" t="s">
        <v>1832</v>
      </c>
      <c r="K6" s="409">
        <v>19169211185</v>
      </c>
      <c r="L6" s="410">
        <v>1957354410</v>
      </c>
    </row>
    <row r="7" spans="2:12">
      <c r="B7" s="413" t="s">
        <v>1169</v>
      </c>
      <c r="C7" s="415">
        <f>정산표!H9</f>
        <v>0</v>
      </c>
      <c r="D7" s="415">
        <f>정산표!M9</f>
        <v>0</v>
      </c>
      <c r="G7" s="2" t="b">
        <f>D8=K7</f>
        <v>1</v>
      </c>
      <c r="I7" s="406" t="s">
        <v>1833</v>
      </c>
      <c r="J7" s="337" t="s">
        <v>1834</v>
      </c>
      <c r="K7" s="409">
        <v>2048442985</v>
      </c>
      <c r="L7" s="410">
        <v>2018156685</v>
      </c>
    </row>
    <row r="8" spans="2:12">
      <c r="B8" s="413" t="s">
        <v>1170</v>
      </c>
      <c r="C8" s="415">
        <f>정산표!H10</f>
        <v>1667306010</v>
      </c>
      <c r="D8" s="415">
        <f>정산표!M10</f>
        <v>2048442985</v>
      </c>
      <c r="G8" s="2" t="b">
        <f t="shared" ref="G8:G39" si="1">D9=K8</f>
        <v>1</v>
      </c>
      <c r="I8" s="406" t="s">
        <v>1171</v>
      </c>
      <c r="J8" s="337">
        <v>9</v>
      </c>
      <c r="K8" s="409">
        <v>2034274672</v>
      </c>
      <c r="L8" s="410">
        <v>2152367340</v>
      </c>
    </row>
    <row r="9" spans="2:12">
      <c r="B9" s="413" t="s">
        <v>1171</v>
      </c>
      <c r="C9" s="415">
        <f>정산표!H17</f>
        <v>2202609621</v>
      </c>
      <c r="D9" s="415">
        <f>정산표!M17</f>
        <v>2034274672</v>
      </c>
      <c r="G9" s="2" t="b">
        <f t="shared" si="1"/>
        <v>1</v>
      </c>
      <c r="I9" s="406" t="s">
        <v>1172</v>
      </c>
      <c r="J9" s="337">
        <v>10</v>
      </c>
      <c r="K9" s="409">
        <v>2735837690</v>
      </c>
      <c r="L9" s="410">
        <v>772410372</v>
      </c>
    </row>
    <row r="10" spans="2:12">
      <c r="B10" s="413" t="s">
        <v>1172</v>
      </c>
      <c r="C10" s="415">
        <f>정산표!H27</f>
        <v>2097128278</v>
      </c>
      <c r="D10" s="415">
        <f>정산표!M27</f>
        <v>2735837690</v>
      </c>
      <c r="G10" s="2" t="b">
        <f t="shared" si="1"/>
        <v>1</v>
      </c>
      <c r="I10" s="406" t="s">
        <v>1835</v>
      </c>
      <c r="J10" s="337" t="s">
        <v>1836</v>
      </c>
      <c r="K10" s="409">
        <v>1250001</v>
      </c>
      <c r="L10" s="410">
        <v>394803338</v>
      </c>
    </row>
    <row r="11" spans="2:12">
      <c r="B11" s="416" t="s">
        <v>1173</v>
      </c>
      <c r="C11" s="415">
        <f>정산표!H33</f>
        <v>0</v>
      </c>
      <c r="D11" s="415">
        <f>정산표!M33</f>
        <v>1250001</v>
      </c>
      <c r="G11" s="2" t="b">
        <f t="shared" si="1"/>
        <v>1</v>
      </c>
      <c r="I11" s="406" t="s">
        <v>1174</v>
      </c>
      <c r="J11" s="337">
        <v>22</v>
      </c>
      <c r="K11" s="409">
        <v>7479410</v>
      </c>
      <c r="L11" s="410">
        <v>10897260</v>
      </c>
    </row>
    <row r="12" spans="2:12">
      <c r="B12" s="416" t="s">
        <v>1174</v>
      </c>
      <c r="C12" s="415">
        <f>정산표!H36</f>
        <v>2154280</v>
      </c>
      <c r="D12" s="415">
        <f>정산표!M36</f>
        <v>7479410</v>
      </c>
      <c r="G12" s="2" t="b">
        <f t="shared" si="1"/>
        <v>1</v>
      </c>
      <c r="I12" s="406" t="s">
        <v>1175</v>
      </c>
      <c r="J12" s="337"/>
      <c r="K12" s="409">
        <v>29197391461</v>
      </c>
      <c r="L12" s="410">
        <v>9570884416</v>
      </c>
    </row>
    <row r="13" spans="2:12">
      <c r="B13" s="418" t="s">
        <v>1175</v>
      </c>
      <c r="C13" s="419">
        <f>SUM(C14:C19)</f>
        <v>37605682655</v>
      </c>
      <c r="D13" s="419">
        <f>SUM(D14:D19)</f>
        <v>29197391461</v>
      </c>
      <c r="G13" s="2" t="b">
        <f t="shared" si="1"/>
        <v>1</v>
      </c>
      <c r="I13" s="406" t="s">
        <v>1176</v>
      </c>
      <c r="J13" s="337" t="s">
        <v>1837</v>
      </c>
      <c r="K13" s="409">
        <v>388220275</v>
      </c>
      <c r="L13" s="410">
        <v>21783535</v>
      </c>
    </row>
    <row r="14" spans="2:12">
      <c r="B14" s="413" t="s">
        <v>1176</v>
      </c>
      <c r="C14" s="415">
        <f>정산표!H38</f>
        <v>386082376</v>
      </c>
      <c r="D14" s="415">
        <f>정산표!M38</f>
        <v>388220275</v>
      </c>
      <c r="G14" s="2" t="b">
        <f t="shared" si="1"/>
        <v>1</v>
      </c>
      <c r="I14" s="406" t="s">
        <v>1838</v>
      </c>
      <c r="J14" s="337" t="s">
        <v>1839</v>
      </c>
      <c r="K14" s="409">
        <v>172664940</v>
      </c>
      <c r="L14" s="410">
        <v>189231441</v>
      </c>
    </row>
    <row r="15" spans="2:12">
      <c r="B15" s="690" t="s">
        <v>1441</v>
      </c>
      <c r="C15" s="649">
        <f>정산표!H42</f>
        <v>172664940</v>
      </c>
      <c r="D15" s="649">
        <f>정산표!M42</f>
        <v>172664940</v>
      </c>
      <c r="G15" s="2" t="b">
        <f t="shared" si="1"/>
        <v>1</v>
      </c>
      <c r="I15" s="406" t="s">
        <v>1840</v>
      </c>
      <c r="J15" s="337" t="s">
        <v>1841</v>
      </c>
      <c r="K15" s="409">
        <v>17348225181</v>
      </c>
      <c r="L15" s="410">
        <v>666578175</v>
      </c>
    </row>
    <row r="16" spans="2:12">
      <c r="B16" s="416" t="s">
        <v>1177</v>
      </c>
      <c r="C16" s="415">
        <f>정산표!H43</f>
        <v>25348225181</v>
      </c>
      <c r="D16" s="415">
        <f>정산표!M43</f>
        <v>17348225181</v>
      </c>
      <c r="G16" s="2" t="b">
        <f t="shared" si="1"/>
        <v>1</v>
      </c>
      <c r="I16" s="406" t="s">
        <v>1178</v>
      </c>
      <c r="J16" s="337" t="s">
        <v>1842</v>
      </c>
      <c r="K16" s="409">
        <v>8682807344</v>
      </c>
      <c r="L16" s="410">
        <v>6085259645</v>
      </c>
    </row>
    <row r="17" spans="2:12">
      <c r="B17" s="413" t="s">
        <v>1178</v>
      </c>
      <c r="C17" s="415">
        <f>정산표!H47</f>
        <v>9018883065</v>
      </c>
      <c r="D17" s="415">
        <f>정산표!M47</f>
        <v>8682807344</v>
      </c>
      <c r="G17" s="2" t="b">
        <f t="shared" si="1"/>
        <v>1</v>
      </c>
      <c r="I17" s="406" t="s">
        <v>1179</v>
      </c>
      <c r="J17" s="337">
        <v>14</v>
      </c>
      <c r="K17" s="409">
        <v>50368750</v>
      </c>
      <c r="L17" s="410">
        <v>218757479</v>
      </c>
    </row>
    <row r="18" spans="2:12">
      <c r="B18" s="413" t="s">
        <v>1179</v>
      </c>
      <c r="C18" s="415">
        <f>정산표!H66</f>
        <v>124722122</v>
      </c>
      <c r="D18" s="415">
        <f>정산표!M66</f>
        <v>50368750</v>
      </c>
      <c r="G18" s="2" t="b">
        <f t="shared" si="1"/>
        <v>1</v>
      </c>
      <c r="I18" s="406" t="s">
        <v>1843</v>
      </c>
      <c r="J18" s="337">
        <v>22</v>
      </c>
      <c r="K18" s="409">
        <v>2555104971</v>
      </c>
      <c r="L18" s="410">
        <v>2389274141</v>
      </c>
    </row>
    <row r="19" spans="2:12">
      <c r="B19" s="413" t="s">
        <v>1449</v>
      </c>
      <c r="C19" s="649">
        <f>정산표!H71</f>
        <v>2555104971</v>
      </c>
      <c r="D19" s="649">
        <f>정산표!M71</f>
        <v>2555104971</v>
      </c>
      <c r="G19" s="2" t="b">
        <f t="shared" si="1"/>
        <v>1</v>
      </c>
      <c r="I19" s="406" t="s">
        <v>1844</v>
      </c>
      <c r="J19" s="337"/>
      <c r="K19" s="409">
        <v>55193887404</v>
      </c>
      <c r="L19" s="410">
        <v>16876873821</v>
      </c>
    </row>
    <row r="20" spans="2:12">
      <c r="B20" s="418" t="s">
        <v>348</v>
      </c>
      <c r="C20" s="419">
        <f>C5+C13</f>
        <v>54543045905</v>
      </c>
      <c r="D20" s="419">
        <f>D5+D13</f>
        <v>55193887404</v>
      </c>
      <c r="G20" s="2" t="b">
        <f t="shared" si="1"/>
        <v>1</v>
      </c>
      <c r="I20" s="406" t="s">
        <v>1180</v>
      </c>
      <c r="J20" s="337"/>
      <c r="K20" s="407"/>
      <c r="L20" s="408"/>
    </row>
    <row r="21" spans="2:12">
      <c r="B21" s="418" t="s">
        <v>1180</v>
      </c>
      <c r="C21" s="419"/>
      <c r="D21" s="419"/>
      <c r="G21" s="2" t="b">
        <f t="shared" si="1"/>
        <v>1</v>
      </c>
      <c r="I21" s="406" t="s">
        <v>1181</v>
      </c>
      <c r="J21" s="337"/>
      <c r="K21" s="409">
        <v>5794685216</v>
      </c>
      <c r="L21" s="410">
        <v>5458740013</v>
      </c>
    </row>
    <row r="22" spans="2:12">
      <c r="B22" s="418" t="s">
        <v>1181</v>
      </c>
      <c r="C22" s="419">
        <f>SUM(C23:C27)</f>
        <v>7026815912</v>
      </c>
      <c r="D22" s="419">
        <f>SUM(D23:D27)</f>
        <v>5794685216</v>
      </c>
      <c r="G22" s="2" t="b">
        <f t="shared" si="1"/>
        <v>1</v>
      </c>
      <c r="I22" s="406" t="s">
        <v>1182</v>
      </c>
      <c r="J22" s="337" t="s">
        <v>1845</v>
      </c>
      <c r="K22" s="409">
        <v>1584755867</v>
      </c>
      <c r="L22" s="410">
        <v>1698293625</v>
      </c>
    </row>
    <row r="23" spans="2:12">
      <c r="B23" s="413" t="s">
        <v>1182</v>
      </c>
      <c r="C23" s="415">
        <f>정산표!H75</f>
        <v>3144825470</v>
      </c>
      <c r="D23" s="415">
        <f>정산표!M75</f>
        <v>1584755867</v>
      </c>
      <c r="G23" s="2" t="b">
        <f t="shared" si="1"/>
        <v>1</v>
      </c>
      <c r="I23" s="406" t="s">
        <v>1846</v>
      </c>
      <c r="J23" s="337" t="s">
        <v>1847</v>
      </c>
      <c r="K23" s="409">
        <v>1120000000</v>
      </c>
      <c r="L23" s="410">
        <v>1120000000</v>
      </c>
    </row>
    <row r="24" spans="2:12">
      <c r="B24" s="413" t="s">
        <v>1183</v>
      </c>
      <c r="C24" s="415">
        <f>정산표!H80</f>
        <v>1120000000</v>
      </c>
      <c r="D24" s="415">
        <f>정산표!M80</f>
        <v>1120000000</v>
      </c>
      <c r="G24" s="2" t="b">
        <f t="shared" si="1"/>
        <v>1</v>
      </c>
      <c r="I24" s="406" t="s">
        <v>1184</v>
      </c>
      <c r="J24" s="337" t="s">
        <v>1847</v>
      </c>
      <c r="K24" s="409">
        <v>83300000</v>
      </c>
      <c r="L24" s="410">
        <v>99960000</v>
      </c>
    </row>
    <row r="25" spans="2:12">
      <c r="B25" s="416" t="s">
        <v>1184</v>
      </c>
      <c r="C25" s="415">
        <f>정산표!H81</f>
        <v>0</v>
      </c>
      <c r="D25" s="415">
        <f>정산표!M81</f>
        <v>83300000</v>
      </c>
      <c r="G25" s="2" t="b">
        <f t="shared" si="1"/>
        <v>1</v>
      </c>
      <c r="I25" s="406" t="s">
        <v>1848</v>
      </c>
      <c r="J25" s="337" t="s">
        <v>1849</v>
      </c>
      <c r="K25" s="409">
        <v>545986082</v>
      </c>
      <c r="L25" s="410">
        <v>359470185</v>
      </c>
    </row>
    <row r="26" spans="2:12">
      <c r="B26" s="413" t="s">
        <v>1185</v>
      </c>
      <c r="C26" s="415">
        <f>정산표!H82</f>
        <v>537067117</v>
      </c>
      <c r="D26" s="415">
        <f>정산표!M82</f>
        <v>545986082</v>
      </c>
      <c r="G26" s="2" t="b">
        <f t="shared" si="1"/>
        <v>1</v>
      </c>
      <c r="I26" s="406" t="s">
        <v>1850</v>
      </c>
      <c r="J26" s="337" t="s">
        <v>1851</v>
      </c>
      <c r="K26" s="409">
        <v>2460643267</v>
      </c>
      <c r="L26" s="410">
        <v>2181016203</v>
      </c>
    </row>
    <row r="27" spans="2:12">
      <c r="B27" s="413" t="s">
        <v>1186</v>
      </c>
      <c r="C27" s="415">
        <f>정산표!H83</f>
        <v>2224923325</v>
      </c>
      <c r="D27" s="415">
        <f>정산표!M83</f>
        <v>2460643267</v>
      </c>
      <c r="G27" s="2" t="b">
        <f t="shared" si="1"/>
        <v>1</v>
      </c>
      <c r="I27" s="406" t="s">
        <v>1187</v>
      </c>
      <c r="J27" s="337"/>
      <c r="K27" s="409">
        <v>6909567083</v>
      </c>
      <c r="L27" s="410">
        <v>5312588524</v>
      </c>
    </row>
    <row r="28" spans="2:12">
      <c r="B28" s="418" t="s">
        <v>1187</v>
      </c>
      <c r="C28" s="419">
        <f>SUM(C29:C32)</f>
        <v>5815444698</v>
      </c>
      <c r="D28" s="419">
        <f>SUM(D29:D32)</f>
        <v>6909567083</v>
      </c>
      <c r="G28" s="2" t="b">
        <f t="shared" si="1"/>
        <v>1</v>
      </c>
      <c r="I28" s="406" t="s">
        <v>1188</v>
      </c>
      <c r="J28" s="337" t="s">
        <v>1847</v>
      </c>
      <c r="K28" s="409">
        <v>4100000000</v>
      </c>
      <c r="L28" s="410">
        <v>3683300000</v>
      </c>
    </row>
    <row r="29" spans="2:12">
      <c r="B29" s="416" t="s">
        <v>1188</v>
      </c>
      <c r="C29" s="415">
        <f>정산표!H89</f>
        <v>4100000000</v>
      </c>
      <c r="D29" s="415">
        <f>정산표!M89</f>
        <v>4100000000</v>
      </c>
      <c r="G29" s="2" t="b">
        <f t="shared" si="1"/>
        <v>1</v>
      </c>
      <c r="I29" s="406" t="s">
        <v>1189</v>
      </c>
      <c r="J29" s="337" t="s">
        <v>1849</v>
      </c>
      <c r="K29" s="409">
        <v>1049272823</v>
      </c>
      <c r="L29" s="410">
        <v>103490106</v>
      </c>
    </row>
    <row r="30" spans="2:12">
      <c r="B30" s="416" t="s">
        <v>1189</v>
      </c>
      <c r="C30" s="415">
        <f>정산표!H90</f>
        <v>799358124</v>
      </c>
      <c r="D30" s="415">
        <f>정산표!M90</f>
        <v>1049272823</v>
      </c>
      <c r="E30" s="2">
        <f>C30+C26</f>
        <v>1336425241</v>
      </c>
      <c r="F30" s="2">
        <f>D30+D26</f>
        <v>1595258905</v>
      </c>
      <c r="G30" s="2" t="b">
        <f t="shared" si="1"/>
        <v>1</v>
      </c>
      <c r="I30" s="406" t="s">
        <v>1852</v>
      </c>
      <c r="J30" s="337">
        <v>21</v>
      </c>
      <c r="K30" s="409">
        <v>1587206234</v>
      </c>
      <c r="L30" s="410">
        <v>1355144834</v>
      </c>
    </row>
    <row r="31" spans="2:12">
      <c r="B31" s="413" t="s">
        <v>1190</v>
      </c>
      <c r="C31" s="415">
        <f>정산표!H91</f>
        <v>710376650</v>
      </c>
      <c r="D31" s="415">
        <f>정산표!M91</f>
        <v>1587206234</v>
      </c>
      <c r="G31" s="2" t="b">
        <f t="shared" si="1"/>
        <v>1</v>
      </c>
      <c r="I31" s="406" t="s">
        <v>1853</v>
      </c>
      <c r="J31" s="337">
        <v>17</v>
      </c>
      <c r="K31" s="409">
        <v>173088026</v>
      </c>
      <c r="L31" s="410">
        <v>170653584</v>
      </c>
    </row>
    <row r="32" spans="2:12">
      <c r="B32" s="413" t="s">
        <v>1317</v>
      </c>
      <c r="C32" s="649">
        <f>정산표!H87</f>
        <v>205709924</v>
      </c>
      <c r="D32" s="649">
        <f>정산표!M87</f>
        <v>173088026</v>
      </c>
      <c r="G32" s="2" t="b">
        <f t="shared" si="1"/>
        <v>1</v>
      </c>
      <c r="I32" s="406" t="s">
        <v>1854</v>
      </c>
      <c r="J32" s="337"/>
      <c r="K32" s="409">
        <v>12704252299</v>
      </c>
      <c r="L32" s="410">
        <v>10771328537</v>
      </c>
    </row>
    <row r="33" spans="2:12">
      <c r="B33" s="418" t="s">
        <v>349</v>
      </c>
      <c r="C33" s="419">
        <f>C22+C28</f>
        <v>12842260610</v>
      </c>
      <c r="D33" s="419">
        <f>D22+D28</f>
        <v>12704252299</v>
      </c>
      <c r="G33" s="2" t="b">
        <f t="shared" si="1"/>
        <v>1</v>
      </c>
      <c r="I33" s="406" t="s">
        <v>1191</v>
      </c>
      <c r="J33" s="337"/>
      <c r="K33" s="407"/>
      <c r="L33" s="408"/>
    </row>
    <row r="34" spans="2:12">
      <c r="B34" s="418" t="s">
        <v>1191</v>
      </c>
      <c r="C34" s="415"/>
      <c r="D34" s="415"/>
      <c r="G34" s="2" t="b">
        <f t="shared" si="1"/>
        <v>1</v>
      </c>
      <c r="I34" s="406" t="s">
        <v>1192</v>
      </c>
      <c r="J34" s="337" t="s">
        <v>1855</v>
      </c>
      <c r="K34" s="409">
        <v>5691191500</v>
      </c>
      <c r="L34" s="410">
        <v>3123279500</v>
      </c>
    </row>
    <row r="35" spans="2:12">
      <c r="B35" s="413" t="s">
        <v>1192</v>
      </c>
      <c r="C35" s="415">
        <f>정산표!H97</f>
        <v>5691191500</v>
      </c>
      <c r="D35" s="415">
        <f>정산표!M97</f>
        <v>5691191500</v>
      </c>
      <c r="G35" s="2" t="b">
        <f t="shared" si="1"/>
        <v>1</v>
      </c>
      <c r="I35" s="406" t="s">
        <v>1193</v>
      </c>
      <c r="J35" s="337">
        <v>24</v>
      </c>
      <c r="K35" s="409">
        <v>45157382298</v>
      </c>
      <c r="L35" s="410">
        <v>12384121289</v>
      </c>
    </row>
    <row r="36" spans="2:12">
      <c r="B36" s="413" t="s">
        <v>1193</v>
      </c>
      <c r="C36" s="415">
        <f>정산표!H99</f>
        <v>45157382298</v>
      </c>
      <c r="D36" s="415">
        <f>정산표!M99</f>
        <v>45157382298</v>
      </c>
      <c r="G36" s="2" t="b">
        <f t="shared" si="1"/>
        <v>1</v>
      </c>
      <c r="I36" s="406" t="s">
        <v>1194</v>
      </c>
      <c r="J36" s="337">
        <v>25</v>
      </c>
      <c r="K36" s="409">
        <v>424627793</v>
      </c>
      <c r="L36" s="410">
        <v>377682898</v>
      </c>
    </row>
    <row r="37" spans="2:12">
      <c r="B37" s="413" t="s">
        <v>1194</v>
      </c>
      <c r="C37" s="415">
        <f>정산표!H101</f>
        <v>424627793</v>
      </c>
      <c r="D37" s="415">
        <f>정산표!M101</f>
        <v>424627793</v>
      </c>
      <c r="G37" s="2" t="b">
        <f t="shared" si="1"/>
        <v>1</v>
      </c>
      <c r="I37" s="406" t="s">
        <v>1856</v>
      </c>
      <c r="J37" s="337">
        <v>26</v>
      </c>
      <c r="K37" s="409">
        <v>-8783566486</v>
      </c>
      <c r="L37" s="410">
        <v>-9779538403</v>
      </c>
    </row>
    <row r="38" spans="2:12">
      <c r="B38" s="413" t="s">
        <v>1195</v>
      </c>
      <c r="C38" s="415">
        <f>정산표!H103</f>
        <v>-9572416296</v>
      </c>
      <c r="D38" s="415">
        <f>정산표!M103</f>
        <v>-8783566486</v>
      </c>
      <c r="G38" s="2" t="b">
        <f t="shared" si="1"/>
        <v>1</v>
      </c>
      <c r="I38" s="406" t="s">
        <v>122</v>
      </c>
      <c r="J38" s="407"/>
      <c r="K38" s="409">
        <v>42489635105</v>
      </c>
      <c r="L38" s="410">
        <v>6105545284</v>
      </c>
    </row>
    <row r="39" spans="2:12">
      <c r="B39" s="418" t="s">
        <v>122</v>
      </c>
      <c r="C39" s="419">
        <f>SUM(C35:C38)</f>
        <v>41700785295</v>
      </c>
      <c r="D39" s="419">
        <f>SUM(D35:D38)</f>
        <v>42489635105</v>
      </c>
      <c r="G39" s="2" t="b">
        <f t="shared" si="1"/>
        <v>1</v>
      </c>
      <c r="I39" s="620" t="s">
        <v>1196</v>
      </c>
      <c r="J39" s="930"/>
      <c r="K39" s="573">
        <v>55193887404</v>
      </c>
      <c r="L39" s="340">
        <v>16876873821</v>
      </c>
    </row>
    <row r="40" spans="2:12">
      <c r="B40" s="420" t="s">
        <v>1196</v>
      </c>
      <c r="C40" s="419">
        <f>C39+C33</f>
        <v>54543045905</v>
      </c>
      <c r="D40" s="419">
        <f>D39+D33</f>
        <v>55193887404</v>
      </c>
      <c r="I40" s="620" t="s">
        <v>1196</v>
      </c>
      <c r="J40" s="930"/>
      <c r="K40" s="573">
        <v>16876873821</v>
      </c>
      <c r="L40" s="340">
        <v>9623140957</v>
      </c>
    </row>
    <row r="41" spans="2:12">
      <c r="C41" s="2" t="b">
        <f>C40=C20</f>
        <v>1</v>
      </c>
      <c r="D41" s="2" t="b">
        <f>D40=D20</f>
        <v>1</v>
      </c>
    </row>
    <row r="42" spans="2:12">
      <c r="C42" s="2" t="b">
        <f>C40=BS!E102</f>
        <v>1</v>
      </c>
      <c r="D42" s="2" t="b">
        <f>D40=BS!F102</f>
        <v>1</v>
      </c>
    </row>
  </sheetData>
  <phoneticPr fontId="232" type="noConversion"/>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90CCCFEB-8358-48FC-9F6D-397871749088}">
            <xm:f>NOT(ISERROR(SEARCH("false",A1)))</xm:f>
            <xm:f>"false"</xm:f>
            <x14:dxf>
              <fill>
                <patternFill>
                  <bgColor rgb="FFFF0000"/>
                </patternFill>
              </fill>
            </x14:dxf>
          </x14:cfRule>
          <xm:sqref>A1:XFD2 A3:H4 M3:XFD40 A5:E5 G5:H5 A6:H40 A41:XFD1048576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249977111117893"/>
    <outlinePr summaryBelow="0"/>
  </sheetPr>
  <dimension ref="B3:V41"/>
  <sheetViews>
    <sheetView showGridLines="0" zoomScale="85" zoomScaleNormal="85" zoomScaleSheetLayoutView="100" workbookViewId="0">
      <pane xSplit="1" ySplit="3" topLeftCell="B4" activePane="bottomRight" state="frozen"/>
      <selection activeCell="J31" sqref="J31"/>
      <selection pane="topRight" activeCell="J31" sqref="J31"/>
      <selection pane="bottomLeft" activeCell="J31" sqref="J31"/>
      <selection pane="bottomRight" activeCell="C20" sqref="C20:D23"/>
    </sheetView>
  </sheetViews>
  <sheetFormatPr defaultColWidth="9" defaultRowHeight="15"/>
  <cols>
    <col min="1" max="1" width="2.35546875" style="2" customWidth="1"/>
    <col min="2" max="2" width="30.5703125" style="2" customWidth="1"/>
    <col min="3" max="6" width="15.5703125" style="2" customWidth="1"/>
    <col min="7" max="8" width="11.28515625" style="2" bestFit="1" customWidth="1"/>
    <col min="9" max="10" width="9" style="2"/>
    <col min="11" max="14" width="13.35546875" style="2" bestFit="1" customWidth="1"/>
    <col min="15" max="16" width="9" style="2"/>
    <col min="17" max="17" width="9.0703125" style="2" bestFit="1" customWidth="1"/>
    <col min="18" max="18" width="13.140625" style="2" bestFit="1" customWidth="1"/>
    <col min="19" max="21" width="13.140625" style="2" customWidth="1"/>
    <col min="22" max="16384" width="9" style="2"/>
  </cols>
  <sheetData>
    <row r="3" spans="2:22" ht="15" customHeight="1">
      <c r="B3" s="417" t="s">
        <v>1197</v>
      </c>
      <c r="C3" s="646">
        <v>46203</v>
      </c>
      <c r="D3" s="421"/>
      <c r="E3" s="646">
        <v>45838</v>
      </c>
      <c r="F3" s="421"/>
      <c r="J3" s="1221"/>
      <c r="K3" s="1218" t="s">
        <v>2302</v>
      </c>
      <c r="L3" s="1220"/>
      <c r="M3" s="1218" t="s">
        <v>2303</v>
      </c>
      <c r="N3" s="1219"/>
      <c r="P3" s="1223" t="s">
        <v>1964</v>
      </c>
      <c r="Q3" s="1225" t="s">
        <v>1830</v>
      </c>
      <c r="R3" s="1216" t="s">
        <v>2297</v>
      </c>
      <c r="S3" s="1227"/>
      <c r="T3" s="1216" t="s">
        <v>2298</v>
      </c>
      <c r="U3" s="1217"/>
    </row>
    <row r="4" spans="2:22" ht="17.05" customHeight="1">
      <c r="B4" s="417"/>
      <c r="C4" s="417" t="s">
        <v>1212</v>
      </c>
      <c r="D4" s="417" t="s">
        <v>1213</v>
      </c>
      <c r="E4" s="417" t="s">
        <v>1212</v>
      </c>
      <c r="F4" s="417" t="s">
        <v>1213</v>
      </c>
      <c r="J4" s="1222"/>
      <c r="K4" s="1170" t="s">
        <v>1051</v>
      </c>
      <c r="L4" s="1170" t="s">
        <v>1053</v>
      </c>
      <c r="M4" s="1170" t="s">
        <v>1051</v>
      </c>
      <c r="N4" s="1171" t="s">
        <v>1053</v>
      </c>
      <c r="P4" s="1224"/>
      <c r="Q4" s="1226"/>
      <c r="R4" s="1157" t="s">
        <v>1051</v>
      </c>
      <c r="S4" s="1158" t="s">
        <v>1053</v>
      </c>
      <c r="T4" s="1157" t="s">
        <v>1051</v>
      </c>
      <c r="U4" s="1159" t="s">
        <v>1053</v>
      </c>
    </row>
    <row r="5" spans="2:22" ht="17.600000000000001">
      <c r="B5" s="422" t="s">
        <v>1198</v>
      </c>
      <c r="C5" s="419">
        <f>D5-L5</f>
        <v>4246368702</v>
      </c>
      <c r="D5" s="419">
        <f>정산표!H113</f>
        <v>8288170687</v>
      </c>
      <c r="E5" s="419">
        <f>R5</f>
        <v>3962518140</v>
      </c>
      <c r="F5" s="419">
        <f>정산표!M113</f>
        <v>8817426997</v>
      </c>
      <c r="J5" s="406" t="s">
        <v>2304</v>
      </c>
      <c r="K5" s="409">
        <v>4041801985</v>
      </c>
      <c r="L5" s="409">
        <v>4041801985</v>
      </c>
      <c r="M5" s="409">
        <v>4854908857</v>
      </c>
      <c r="N5" s="410">
        <v>4854908857</v>
      </c>
      <c r="P5" s="1160" t="s">
        <v>1198</v>
      </c>
      <c r="Q5" s="1161" t="s">
        <v>1965</v>
      </c>
      <c r="R5" s="1162">
        <v>3962518140</v>
      </c>
      <c r="S5" s="1162">
        <v>8817426997</v>
      </c>
      <c r="T5" s="1162">
        <v>4797315163</v>
      </c>
      <c r="U5" s="1163">
        <v>9148806988</v>
      </c>
      <c r="V5" s="2" t="b">
        <f>S5=F5</f>
        <v>1</v>
      </c>
    </row>
    <row r="6" spans="2:22" ht="17.600000000000001">
      <c r="B6" s="422" t="s">
        <v>1199</v>
      </c>
      <c r="C6" s="419">
        <f>D6+L6</f>
        <v>1761754181</v>
      </c>
      <c r="D6" s="419">
        <f>정산표!H117</f>
        <v>3596633522</v>
      </c>
      <c r="E6" s="419">
        <f>R6</f>
        <v>1448493973</v>
      </c>
      <c r="F6" s="419">
        <f>정산표!M117</f>
        <v>3527195264</v>
      </c>
      <c r="J6" s="406" t="s">
        <v>88</v>
      </c>
      <c r="K6" s="409">
        <v>-1834879341</v>
      </c>
      <c r="L6" s="409">
        <v>-1834879341</v>
      </c>
      <c r="M6" s="409">
        <v>-2078701291</v>
      </c>
      <c r="N6" s="410">
        <v>-2078701291</v>
      </c>
      <c r="P6" s="1160" t="s">
        <v>1199</v>
      </c>
      <c r="Q6" s="1161" t="s">
        <v>1966</v>
      </c>
      <c r="R6" s="1162">
        <v>1448493973</v>
      </c>
      <c r="S6" s="1162">
        <v>3527195264</v>
      </c>
      <c r="T6" s="1162">
        <v>1804112452</v>
      </c>
      <c r="U6" s="1163">
        <v>3381675952</v>
      </c>
      <c r="V6" s="2" t="b">
        <f t="shared" ref="V6:V20" si="0">S6=F6</f>
        <v>1</v>
      </c>
    </row>
    <row r="7" spans="2:22" ht="17.600000000000001">
      <c r="B7" s="422" t="s">
        <v>1200</v>
      </c>
      <c r="C7" s="419">
        <f>C5-C6</f>
        <v>2484614521</v>
      </c>
      <c r="D7" s="419">
        <f>D5-D6</f>
        <v>4691537165</v>
      </c>
      <c r="E7" s="419">
        <f>E5-E6</f>
        <v>2514024167</v>
      </c>
      <c r="F7" s="419">
        <f>F5-F6</f>
        <v>5290231733</v>
      </c>
      <c r="J7" s="406" t="s">
        <v>89</v>
      </c>
      <c r="K7" s="409">
        <v>2206922644</v>
      </c>
      <c r="L7" s="409">
        <v>2206922644</v>
      </c>
      <c r="M7" s="409">
        <v>2776207566</v>
      </c>
      <c r="N7" s="410">
        <v>2776207566</v>
      </c>
      <c r="P7" s="1160" t="s">
        <v>1200</v>
      </c>
      <c r="Q7" s="1161"/>
      <c r="R7" s="1162">
        <v>2514024167</v>
      </c>
      <c r="S7" s="1162">
        <v>5290231733</v>
      </c>
      <c r="T7" s="1162">
        <v>2993202711</v>
      </c>
      <c r="U7" s="1163">
        <v>5767131036</v>
      </c>
      <c r="V7" s="2" t="b">
        <f t="shared" si="0"/>
        <v>1</v>
      </c>
    </row>
    <row r="8" spans="2:22" ht="17.600000000000001">
      <c r="B8" s="411" t="s">
        <v>1201</v>
      </c>
      <c r="C8" s="415">
        <f>D8+L8</f>
        <v>2852109483</v>
      </c>
      <c r="D8" s="415">
        <f>정산표!H137</f>
        <v>5378351282</v>
      </c>
      <c r="E8" s="415">
        <f>R8</f>
        <v>1959525763</v>
      </c>
      <c r="F8" s="415">
        <f>정산표!M137</f>
        <v>3878517000</v>
      </c>
      <c r="J8" s="406" t="s">
        <v>107</v>
      </c>
      <c r="K8" s="409">
        <v>-2526241799</v>
      </c>
      <c r="L8" s="409">
        <v>-2526241799</v>
      </c>
      <c r="M8" s="409">
        <v>-1918991237</v>
      </c>
      <c r="N8" s="410">
        <v>-1918991237</v>
      </c>
      <c r="P8" s="1160" t="s">
        <v>1967</v>
      </c>
      <c r="Q8" s="1161" t="s">
        <v>1968</v>
      </c>
      <c r="R8" s="1162">
        <v>1959525763</v>
      </c>
      <c r="S8" s="1162">
        <v>3878517000</v>
      </c>
      <c r="T8" s="1162">
        <v>2227267329</v>
      </c>
      <c r="U8" s="1163">
        <v>4520359356</v>
      </c>
      <c r="V8" s="2" t="b">
        <f t="shared" si="0"/>
        <v>1</v>
      </c>
    </row>
    <row r="9" spans="2:22" ht="17.600000000000001">
      <c r="B9" s="422" t="s">
        <v>1202</v>
      </c>
      <c r="C9" s="419">
        <f>C7-C8</f>
        <v>-367494962</v>
      </c>
      <c r="D9" s="419">
        <f>D7-D8</f>
        <v>-686814117</v>
      </c>
      <c r="E9" s="419">
        <f>E7-E8</f>
        <v>554498404</v>
      </c>
      <c r="F9" s="419">
        <f>F7-F8</f>
        <v>1411714733</v>
      </c>
      <c r="J9" s="406" t="s">
        <v>90</v>
      </c>
      <c r="K9" s="409">
        <v>-319319155</v>
      </c>
      <c r="L9" s="409">
        <v>-319319155</v>
      </c>
      <c r="M9" s="409">
        <v>857216329</v>
      </c>
      <c r="N9" s="410">
        <v>857216329</v>
      </c>
      <c r="P9" s="1160" t="s">
        <v>1969</v>
      </c>
      <c r="Q9" s="1161"/>
      <c r="R9" s="1162">
        <v>554498404</v>
      </c>
      <c r="S9" s="1162">
        <v>1411714733</v>
      </c>
      <c r="T9" s="1162">
        <v>765935382</v>
      </c>
      <c r="U9" s="1163">
        <v>1246771680</v>
      </c>
      <c r="V9" s="2" t="b">
        <f t="shared" si="0"/>
        <v>1</v>
      </c>
    </row>
    <row r="10" spans="2:22" ht="17.600000000000001">
      <c r="B10" s="411" t="s">
        <v>1203</v>
      </c>
      <c r="C10" s="415">
        <f>D10-L10</f>
        <v>2134230</v>
      </c>
      <c r="D10" s="415">
        <f>정산표!H172</f>
        <v>4395999</v>
      </c>
      <c r="E10" s="415">
        <f>R10</f>
        <v>1815214</v>
      </c>
      <c r="F10" s="415">
        <f>정산표!M172</f>
        <v>7957022</v>
      </c>
      <c r="J10" s="406" t="s">
        <v>2305</v>
      </c>
      <c r="K10" s="409">
        <v>2261769</v>
      </c>
      <c r="L10" s="409">
        <v>2261769</v>
      </c>
      <c r="M10" s="409">
        <v>6141808</v>
      </c>
      <c r="N10" s="410">
        <v>6141808</v>
      </c>
      <c r="P10" s="1160" t="s">
        <v>1970</v>
      </c>
      <c r="Q10" s="1161">
        <v>31</v>
      </c>
      <c r="R10" s="1162">
        <v>1815214</v>
      </c>
      <c r="S10" s="1162">
        <v>7957022</v>
      </c>
      <c r="T10" s="1162">
        <v>20385</v>
      </c>
      <c r="U10" s="1163">
        <v>22068</v>
      </c>
      <c r="V10" s="2" t="b">
        <f t="shared" si="0"/>
        <v>1</v>
      </c>
    </row>
    <row r="11" spans="2:22" ht="17.600000000000001">
      <c r="B11" s="411" t="s">
        <v>1204</v>
      </c>
      <c r="C11" s="415">
        <f>D11+L11</f>
        <v>4822403</v>
      </c>
      <c r="D11" s="415">
        <f>정산표!H178</f>
        <v>4825612</v>
      </c>
      <c r="E11" s="415">
        <f>R11</f>
        <v>3118300</v>
      </c>
      <c r="F11" s="415">
        <f>정산표!M178</f>
        <v>3158006</v>
      </c>
      <c r="J11" s="406" t="s">
        <v>295</v>
      </c>
      <c r="K11" s="409">
        <v>-3209</v>
      </c>
      <c r="L11" s="409">
        <v>-3209</v>
      </c>
      <c r="M11" s="409">
        <v>-39706</v>
      </c>
      <c r="N11" s="410">
        <v>-39706</v>
      </c>
      <c r="P11" s="1160" t="s">
        <v>1971</v>
      </c>
      <c r="Q11" s="1161">
        <v>31</v>
      </c>
      <c r="R11" s="1162">
        <v>3118300</v>
      </c>
      <c r="S11" s="1162">
        <v>3158006</v>
      </c>
      <c r="T11" s="1162">
        <v>66507</v>
      </c>
      <c r="U11" s="1163">
        <v>95269</v>
      </c>
      <c r="V11" s="2" t="b">
        <f t="shared" si="0"/>
        <v>1</v>
      </c>
    </row>
    <row r="12" spans="2:22" ht="17.600000000000001">
      <c r="B12" s="411" t="s">
        <v>1205</v>
      </c>
      <c r="C12" s="415">
        <f>D12-L12</f>
        <v>70638682</v>
      </c>
      <c r="D12" s="415">
        <f>정산표!H186</f>
        <v>169543833</v>
      </c>
      <c r="E12" s="415">
        <f>R12</f>
        <v>7705501</v>
      </c>
      <c r="F12" s="415">
        <f>정산표!M186</f>
        <v>48493067</v>
      </c>
      <c r="J12" s="406" t="s">
        <v>117</v>
      </c>
      <c r="K12" s="409">
        <v>98905151</v>
      </c>
      <c r="L12" s="409">
        <v>98905151</v>
      </c>
      <c r="M12" s="409">
        <v>40787566</v>
      </c>
      <c r="N12" s="410">
        <v>40787566</v>
      </c>
      <c r="P12" s="1160" t="s">
        <v>1972</v>
      </c>
      <c r="Q12" s="1161" t="s">
        <v>1973</v>
      </c>
      <c r="R12" s="1162">
        <v>7705501</v>
      </c>
      <c r="S12" s="1162">
        <v>48493067</v>
      </c>
      <c r="T12" s="1162">
        <v>86901778</v>
      </c>
      <c r="U12" s="1163">
        <v>207329481</v>
      </c>
      <c r="V12" s="2" t="b">
        <f t="shared" si="0"/>
        <v>1</v>
      </c>
    </row>
    <row r="13" spans="2:22" ht="17.600000000000001">
      <c r="B13" s="411" t="s">
        <v>1206</v>
      </c>
      <c r="C13" s="415">
        <f>D13+L13</f>
        <v>212855541</v>
      </c>
      <c r="D13" s="415">
        <f>정산표!H190</f>
        <v>271149913</v>
      </c>
      <c r="E13" s="415">
        <f>R13</f>
        <v>109909945</v>
      </c>
      <c r="F13" s="415">
        <f>정산표!M190</f>
        <v>141374675</v>
      </c>
      <c r="J13" s="406" t="s">
        <v>118</v>
      </c>
      <c r="K13" s="409">
        <v>-58294372</v>
      </c>
      <c r="L13" s="409">
        <v>-58294372</v>
      </c>
      <c r="M13" s="409">
        <v>-31464730</v>
      </c>
      <c r="N13" s="410">
        <v>-31464730</v>
      </c>
      <c r="P13" s="1160" t="s">
        <v>1974</v>
      </c>
      <c r="Q13" s="1161" t="s">
        <v>1975</v>
      </c>
      <c r="R13" s="1162">
        <v>109909945</v>
      </c>
      <c r="S13" s="1162">
        <v>141374675</v>
      </c>
      <c r="T13" s="1162">
        <v>35425643</v>
      </c>
      <c r="U13" s="1163">
        <v>80836283</v>
      </c>
      <c r="V13" s="2" t="b">
        <f t="shared" si="0"/>
        <v>1</v>
      </c>
    </row>
    <row r="14" spans="2:22" ht="17.600000000000001">
      <c r="B14" s="422" t="s">
        <v>1207</v>
      </c>
      <c r="C14" s="419">
        <f>C9+C10-C11+C12-C13</f>
        <v>-512399994</v>
      </c>
      <c r="D14" s="419">
        <f>D9+D10-D11+D12-D13</f>
        <v>-788849810</v>
      </c>
      <c r="E14" s="419">
        <f>E9+E10-E11+E12-E13</f>
        <v>450990874</v>
      </c>
      <c r="F14" s="419">
        <f>F9+F10-F11+F12-F13</f>
        <v>1323632141</v>
      </c>
      <c r="J14" s="406" t="s">
        <v>2306</v>
      </c>
      <c r="K14" s="409">
        <v>-276449816</v>
      </c>
      <c r="L14" s="409">
        <v>-276449816</v>
      </c>
      <c r="M14" s="409">
        <v>872641267</v>
      </c>
      <c r="N14" s="410">
        <v>872641267</v>
      </c>
      <c r="P14" s="1160" t="s">
        <v>1976</v>
      </c>
      <c r="Q14" s="1161"/>
      <c r="R14" s="1162">
        <v>450990874</v>
      </c>
      <c r="S14" s="1162">
        <v>1323632141</v>
      </c>
      <c r="T14" s="1162">
        <v>817365395</v>
      </c>
      <c r="U14" s="1163">
        <v>1373191677</v>
      </c>
      <c r="V14" s="2" t="b">
        <f t="shared" si="0"/>
        <v>1</v>
      </c>
    </row>
    <row r="15" spans="2:22" ht="17.600000000000001">
      <c r="B15" s="411" t="s">
        <v>1208</v>
      </c>
      <c r="C15" s="415">
        <v>0</v>
      </c>
      <c r="D15" s="415">
        <f>PL!E85</f>
        <v>0</v>
      </c>
      <c r="E15" s="415">
        <f>R15</f>
        <v>0</v>
      </c>
      <c r="F15" s="415">
        <f>정산표!M196</f>
        <v>0</v>
      </c>
      <c r="J15" s="406" t="s">
        <v>2307</v>
      </c>
      <c r="K15" s="407"/>
      <c r="L15" s="407"/>
      <c r="M15" s="407"/>
      <c r="N15" s="408"/>
      <c r="P15" s="1160" t="s">
        <v>1977</v>
      </c>
      <c r="Q15" s="1161">
        <v>22</v>
      </c>
      <c r="R15" s="1164">
        <v>0</v>
      </c>
      <c r="S15" s="1164">
        <v>0</v>
      </c>
      <c r="T15" s="1164" t="s">
        <v>298</v>
      </c>
      <c r="U15" s="1165" t="s">
        <v>298</v>
      </c>
      <c r="V15" s="2" t="b">
        <f t="shared" si="0"/>
        <v>1</v>
      </c>
    </row>
    <row r="16" spans="2:22" ht="17.600000000000001">
      <c r="B16" s="422" t="s">
        <v>1246</v>
      </c>
      <c r="C16" s="419">
        <f>C14-C15</f>
        <v>-512399994</v>
      </c>
      <c r="D16" s="419">
        <f>D14-D15</f>
        <v>-788849810</v>
      </c>
      <c r="E16" s="419">
        <f>E14-E15</f>
        <v>450990874</v>
      </c>
      <c r="F16" s="419">
        <f>F14-F15</f>
        <v>1323632141</v>
      </c>
      <c r="J16" s="406" t="s">
        <v>30</v>
      </c>
      <c r="K16" s="409">
        <v>-276449816</v>
      </c>
      <c r="L16" s="409">
        <v>-276449816</v>
      </c>
      <c r="M16" s="409">
        <v>872641267</v>
      </c>
      <c r="N16" s="410">
        <v>872641267</v>
      </c>
      <c r="P16" s="1160" t="s">
        <v>2299</v>
      </c>
      <c r="Q16" s="1161"/>
      <c r="R16" s="1162">
        <v>450990874</v>
      </c>
      <c r="S16" s="1162">
        <v>1323632141</v>
      </c>
      <c r="T16" s="1162">
        <v>817365395</v>
      </c>
      <c r="U16" s="1163">
        <v>1373191677</v>
      </c>
      <c r="V16" s="2" t="b">
        <f t="shared" si="0"/>
        <v>1</v>
      </c>
    </row>
    <row r="17" spans="2:22" ht="17.600000000000001">
      <c r="B17" s="422" t="s">
        <v>1209</v>
      </c>
      <c r="C17" s="419">
        <f>C19</f>
        <v>0</v>
      </c>
      <c r="D17" s="419">
        <f>D19</f>
        <v>0</v>
      </c>
      <c r="E17" s="419">
        <f>E19</f>
        <v>0</v>
      </c>
      <c r="F17" s="419">
        <f>F19</f>
        <v>0</v>
      </c>
      <c r="J17" s="406" t="s">
        <v>29</v>
      </c>
      <c r="K17" s="407"/>
      <c r="L17" s="407"/>
      <c r="M17" s="407"/>
      <c r="N17" s="408"/>
      <c r="P17" s="1160" t="s">
        <v>1209</v>
      </c>
      <c r="Q17" s="1161"/>
      <c r="R17" s="1164">
        <v>0</v>
      </c>
      <c r="S17" s="1164">
        <v>0</v>
      </c>
      <c r="T17" s="1162">
        <v>-53227701</v>
      </c>
      <c r="U17" s="1163">
        <v>-53227701</v>
      </c>
      <c r="V17" s="2" t="b">
        <f t="shared" si="0"/>
        <v>1</v>
      </c>
    </row>
    <row r="18" spans="2:22" ht="17.600000000000001">
      <c r="B18" s="411" t="s">
        <v>1210</v>
      </c>
      <c r="C18" s="415"/>
      <c r="D18" s="415">
        <f>D19</f>
        <v>0</v>
      </c>
      <c r="E18" s="415"/>
      <c r="F18" s="415">
        <f>F19</f>
        <v>0</v>
      </c>
      <c r="J18" s="406" t="s">
        <v>2308</v>
      </c>
      <c r="K18" s="407"/>
      <c r="L18" s="407"/>
      <c r="M18" s="407"/>
      <c r="N18" s="408"/>
      <c r="P18" s="1160" t="s">
        <v>1210</v>
      </c>
      <c r="Q18" s="1161"/>
      <c r="R18" s="1164"/>
      <c r="S18" s="1164"/>
      <c r="T18" s="1164"/>
      <c r="U18" s="1165"/>
      <c r="V18" s="2" t="b">
        <f t="shared" si="0"/>
        <v>1</v>
      </c>
    </row>
    <row r="19" spans="2:22" ht="17.600000000000001">
      <c r="B19" s="411" t="s">
        <v>1211</v>
      </c>
      <c r="C19" s="415">
        <v>0</v>
      </c>
      <c r="D19" s="415">
        <f>정산표!H199</f>
        <v>0</v>
      </c>
      <c r="E19" s="415">
        <f>R19</f>
        <v>0</v>
      </c>
      <c r="F19" s="415">
        <f>정산표!M199</f>
        <v>0</v>
      </c>
      <c r="J19" s="406" t="s">
        <v>2309</v>
      </c>
      <c r="K19" s="407"/>
      <c r="L19" s="407"/>
      <c r="M19" s="407"/>
      <c r="N19" s="408"/>
      <c r="P19" s="1160" t="s">
        <v>757</v>
      </c>
      <c r="Q19" s="1161" t="s">
        <v>1978</v>
      </c>
      <c r="R19" s="1164">
        <v>0</v>
      </c>
      <c r="S19" s="1164">
        <v>0</v>
      </c>
      <c r="T19" s="1162">
        <v>-53227701</v>
      </c>
      <c r="U19" s="1163">
        <v>-53227701</v>
      </c>
      <c r="V19" s="2" t="b">
        <f t="shared" si="0"/>
        <v>1</v>
      </c>
    </row>
    <row r="20" spans="2:22" ht="17.600000000000001">
      <c r="B20" s="411" t="s">
        <v>1444</v>
      </c>
      <c r="C20" s="419">
        <f>C16+C17</f>
        <v>-512399994</v>
      </c>
      <c r="D20" s="419">
        <f>D16+D17</f>
        <v>-788849810</v>
      </c>
      <c r="E20" s="419">
        <f>E16+E17</f>
        <v>450990874</v>
      </c>
      <c r="F20" s="419">
        <f>F16+F17</f>
        <v>1323632141</v>
      </c>
      <c r="J20" s="406" t="s">
        <v>92</v>
      </c>
      <c r="K20" s="409">
        <v>-276449816</v>
      </c>
      <c r="L20" s="409">
        <v>-276449816</v>
      </c>
      <c r="M20" s="409">
        <v>872641267</v>
      </c>
      <c r="N20" s="410">
        <v>872641267</v>
      </c>
      <c r="P20" s="1160" t="s">
        <v>1979</v>
      </c>
      <c r="Q20" s="1161"/>
      <c r="R20" s="1162">
        <v>450990874</v>
      </c>
      <c r="S20" s="1162">
        <v>1323632141</v>
      </c>
      <c r="T20" s="1162">
        <v>764137694</v>
      </c>
      <c r="U20" s="1163">
        <v>1319963976</v>
      </c>
      <c r="V20" s="2" t="b">
        <f t="shared" si="0"/>
        <v>1</v>
      </c>
    </row>
    <row r="21" spans="2:22" ht="17.600000000000001">
      <c r="B21" s="411" t="s">
        <v>1445</v>
      </c>
      <c r="C21" s="415"/>
      <c r="D21" s="415"/>
      <c r="E21" s="415"/>
      <c r="F21" s="415"/>
      <c r="J21" s="406" t="s">
        <v>2310</v>
      </c>
      <c r="K21" s="407"/>
      <c r="L21" s="407"/>
      <c r="M21" s="407"/>
      <c r="N21" s="408"/>
      <c r="P21" s="1160" t="s">
        <v>1980</v>
      </c>
      <c r="Q21" s="1161"/>
      <c r="R21" s="1164"/>
      <c r="S21" s="1164"/>
      <c r="T21" s="1164"/>
      <c r="U21" s="1165"/>
    </row>
    <row r="22" spans="2:22" ht="17.600000000000001">
      <c r="B22" s="411" t="s">
        <v>1247</v>
      </c>
      <c r="C22" s="946">
        <f>'33'!E12</f>
        <v>-45</v>
      </c>
      <c r="D22" s="946">
        <f>'33'!F12</f>
        <v>-69</v>
      </c>
      <c r="E22" s="946">
        <f>'33'!G12</f>
        <v>72</v>
      </c>
      <c r="F22" s="946">
        <f>'33'!H12</f>
        <v>211</v>
      </c>
      <c r="J22" s="406" t="s">
        <v>2311</v>
      </c>
      <c r="K22" s="407">
        <v>-24</v>
      </c>
      <c r="L22" s="407">
        <v>-24</v>
      </c>
      <c r="M22" s="407">
        <v>140</v>
      </c>
      <c r="N22" s="408">
        <v>140</v>
      </c>
      <c r="P22" s="1160" t="s">
        <v>2300</v>
      </c>
      <c r="Q22" s="1161">
        <v>33</v>
      </c>
      <c r="R22" s="1164">
        <v>72</v>
      </c>
      <c r="S22" s="1164">
        <v>211</v>
      </c>
      <c r="T22" s="1164">
        <v>131</v>
      </c>
      <c r="U22" s="1165">
        <v>221</v>
      </c>
    </row>
    <row r="23" spans="2:22" ht="17.600000000000001">
      <c r="B23" s="412" t="s">
        <v>1248</v>
      </c>
      <c r="C23" s="946">
        <f>'33'!E74</f>
        <v>-45</v>
      </c>
      <c r="D23" s="946">
        <f>'33'!F74</f>
        <v>-69.304451449226406</v>
      </c>
      <c r="E23" s="946">
        <f>'33'!G74</f>
        <v>71</v>
      </c>
      <c r="F23" s="946">
        <f>'33'!H74</f>
        <v>209</v>
      </c>
      <c r="J23" s="620" t="s">
        <v>2312</v>
      </c>
      <c r="K23" s="930">
        <v>-24</v>
      </c>
      <c r="L23" s="930">
        <v>-24</v>
      </c>
      <c r="M23" s="930">
        <v>138</v>
      </c>
      <c r="N23" s="1172">
        <v>138</v>
      </c>
      <c r="P23" s="1166" t="s">
        <v>2301</v>
      </c>
      <c r="Q23" s="1167">
        <v>33</v>
      </c>
      <c r="R23" s="1168">
        <v>71</v>
      </c>
      <c r="S23" s="1168">
        <v>209</v>
      </c>
      <c r="T23" s="1168">
        <v>130</v>
      </c>
      <c r="U23" s="1169">
        <v>218</v>
      </c>
    </row>
    <row r="25" spans="2:22">
      <c r="D25" s="2" t="b">
        <f>D20=정산표!H201</f>
        <v>1</v>
      </c>
      <c r="F25" s="2" t="b">
        <f>F20=정산표!M201</f>
        <v>1</v>
      </c>
    </row>
    <row r="27" spans="2:22" ht="16" customHeight="1"/>
    <row r="28" spans="2:22" ht="17.05" customHeight="1">
      <c r="H28" s="108"/>
    </row>
    <row r="29" spans="2:22">
      <c r="H29" s="108"/>
    </row>
    <row r="30" spans="2:22">
      <c r="H30" s="108"/>
    </row>
    <row r="31" spans="2:22">
      <c r="H31" s="108"/>
    </row>
    <row r="32" spans="2:22">
      <c r="H32" s="108"/>
    </row>
    <row r="33" spans="8:8">
      <c r="H33" s="108"/>
    </row>
    <row r="34" spans="8:8">
      <c r="H34" s="108"/>
    </row>
    <row r="35" spans="8:8">
      <c r="H35" s="108"/>
    </row>
    <row r="36" spans="8:8">
      <c r="H36" s="108"/>
    </row>
    <row r="37" spans="8:8">
      <c r="H37" s="108"/>
    </row>
    <row r="38" spans="8:8">
      <c r="H38" s="108"/>
    </row>
    <row r="39" spans="8:8">
      <c r="H39" s="108"/>
    </row>
    <row r="40" spans="8:8">
      <c r="H40" s="108"/>
    </row>
    <row r="41" spans="8:8">
      <c r="H41" s="108"/>
    </row>
  </sheetData>
  <mergeCells count="7">
    <mergeCell ref="T3:U3"/>
    <mergeCell ref="M3:N3"/>
    <mergeCell ref="K3:L3"/>
    <mergeCell ref="J3:J4"/>
    <mergeCell ref="P3:P4"/>
    <mergeCell ref="Q3:Q4"/>
    <mergeCell ref="R3:S3"/>
  </mergeCells>
  <phoneticPr fontId="14" type="noConversion"/>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40D117A8-87B9-43C2-B0F6-E6663AEB1025}">
            <xm:f>NOT(ISERROR(SEARCH("true",A1)))</xm:f>
            <xm:f>"true"</xm:f>
            <x14:dxf>
              <font>
                <color theme="0"/>
              </font>
              <fill>
                <patternFill>
                  <bgColor theme="3"/>
                </patternFill>
              </fill>
            </x14:dxf>
          </x14:cfRule>
          <x14:cfRule type="containsText" priority="2" operator="containsText" id="{9210D390-4004-47F6-9F14-10376C8A3876}">
            <xm:f>NOT(ISERROR(SEARCH("false",A1)))</xm:f>
            <xm:f>"false"</xm:f>
            <x14:dxf>
              <fill>
                <patternFill>
                  <bgColor rgb="FFFF0000"/>
                </patternFill>
              </fill>
            </x14:dxf>
          </x14:cfRule>
          <xm:sqref>A1:U2 V1:XFD1048576 A3:I23 O3:O23 A24:U1048576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1"/>
    <outlinePr summaryBelow="0"/>
  </sheetPr>
  <dimension ref="B1:T260"/>
  <sheetViews>
    <sheetView showGridLines="0" zoomScale="85" zoomScaleNormal="85" zoomScaleSheetLayoutView="100" workbookViewId="0">
      <pane xSplit="4" ySplit="4" topLeftCell="E42" activePane="bottomRight" state="frozen"/>
      <selection activeCell="E119" sqref="E119"/>
      <selection pane="topRight" activeCell="E119" sqref="E119"/>
      <selection pane="bottomLeft" activeCell="E119" sqref="E119"/>
      <selection pane="bottomRight" activeCell="G58" sqref="G58"/>
    </sheetView>
  </sheetViews>
  <sheetFormatPr defaultColWidth="9" defaultRowHeight="15"/>
  <cols>
    <col min="1" max="1" width="1.5703125" style="2" customWidth="1"/>
    <col min="2" max="2" width="19" style="838" customWidth="1"/>
    <col min="3" max="3" width="0.35546875" style="2" customWidth="1"/>
    <col min="4" max="4" width="25.5703125" style="2" bestFit="1" customWidth="1"/>
    <col min="5" max="8" width="15.5703125" style="2" customWidth="1"/>
    <col min="9" max="9" width="0.5703125" style="2" customWidth="1"/>
    <col min="10" max="13" width="15.5703125" style="2" customWidth="1"/>
    <col min="14" max="14" width="9.0703125" style="2" bestFit="1" customWidth="1"/>
    <col min="15" max="16" width="11.35546875" style="2" bestFit="1" customWidth="1"/>
    <col min="17" max="17" width="9" style="2"/>
    <col min="18" max="18" width="10.85546875" style="2" bestFit="1" customWidth="1"/>
    <col min="19" max="16384" width="9" style="2"/>
  </cols>
  <sheetData>
    <row r="1" spans="2:13">
      <c r="E1" s="2">
        <f>E72-E106</f>
        <v>0</v>
      </c>
      <c r="F1" s="2">
        <f>SUM(F6:F201)</f>
        <v>25009091519</v>
      </c>
      <c r="G1" s="2">
        <f>SUM(G6:G201)-G124-G131-G124-G131</f>
        <v>24999999500</v>
      </c>
      <c r="H1" s="2">
        <f>H72-H106</f>
        <v>0</v>
      </c>
      <c r="J1" s="582">
        <f>J72-J106</f>
        <v>0</v>
      </c>
      <c r="K1" s="582">
        <f>SUM(K6:K201)</f>
        <v>0</v>
      </c>
      <c r="L1" s="582">
        <f>SUM(L6:L201)-L124-L131-L124-L131</f>
        <v>0</v>
      </c>
      <c r="M1" s="582">
        <f>M72-M106</f>
        <v>0</v>
      </c>
    </row>
    <row r="2" spans="2:13">
      <c r="G2" s="2">
        <f>F1-G1</f>
        <v>9092019</v>
      </c>
      <c r="J2" s="619"/>
      <c r="K2" s="582"/>
      <c r="L2" s="582">
        <f>K1-L1</f>
        <v>0</v>
      </c>
      <c r="M2" s="619"/>
    </row>
    <row r="3" spans="2:13" ht="15.45" thickBot="1">
      <c r="D3" s="7"/>
      <c r="E3" s="617">
        <v>46203</v>
      </c>
      <c r="F3" s="618"/>
      <c r="G3" s="618"/>
      <c r="H3" s="618"/>
      <c r="J3" s="617">
        <v>46022</v>
      </c>
      <c r="K3" s="618"/>
      <c r="L3" s="618"/>
      <c r="M3" s="618"/>
    </row>
    <row r="4" spans="2:13" ht="15.45" thickBot="1">
      <c r="B4" s="839" t="s">
        <v>865</v>
      </c>
      <c r="D4" s="626" t="s">
        <v>0</v>
      </c>
      <c r="E4" s="627" t="s">
        <v>1264</v>
      </c>
      <c r="F4" s="626" t="s">
        <v>1</v>
      </c>
      <c r="G4" s="626" t="s">
        <v>2</v>
      </c>
      <c r="H4" s="627" t="s">
        <v>1265</v>
      </c>
      <c r="J4" s="623" t="s">
        <v>1269</v>
      </c>
      <c r="K4" s="623" t="s">
        <v>1</v>
      </c>
      <c r="L4" s="623" t="s">
        <v>2</v>
      </c>
      <c r="M4" s="623" t="s">
        <v>1270</v>
      </c>
    </row>
    <row r="5" spans="2:13" ht="15.45" thickBot="1">
      <c r="B5" s="840"/>
      <c r="D5" s="628" t="s">
        <v>31</v>
      </c>
      <c r="E5" s="628"/>
      <c r="F5" s="628"/>
      <c r="G5" s="628"/>
      <c r="H5" s="628"/>
      <c r="J5" s="624"/>
      <c r="K5" s="624"/>
      <c r="L5" s="624"/>
      <c r="M5" s="624"/>
    </row>
    <row r="6" spans="2:13" ht="15.45" thickBot="1">
      <c r="B6" s="840"/>
      <c r="D6" s="628" t="s">
        <v>55</v>
      </c>
      <c r="E6" s="625">
        <f>E7+E10+E17+E27+E36+E9+E33</f>
        <v>16937363250</v>
      </c>
      <c r="F6" s="625"/>
      <c r="G6" s="625"/>
      <c r="H6" s="625">
        <f>H7+H10+H17+H27+H36+H9+H33</f>
        <v>16937363250</v>
      </c>
      <c r="J6" s="625">
        <f>J7+J10+J17+J27+J36+J9+J33</f>
        <v>25996495943</v>
      </c>
      <c r="K6" s="624"/>
      <c r="L6" s="624"/>
      <c r="M6" s="625">
        <f>M7+M10+M17+M27+M36+M9+M33</f>
        <v>25996495943</v>
      </c>
    </row>
    <row r="7" spans="2:13">
      <c r="B7" s="840"/>
      <c r="D7" s="5" t="s">
        <v>47</v>
      </c>
      <c r="E7" s="39">
        <f>E8</f>
        <v>10968165061</v>
      </c>
      <c r="F7" s="39"/>
      <c r="H7" s="39">
        <f>H8</f>
        <v>10968165061</v>
      </c>
      <c r="J7" s="583">
        <f>J8</f>
        <v>19169211185</v>
      </c>
      <c r="K7" s="583"/>
      <c r="L7" s="582"/>
      <c r="M7" s="583">
        <f>M8</f>
        <v>19169211185</v>
      </c>
    </row>
    <row r="8" spans="2:13">
      <c r="B8" s="840" t="s">
        <v>764</v>
      </c>
      <c r="D8" s="6" t="s">
        <v>77</v>
      </c>
      <c r="E8" s="2">
        <f>SUMIFS(제시BS!$H:$H,제시BS!$A:$A,정산표!$B8)</f>
        <v>10968165061</v>
      </c>
      <c r="F8" s="2">
        <f>SUMIFS(별도_AJE_26.2Q!$G:$G,별도_AJE_26.2Q!$D:$D,정산표!$B8)</f>
        <v>0</v>
      </c>
      <c r="G8" s="2">
        <f>SUMIFS(별도_AJE_26.2Q!$H:$H,별도_AJE_26.2Q!$D:$D,정산표!$B8)</f>
        <v>0</v>
      </c>
      <c r="H8" s="2">
        <f>E8+F8-G8</f>
        <v>10968165061</v>
      </c>
      <c r="J8" s="585">
        <v>19169211185</v>
      </c>
      <c r="K8" s="582">
        <f>SUMIFS(별도_AJE_25!G:G,별도_AJE_25!$D:$D,정산표!$B8)</f>
        <v>0</v>
      </c>
      <c r="L8" s="582">
        <f>SUMIFS(별도_AJE_25!H:H,별도_AJE_25!$D:$D,정산표!$B8)</f>
        <v>0</v>
      </c>
      <c r="M8" s="582">
        <f>J8+K8-L8</f>
        <v>19169211185</v>
      </c>
    </row>
    <row r="9" spans="2:13">
      <c r="B9" s="840" t="s">
        <v>765</v>
      </c>
      <c r="D9" s="5" t="s">
        <v>178</v>
      </c>
      <c r="E9" s="39">
        <f>SUMIFS(제시BS!$H:$H,제시BS!$A:$A,정산표!$B9)</f>
        <v>0</v>
      </c>
      <c r="F9" s="39">
        <f>SUMIFS(별도_AJE_26.2Q!$G:$G,별도_AJE_26.2Q!$D:$D,정산표!$B9)</f>
        <v>0</v>
      </c>
      <c r="G9" s="39">
        <f>SUMIFS(별도_AJE_26.2Q!$H:$H,별도_AJE_26.2Q!$D:$D,정산표!$B9)</f>
        <v>0</v>
      </c>
      <c r="H9" s="39">
        <f>E9+F9-G9</f>
        <v>0</v>
      </c>
      <c r="J9" s="586">
        <v>0</v>
      </c>
      <c r="K9" s="582">
        <f>SUMIFS(별도_AJE_25!G:G,별도_AJE_25!$D:$D,정산표!$B9)</f>
        <v>0</v>
      </c>
      <c r="L9" s="582">
        <f>SUMIFS(별도_AJE_25!H:H,별도_AJE_25!$D:$D,정산표!$B9)</f>
        <v>0</v>
      </c>
      <c r="M9" s="583">
        <f>J9+K9-L9</f>
        <v>0</v>
      </c>
    </row>
    <row r="10" spans="2:13">
      <c r="B10" s="840"/>
      <c r="D10" s="5" t="s">
        <v>184</v>
      </c>
      <c r="E10" s="39">
        <f>SUM(E11:E16)</f>
        <v>1667306010</v>
      </c>
      <c r="H10" s="39">
        <f>SUM(H11:H16)</f>
        <v>1667306010</v>
      </c>
      <c r="J10" s="583">
        <f>SUM(J11:J16)</f>
        <v>2048442985</v>
      </c>
      <c r="K10" s="583">
        <f>SUM(K11:K16)</f>
        <v>0</v>
      </c>
      <c r="L10" s="583">
        <f>SUM(L11:L16)</f>
        <v>0</v>
      </c>
      <c r="M10" s="583">
        <f>SUM(M11:M16)</f>
        <v>2048442985</v>
      </c>
    </row>
    <row r="11" spans="2:13">
      <c r="B11" s="661" t="s">
        <v>910</v>
      </c>
      <c r="D11" s="6" t="s">
        <v>60</v>
      </c>
      <c r="E11" s="2">
        <f>SUMIFS(제시BS!$H:$H,제시BS!$A:$A,정산표!$B11)</f>
        <v>1535770100</v>
      </c>
      <c r="F11" s="2">
        <f>SUMIFS(별도_AJE_26.2Q!$G:$G,별도_AJE_26.2Q!$D:$D,정산표!$B11)</f>
        <v>0</v>
      </c>
      <c r="G11" s="2">
        <f>SUMIFS(별도_AJE_26.2Q!$H:$H,별도_AJE_26.2Q!$D:$D,정산표!$B11)</f>
        <v>0</v>
      </c>
      <c r="H11" s="2">
        <f t="shared" ref="H11:H16" si="0">E11+F11-G11</f>
        <v>1535770100</v>
      </c>
      <c r="J11" s="585">
        <v>1998788804</v>
      </c>
      <c r="K11" s="582">
        <f>SUMIFS(별도_AJE_25!G:G,별도_AJE_25!$D:$D,정산표!$B11)</f>
        <v>0</v>
      </c>
      <c r="L11" s="582">
        <f>SUMIFS(별도_AJE_25!H:H,별도_AJE_25!$D:$D,정산표!$B11)</f>
        <v>0</v>
      </c>
      <c r="M11" s="582">
        <f t="shared" ref="M11:M16" si="1">J11+K11-L11</f>
        <v>1998788804</v>
      </c>
    </row>
    <row r="12" spans="2:13">
      <c r="B12" s="840" t="s">
        <v>768</v>
      </c>
      <c r="D12" s="6" t="s">
        <v>124</v>
      </c>
      <c r="E12" s="2">
        <f>SUMIFS(제시BS!$H:$H,제시BS!$A:$A,정산표!$B12)</f>
        <v>-105342662</v>
      </c>
      <c r="F12" s="2">
        <f>SUMIFS(별도_AJE_26.2Q!$G:$G,별도_AJE_26.2Q!$D:$D,정산표!$B12)</f>
        <v>0</v>
      </c>
      <c r="G12" s="2">
        <f>SUMIFS(별도_AJE_26.2Q!$H:$H,별도_AJE_26.2Q!$D:$D,정산표!$B12)</f>
        <v>0</v>
      </c>
      <c r="H12" s="2">
        <f t="shared" si="0"/>
        <v>-105342662</v>
      </c>
      <c r="J12" s="585">
        <v>-188230079</v>
      </c>
      <c r="K12" s="582">
        <f>SUMIFS(별도_AJE_25!G:G,별도_AJE_25!$D:$D,정산표!$B12)</f>
        <v>0</v>
      </c>
      <c r="L12" s="582">
        <f>SUMIFS(별도_AJE_25!H:H,별도_AJE_25!$D:$D,정산표!$B12)</f>
        <v>0</v>
      </c>
      <c r="M12" s="582">
        <f t="shared" si="1"/>
        <v>-188230079</v>
      </c>
    </row>
    <row r="13" spans="2:13">
      <c r="B13" s="840" t="s">
        <v>770</v>
      </c>
      <c r="D13" s="6" t="s">
        <v>179</v>
      </c>
      <c r="E13" s="2">
        <f>SUMIFS(제시BS!$H:$H,제시BS!$A:$A,정산표!$B13)</f>
        <v>0</v>
      </c>
      <c r="F13" s="2">
        <f>SUMIFS(별도_AJE_26.2Q!$G:$G,별도_AJE_26.2Q!$D:$D,정산표!$B13)</f>
        <v>0</v>
      </c>
      <c r="G13" s="2">
        <f>SUMIFS(별도_AJE_26.2Q!$H:$H,별도_AJE_26.2Q!$D:$D,정산표!$B13)</f>
        <v>0</v>
      </c>
      <c r="H13" s="2">
        <f t="shared" si="0"/>
        <v>0</v>
      </c>
      <c r="J13" s="585">
        <v>0</v>
      </c>
      <c r="K13" s="582">
        <f>SUMIFS(별도_AJE_25!G:G,별도_AJE_25!$D:$D,정산표!$B13)</f>
        <v>0</v>
      </c>
      <c r="L13" s="582">
        <f>SUMIFS(별도_AJE_25!H:H,별도_AJE_25!$D:$D,정산표!$B13)</f>
        <v>0</v>
      </c>
      <c r="M13" s="582">
        <f t="shared" si="1"/>
        <v>0</v>
      </c>
    </row>
    <row r="14" spans="2:13">
      <c r="B14" s="840" t="s">
        <v>771</v>
      </c>
      <c r="D14" s="6" t="s">
        <v>713</v>
      </c>
      <c r="E14" s="2">
        <f>SUMIFS(제시BS!$H:$H,제시BS!$A:$A,정산표!$B14)</f>
        <v>0</v>
      </c>
      <c r="F14" s="2">
        <f>SUMIFS(별도_AJE_26.2Q!$G:$G,별도_AJE_26.2Q!$D:$D,정산표!$B14)</f>
        <v>0</v>
      </c>
      <c r="G14" s="2">
        <f>SUMIFS(별도_AJE_26.2Q!$H:$H,별도_AJE_26.2Q!$D:$D,정산표!$B14)</f>
        <v>0</v>
      </c>
      <c r="H14" s="2">
        <f t="shared" si="0"/>
        <v>0</v>
      </c>
      <c r="J14" s="585">
        <v>0</v>
      </c>
      <c r="K14" s="582">
        <f>SUMIFS(별도_AJE_25!G:G,별도_AJE_25!$D:$D,정산표!$B14)</f>
        <v>0</v>
      </c>
      <c r="L14" s="582">
        <f>SUMIFS(별도_AJE_25!H:H,별도_AJE_25!$D:$D,정산표!$B14)</f>
        <v>0</v>
      </c>
      <c r="M14" s="582">
        <f t="shared" si="1"/>
        <v>0</v>
      </c>
    </row>
    <row r="15" spans="2:13">
      <c r="B15" s="840" t="s">
        <v>773</v>
      </c>
      <c r="D15" s="6" t="s">
        <v>180</v>
      </c>
      <c r="E15" s="2">
        <f>SUMIFS(제시BS!$H:$H,제시BS!$A:$A,정산표!$B15)</f>
        <v>261017572</v>
      </c>
      <c r="F15" s="2">
        <f>SUMIFS(별도_AJE_26.2Q!$G:$G,별도_AJE_26.2Q!$D:$D,정산표!$B15)</f>
        <v>0</v>
      </c>
      <c r="G15" s="2">
        <f>SUMIFS(별도_AJE_26.2Q!$H:$H,별도_AJE_26.2Q!$D:$D,정산표!$B15)</f>
        <v>0</v>
      </c>
      <c r="H15" s="2">
        <f t="shared" si="0"/>
        <v>261017572</v>
      </c>
      <c r="J15" s="585">
        <v>265023260</v>
      </c>
      <c r="K15" s="582">
        <f>SUMIFS(별도_AJE_25!G:G,별도_AJE_25!$D:$D,정산표!$B15)</f>
        <v>0</v>
      </c>
      <c r="L15" s="582">
        <f>SUMIFS(별도_AJE_25!H:H,별도_AJE_25!$D:$D,정산표!$B15)</f>
        <v>0</v>
      </c>
      <c r="M15" s="582">
        <f t="shared" si="1"/>
        <v>265023260</v>
      </c>
    </row>
    <row r="16" spans="2:13">
      <c r="B16" s="840" t="s">
        <v>774</v>
      </c>
      <c r="D16" s="6" t="s">
        <v>350</v>
      </c>
      <c r="E16" s="2">
        <f>SUMIFS(제시BS!$H:$H,제시BS!$A:$A,정산표!$B16)</f>
        <v>-24139000</v>
      </c>
      <c r="F16" s="2">
        <f>SUMIFS(별도_AJE_26.2Q!$G:$G,별도_AJE_26.2Q!$D:$D,정산표!$B16)</f>
        <v>0</v>
      </c>
      <c r="G16" s="2">
        <f>SUMIFS(별도_AJE_26.2Q!$H:$H,별도_AJE_26.2Q!$D:$D,정산표!$B16)</f>
        <v>0</v>
      </c>
      <c r="H16" s="2">
        <f t="shared" si="0"/>
        <v>-24139000</v>
      </c>
      <c r="J16" s="585">
        <v>-27139000</v>
      </c>
      <c r="K16" s="582">
        <f>SUMIFS(별도_AJE_25!G:G,별도_AJE_25!$D:$D,정산표!$B16)</f>
        <v>0</v>
      </c>
      <c r="L16" s="582">
        <f>SUMIFS(별도_AJE_25!H:H,별도_AJE_25!$D:$D,정산표!$B16)</f>
        <v>0</v>
      </c>
      <c r="M16" s="582">
        <f t="shared" si="1"/>
        <v>-27139000</v>
      </c>
    </row>
    <row r="17" spans="2:19">
      <c r="B17" s="840"/>
      <c r="D17" s="5" t="s">
        <v>61</v>
      </c>
      <c r="E17" s="38">
        <f>SUM(E18:E26)</f>
        <v>2202609621</v>
      </c>
      <c r="H17" s="38">
        <f>SUM(H18:H26)</f>
        <v>2202609621</v>
      </c>
      <c r="J17" s="586">
        <f>SUM(J18:J26)</f>
        <v>2034274672</v>
      </c>
      <c r="K17" s="586">
        <f>SUM(K18:K26)</f>
        <v>0</v>
      </c>
      <c r="L17" s="586">
        <f>SUM(L18:L26)</f>
        <v>0</v>
      </c>
      <c r="M17" s="586">
        <f>SUM(M18:M26)</f>
        <v>2034274672</v>
      </c>
    </row>
    <row r="18" spans="2:19">
      <c r="B18" s="840" t="s">
        <v>788</v>
      </c>
      <c r="D18" s="6" t="s">
        <v>62</v>
      </c>
      <c r="E18" s="2">
        <f>SUMIFS(제시BS!$H:$H,제시BS!$A:$A,정산표!$B18)</f>
        <v>47852743</v>
      </c>
      <c r="F18" s="2">
        <f>SUMIFS(별도_AJE_26.2Q!$G:$G,별도_AJE_26.2Q!$D:$D,정산표!$B18)</f>
        <v>0</v>
      </c>
      <c r="G18" s="2">
        <f>SUMIFS(별도_AJE_26.2Q!$H:$H,별도_AJE_26.2Q!$D:$D,정산표!$B18)</f>
        <v>0</v>
      </c>
      <c r="H18" s="2">
        <f t="shared" ref="H18:H23" si="2">E18+F18-G18</f>
        <v>47852743</v>
      </c>
      <c r="J18" s="585">
        <v>42227029</v>
      </c>
      <c r="K18" s="582">
        <f>SUMIFS(별도_AJE_25!G:G,별도_AJE_25!$D:$D,정산표!$B18)</f>
        <v>0</v>
      </c>
      <c r="L18" s="582">
        <f>SUMIFS(별도_AJE_25!H:H,별도_AJE_25!$D:$D,정산표!$B18)</f>
        <v>0</v>
      </c>
      <c r="M18" s="582">
        <f t="shared" ref="M18:M23" si="3">J18+K18-L18</f>
        <v>42227029</v>
      </c>
    </row>
    <row r="19" spans="2:19">
      <c r="B19" s="840" t="s">
        <v>786</v>
      </c>
      <c r="D19" s="6" t="s">
        <v>187</v>
      </c>
      <c r="E19" s="2">
        <f>SUMIFS(제시BS!$H:$H,제시BS!$A:$A,정산표!$B19)</f>
        <v>0</v>
      </c>
      <c r="F19" s="2">
        <f>SUMIFS(별도_AJE_26.2Q!$G:$G,별도_AJE_26.2Q!$D:$D,정산표!$B19)</f>
        <v>0</v>
      </c>
      <c r="G19" s="2">
        <f>SUMIFS(별도_AJE_26.2Q!$H:$H,별도_AJE_26.2Q!$D:$D,정산표!$B19)</f>
        <v>0</v>
      </c>
      <c r="H19" s="2">
        <f t="shared" si="2"/>
        <v>0</v>
      </c>
      <c r="J19" s="585">
        <v>-14089</v>
      </c>
      <c r="K19" s="582">
        <f>SUMIFS(별도_AJE_25!G:G,별도_AJE_25!$D:$D,정산표!$B19)</f>
        <v>0</v>
      </c>
      <c r="L19" s="582">
        <f>SUMIFS(별도_AJE_25!H:H,별도_AJE_25!$D:$D,정산표!$B19)</f>
        <v>0</v>
      </c>
      <c r="M19" s="582">
        <f t="shared" si="3"/>
        <v>-14089</v>
      </c>
    </row>
    <row r="20" spans="2:19">
      <c r="B20" s="840" t="s">
        <v>789</v>
      </c>
      <c r="D20" s="6" t="s">
        <v>63</v>
      </c>
      <c r="E20" s="2">
        <f>SUMIFS(제시BS!$H:$H,제시BS!$A:$A,정산표!$B20)</f>
        <v>2534717672</v>
      </c>
      <c r="F20" s="2">
        <f>SUMIFS(별도_AJE_26.2Q!$G:$G,별도_AJE_26.2Q!$D:$D,정산표!$B20)</f>
        <v>0</v>
      </c>
      <c r="G20" s="2">
        <f>SUMIFS(별도_AJE_26.2Q!$H:$H,별도_AJE_26.2Q!$D:$D,정산표!$B20)</f>
        <v>0</v>
      </c>
      <c r="H20" s="2">
        <f t="shared" si="2"/>
        <v>2534717672</v>
      </c>
      <c r="J20" s="585">
        <v>2349819825</v>
      </c>
      <c r="K20" s="582">
        <f>SUMIFS(별도_AJE_25!G:G,별도_AJE_25!$D:$D,정산표!$B20)</f>
        <v>0</v>
      </c>
      <c r="L20" s="582">
        <f>SUMIFS(별도_AJE_25!H:H,별도_AJE_25!$D:$D,정산표!$B20)</f>
        <v>0</v>
      </c>
      <c r="M20" s="582">
        <f t="shared" si="3"/>
        <v>2349819825</v>
      </c>
    </row>
    <row r="21" spans="2:19">
      <c r="B21" s="840" t="s">
        <v>790</v>
      </c>
      <c r="D21" s="6" t="s">
        <v>125</v>
      </c>
      <c r="E21" s="2">
        <f>SUMIFS(제시BS!$H:$H,제시BS!$A:$A,정산표!$B21)</f>
        <v>-827921741</v>
      </c>
      <c r="F21" s="2">
        <f>SUMIFS(별도_AJE_26.2Q!$G:$G,별도_AJE_26.2Q!$D:$D,정산표!$B21)</f>
        <v>0</v>
      </c>
      <c r="G21" s="2">
        <f>SUMIFS(별도_AJE_26.2Q!$H:$H,별도_AJE_26.2Q!$D:$D,정산표!$B21)</f>
        <v>0</v>
      </c>
      <c r="H21" s="2">
        <f t="shared" si="2"/>
        <v>-827921741</v>
      </c>
      <c r="J21" s="585">
        <v>-725171962</v>
      </c>
      <c r="K21" s="582">
        <f>SUMIFS(별도_AJE_25!G:G,별도_AJE_25!$D:$D,정산표!$B21)</f>
        <v>0</v>
      </c>
      <c r="L21" s="582">
        <f>SUMIFS(별도_AJE_25!H:H,별도_AJE_25!$D:$D,정산표!$B21)</f>
        <v>0</v>
      </c>
      <c r="M21" s="582">
        <f t="shared" si="3"/>
        <v>-725171962</v>
      </c>
    </row>
    <row r="22" spans="2:19">
      <c r="B22" s="840" t="s">
        <v>792</v>
      </c>
      <c r="D22" s="6" t="s">
        <v>186</v>
      </c>
      <c r="E22" s="2">
        <f>SUMIFS(제시BS!$H:$H,제시BS!$A:$A,정산표!$B22)</f>
        <v>464851515</v>
      </c>
      <c r="F22" s="2">
        <f>SUMIFS(별도_AJE_26.2Q!$G:$G,별도_AJE_26.2Q!$D:$D,정산표!$B22)</f>
        <v>0</v>
      </c>
      <c r="G22" s="2">
        <f>SUMIFS(별도_AJE_26.2Q!$H:$H,별도_AJE_26.2Q!$D:$D,정산표!$B22)</f>
        <v>0</v>
      </c>
      <c r="H22" s="2">
        <f t="shared" si="2"/>
        <v>464851515</v>
      </c>
      <c r="J22" s="585">
        <v>354984836</v>
      </c>
      <c r="K22" s="582">
        <f>SUMIFS(별도_AJE_25!G:G,별도_AJE_25!$D:$D,정산표!$B22)</f>
        <v>0</v>
      </c>
      <c r="L22" s="582">
        <f>SUMIFS(별도_AJE_25!H:H,별도_AJE_25!$D:$D,정산표!$B22)</f>
        <v>0</v>
      </c>
      <c r="M22" s="582">
        <f t="shared" si="3"/>
        <v>354984836</v>
      </c>
    </row>
    <row r="23" spans="2:19">
      <c r="B23" s="840" t="s">
        <v>793</v>
      </c>
      <c r="D23" s="6" t="s">
        <v>188</v>
      </c>
      <c r="E23" s="2">
        <f>SUMIFS(제시BS!$H:$H,제시BS!$A:$A,정산표!$B23)</f>
        <v>-44697318</v>
      </c>
      <c r="F23" s="2">
        <f>SUMIFS(별도_AJE_26.2Q!$G:$G,별도_AJE_26.2Q!$D:$D,정산표!$B23)</f>
        <v>0</v>
      </c>
      <c r="G23" s="2">
        <f>SUMIFS(별도_AJE_26.2Q!$H:$H,별도_AJE_26.2Q!$D:$D,정산표!$B23)</f>
        <v>0</v>
      </c>
      <c r="H23" s="2">
        <f t="shared" si="2"/>
        <v>-44697318</v>
      </c>
      <c r="J23" s="585">
        <v>-34479470</v>
      </c>
      <c r="K23" s="582">
        <f>SUMIFS(별도_AJE_25!G:G,별도_AJE_25!$D:$D,정산표!$B23)</f>
        <v>0</v>
      </c>
      <c r="L23" s="582">
        <f>SUMIFS(별도_AJE_25!H:H,별도_AJE_25!$D:$D,정산표!$B23)</f>
        <v>0</v>
      </c>
      <c r="M23" s="582">
        <f t="shared" si="3"/>
        <v>-34479470</v>
      </c>
    </row>
    <row r="24" spans="2:19">
      <c r="B24" s="661" t="s">
        <v>1301</v>
      </c>
      <c r="D24" s="6" t="s">
        <v>1148</v>
      </c>
      <c r="E24" s="2">
        <f>SUMIFS(제시BS!$H:$H,제시BS!$A:$A,정산표!$B24)</f>
        <v>48405072</v>
      </c>
      <c r="F24" s="2">
        <f>SUMIFS(별도_AJE_26.2Q!$G:$G,별도_AJE_26.2Q!$D:$D,정산표!$B24)</f>
        <v>0</v>
      </c>
      <c r="G24" s="2">
        <f>SUMIFS(별도_AJE_26.2Q!$H:$H,별도_AJE_26.2Q!$D:$D,정산표!$B24)</f>
        <v>0</v>
      </c>
      <c r="H24" s="2">
        <f t="shared" ref="H24:H25" si="4">E24+F24-G24</f>
        <v>48405072</v>
      </c>
      <c r="J24" s="585">
        <v>49267189</v>
      </c>
      <c r="K24" s="582">
        <f>SUMIFS(별도_AJE_25!G:G,별도_AJE_25!$D:$D,정산표!$B24)</f>
        <v>0</v>
      </c>
      <c r="L24" s="582">
        <f>SUMIFS(별도_AJE_25!H:H,별도_AJE_25!$D:$D,정산표!$B24)</f>
        <v>0</v>
      </c>
      <c r="M24" s="582">
        <f t="shared" ref="M24:M25" si="5">J24+K24-L24</f>
        <v>49267189</v>
      </c>
      <c r="O24" s="584"/>
      <c r="P24" s="585"/>
      <c r="Q24" s="582"/>
      <c r="R24" s="582"/>
      <c r="S24" s="582"/>
    </row>
    <row r="25" spans="2:19">
      <c r="B25" s="661" t="s">
        <v>1303</v>
      </c>
      <c r="D25" s="6" t="s">
        <v>1149</v>
      </c>
      <c r="E25" s="2">
        <f>SUMIFS(제시BS!$H:$H,제시BS!$A:$A,정산표!$B25)</f>
        <v>-20598322</v>
      </c>
      <c r="F25" s="2">
        <f>SUMIFS(별도_AJE_26.2Q!$G:$G,별도_AJE_26.2Q!$D:$D,정산표!$B25)</f>
        <v>0</v>
      </c>
      <c r="G25" s="2">
        <f>SUMIFS(별도_AJE_26.2Q!$H:$H,별도_AJE_26.2Q!$D:$D,정산표!$B25)</f>
        <v>0</v>
      </c>
      <c r="H25" s="2">
        <f t="shared" si="4"/>
        <v>-20598322</v>
      </c>
      <c r="J25" s="2">
        <v>-2358686</v>
      </c>
      <c r="K25" s="582">
        <f>SUMIFS(별도_AJE_25!G:G,별도_AJE_25!$D:$D,정산표!$B25)</f>
        <v>0</v>
      </c>
      <c r="L25" s="582">
        <f>SUMIFS(별도_AJE_25!H:H,별도_AJE_25!$D:$D,정산표!$B25)</f>
        <v>0</v>
      </c>
      <c r="M25" s="582">
        <f t="shared" si="5"/>
        <v>-2358686</v>
      </c>
    </row>
    <row r="26" spans="2:19">
      <c r="B26" s="840" t="s">
        <v>799</v>
      </c>
      <c r="D26" s="6" t="s">
        <v>700</v>
      </c>
      <c r="E26" s="2">
        <f>SUMIFS(제시BS!$H:$H,제시BS!$A:$A,정산표!$B26)</f>
        <v>0</v>
      </c>
      <c r="F26" s="2">
        <f>SUMIFS(별도_AJE_26.2Q!$G:$G,별도_AJE_26.2Q!$D:$D,정산표!$B26)</f>
        <v>0</v>
      </c>
      <c r="G26" s="2">
        <f>SUMIFS(별도_AJE_26.2Q!$H:$H,별도_AJE_26.2Q!$D:$D,정산표!$B26)</f>
        <v>0</v>
      </c>
      <c r="H26" s="2">
        <f>E26+F26-G26</f>
        <v>0</v>
      </c>
      <c r="J26" s="585">
        <v>0</v>
      </c>
      <c r="K26" s="582">
        <f>SUMIFS(별도_AJE_25!G:G,별도_AJE_25!$D:$D,정산표!$B26)</f>
        <v>0</v>
      </c>
      <c r="L26" s="582">
        <f>SUMIFS(별도_AJE_25!H:H,별도_AJE_25!$D:$D,정산표!$B26)</f>
        <v>0</v>
      </c>
      <c r="M26" s="582">
        <f>J26+K26-L26</f>
        <v>0</v>
      </c>
    </row>
    <row r="27" spans="2:19">
      <c r="B27" s="840"/>
      <c r="D27" s="5" t="s">
        <v>64</v>
      </c>
      <c r="E27" s="38">
        <f>SUM(E28:E32)</f>
        <v>2097128278</v>
      </c>
      <c r="H27" s="38">
        <f>SUM(H28:H32)</f>
        <v>2097128278</v>
      </c>
      <c r="J27" s="38">
        <f>SUM(J28:J32)</f>
        <v>2735837690</v>
      </c>
      <c r="K27" s="582"/>
      <c r="L27" s="582"/>
      <c r="M27" s="38">
        <f>SUM(M28:M32)</f>
        <v>2735837690</v>
      </c>
    </row>
    <row r="28" spans="2:19">
      <c r="B28" s="840" t="s">
        <v>776</v>
      </c>
      <c r="D28" s="6" t="s">
        <v>3</v>
      </c>
      <c r="E28" s="2">
        <f>SUMIFS(제시BS!$H:$H,제시BS!$A:$A,정산표!$B28)</f>
        <v>394157762</v>
      </c>
      <c r="F28" s="2">
        <f>SUMIFS(별도_AJE_26.2Q!$G:$G,별도_AJE_26.2Q!$D:$D,정산표!$B28)</f>
        <v>0</v>
      </c>
      <c r="G28" s="2">
        <f>SUMIFS(별도_AJE_26.2Q!$H:$H,별도_AJE_26.2Q!$D:$D,정산표!$B28)</f>
        <v>0</v>
      </c>
      <c r="H28" s="2">
        <f>E28+F28-G28</f>
        <v>394157762</v>
      </c>
      <c r="J28" s="585">
        <v>2254829529</v>
      </c>
      <c r="K28" s="582">
        <f>SUMIFS(별도_AJE_25!G:G,별도_AJE_25!$D:$D,정산표!$B28)</f>
        <v>0</v>
      </c>
      <c r="L28" s="582">
        <f>SUMIFS(별도_AJE_25!H:H,별도_AJE_25!$D:$D,정산표!$B28)</f>
        <v>0</v>
      </c>
      <c r="M28" s="582">
        <f>J28+K28-L28</f>
        <v>2254829529</v>
      </c>
    </row>
    <row r="29" spans="2:19">
      <c r="B29" s="840" t="s">
        <v>777</v>
      </c>
      <c r="D29" s="6" t="s">
        <v>189</v>
      </c>
      <c r="E29" s="2">
        <f>SUMIFS(제시BS!$H:$H,제시BS!$A:$A,정산표!$B29)</f>
        <v>0</v>
      </c>
      <c r="F29" s="2">
        <f>SUMIFS(별도_AJE_26.2Q!$G:$G,별도_AJE_26.2Q!$D:$D,정산표!$B29)</f>
        <v>0</v>
      </c>
      <c r="G29" s="2">
        <f>SUMIFS(별도_AJE_26.2Q!$H:$H,별도_AJE_26.2Q!$D:$D,정산표!$B29)</f>
        <v>0</v>
      </c>
      <c r="H29" s="2">
        <f>E29+F29-G29</f>
        <v>0</v>
      </c>
      <c r="J29" s="585">
        <v>0</v>
      </c>
      <c r="K29" s="582">
        <f>SUMIFS(별도_AJE_25!G:G,별도_AJE_25!$D:$D,정산표!$B29)</f>
        <v>0</v>
      </c>
      <c r="L29" s="582">
        <f>SUMIFS(별도_AJE_25!H:H,별도_AJE_25!$D:$D,정산표!$B29)</f>
        <v>0</v>
      </c>
      <c r="M29" s="582">
        <f>J29+K29-L29</f>
        <v>0</v>
      </c>
    </row>
    <row r="30" spans="2:19">
      <c r="B30" s="840" t="s">
        <v>779</v>
      </c>
      <c r="D30" s="6" t="s">
        <v>4</v>
      </c>
      <c r="E30" s="2">
        <f>SUMIFS(제시BS!$H:$H,제시BS!$A:$A,정산표!$B30)</f>
        <v>1698698289</v>
      </c>
      <c r="F30" s="2">
        <f>SUMIFS(별도_AJE_26.2Q!$G:$G,별도_AJE_26.2Q!$D:$D,정산표!$B30)</f>
        <v>0</v>
      </c>
      <c r="G30" s="2">
        <f>SUMIFS(별도_AJE_26.2Q!$H:$H,별도_AJE_26.2Q!$D:$D,정산표!$B30)</f>
        <v>0</v>
      </c>
      <c r="H30" s="2">
        <f>E30+F30-G30</f>
        <v>1698698289</v>
      </c>
      <c r="J30" s="585">
        <v>473315521</v>
      </c>
      <c r="K30" s="582">
        <f>SUMIFS(별도_AJE_25!G:G,별도_AJE_25!$D:$D,정산표!$B30)</f>
        <v>0</v>
      </c>
      <c r="L30" s="582">
        <f>SUMIFS(별도_AJE_25!H:H,별도_AJE_25!$D:$D,정산표!$B30)</f>
        <v>0</v>
      </c>
      <c r="M30" s="582">
        <f t="shared" ref="M30:M34" si="6">J30+K30-L30</f>
        <v>473315521</v>
      </c>
    </row>
    <row r="31" spans="2:19">
      <c r="B31" s="51" t="s">
        <v>1712</v>
      </c>
      <c r="D31" s="836" t="s">
        <v>1572</v>
      </c>
      <c r="E31" s="2">
        <f>SUMIFS(제시BS!$H:$H,제시BS!$A:$A,정산표!$B31)</f>
        <v>4272227</v>
      </c>
      <c r="F31" s="2">
        <f>SUMIFS(별도_AJE_26.2Q!$G:$G,별도_AJE_26.2Q!$D:$D,정산표!$B31)</f>
        <v>0</v>
      </c>
      <c r="G31" s="2">
        <f>SUMIFS(별도_AJE_26.2Q!$H:$H,별도_AJE_26.2Q!$D:$D,정산표!$B31)</f>
        <v>0</v>
      </c>
      <c r="H31" s="2">
        <f>E31+F31-G31</f>
        <v>4272227</v>
      </c>
      <c r="J31" s="585">
        <v>7692640</v>
      </c>
      <c r="K31" s="582">
        <f>SUMIFS(별도_AJE_25!G:G,별도_AJE_25!$D:$D,정산표!$B31)</f>
        <v>0</v>
      </c>
      <c r="L31" s="582">
        <f>SUMIFS(별도_AJE_25!H:H,별도_AJE_25!$D:$D,정산표!$B31)</f>
        <v>0</v>
      </c>
      <c r="M31" s="582">
        <f t="shared" si="6"/>
        <v>7692640</v>
      </c>
    </row>
    <row r="32" spans="2:19">
      <c r="B32" s="661" t="s">
        <v>1353</v>
      </c>
      <c r="D32" s="6" t="s">
        <v>1350</v>
      </c>
      <c r="E32" s="2">
        <f>SUMIFS(제시BS!$H:$H,제시BS!$A:$A,정산표!$B32)</f>
        <v>0</v>
      </c>
      <c r="F32" s="2">
        <f>SUMIFS(별도_AJE_26.2Q!$G:$G,별도_AJE_26.2Q!$D:$D,정산표!$B32)</f>
        <v>0</v>
      </c>
      <c r="G32" s="2">
        <f>SUMIFS(별도_AJE_26.2Q!$H:$H,별도_AJE_26.2Q!$D:$D,정산표!$B32)</f>
        <v>0</v>
      </c>
      <c r="H32" s="2">
        <f>E32+F32-G32</f>
        <v>0</v>
      </c>
      <c r="J32" s="585">
        <v>0</v>
      </c>
      <c r="K32" s="582">
        <f>SUMIFS(별도_AJE_25!G:G,별도_AJE_25!$D:$D,정산표!$B32)</f>
        <v>0</v>
      </c>
      <c r="L32" s="582">
        <f>SUMIFS(별도_AJE_25!H:H,별도_AJE_25!$D:$D,정산표!$B32)</f>
        <v>0</v>
      </c>
      <c r="M32" s="582">
        <f t="shared" ref="M32" si="7">J32+K32-L32</f>
        <v>0</v>
      </c>
    </row>
    <row r="33" spans="2:20">
      <c r="B33" s="840"/>
      <c r="D33" s="5" t="s">
        <v>286</v>
      </c>
      <c r="E33" s="38">
        <f>SUM(E34:E35)</f>
        <v>0</v>
      </c>
      <c r="H33" s="38">
        <f>SUM(H34:H35)</f>
        <v>0</v>
      </c>
      <c r="J33" s="38">
        <f>SUM(J34:J35)</f>
        <v>1250001</v>
      </c>
      <c r="K33" s="582"/>
      <c r="L33" s="582"/>
      <c r="M33" s="38">
        <f>SUM(M34:M35)</f>
        <v>1250001</v>
      </c>
      <c r="S33" s="582"/>
      <c r="T33" s="582"/>
    </row>
    <row r="34" spans="2:20">
      <c r="B34" s="659" t="s">
        <v>1575</v>
      </c>
      <c r="D34" s="6" t="s">
        <v>1009</v>
      </c>
      <c r="E34" s="2">
        <f>SUMIFS(제시BS!$H:$H,제시BS!$A:$A,정산표!$B34)</f>
        <v>0</v>
      </c>
      <c r="F34" s="2">
        <f>SUMIFS(별도_AJE_26.2Q!$G:$G,별도_AJE_26.2Q!$D:$D,정산표!$B34)</f>
        <v>0</v>
      </c>
      <c r="G34" s="2">
        <f>SUMIFS(별도_AJE_26.2Q!$H:$H,별도_AJE_26.2Q!$D:$D,정산표!$B34)</f>
        <v>0</v>
      </c>
      <c r="H34" s="2">
        <f>E34+F34-G34</f>
        <v>0</v>
      </c>
      <c r="J34" s="2">
        <v>0</v>
      </c>
      <c r="K34" s="582">
        <f>SUMIFS(별도_AJE_25!G:G,별도_AJE_25!$D:$D,정산표!$B34)</f>
        <v>0</v>
      </c>
      <c r="L34" s="582">
        <f>SUMIFS(별도_AJE_25!H:H,별도_AJE_25!$D:$D,정산표!$B34)</f>
        <v>0</v>
      </c>
      <c r="M34" s="582">
        <f t="shared" si="6"/>
        <v>0</v>
      </c>
      <c r="N34" s="38"/>
      <c r="O34" s="38"/>
      <c r="P34" s="584"/>
      <c r="Q34" s="585"/>
      <c r="R34" s="582"/>
    </row>
    <row r="35" spans="2:20">
      <c r="B35" s="840" t="s">
        <v>780</v>
      </c>
      <c r="D35" s="16" t="s">
        <v>719</v>
      </c>
      <c r="E35" s="2">
        <f>SUMIFS(제시BS!$H:$H,제시BS!$A:$A,정산표!$B35)</f>
        <v>0</v>
      </c>
      <c r="F35" s="2">
        <f>SUMIFS(별도_AJE_26.2Q!$G:$G,별도_AJE_26.2Q!$D:$D,정산표!$B35)</f>
        <v>0</v>
      </c>
      <c r="G35" s="2">
        <f>SUMIFS(별도_AJE_26.2Q!$H:$H,별도_AJE_26.2Q!$D:$D,정산표!$B35)</f>
        <v>0</v>
      </c>
      <c r="H35" s="2">
        <f>E35+F35-G35</f>
        <v>0</v>
      </c>
      <c r="J35" s="2">
        <v>1250001</v>
      </c>
      <c r="K35" s="582">
        <f>SUMIFS(별도_AJE_25!G:G,별도_AJE_25!$D:$D,정산표!$B35)</f>
        <v>0</v>
      </c>
      <c r="L35" s="582">
        <f>SUMIFS(별도_AJE_25!H:H,별도_AJE_25!$D:$D,정산표!$B35)</f>
        <v>0</v>
      </c>
      <c r="M35" s="582">
        <f>J35+K35-L35</f>
        <v>1250001</v>
      </c>
    </row>
    <row r="36" spans="2:20" ht="15.45" thickBot="1">
      <c r="B36" s="840" t="s">
        <v>784</v>
      </c>
      <c r="D36" s="5" t="s">
        <v>177</v>
      </c>
      <c r="E36" s="39">
        <f>SUMIFS(제시BS!$H:$H,제시BS!$A:$A,정산표!$B36)</f>
        <v>2154280</v>
      </c>
      <c r="F36" s="39">
        <f>SUMIFS(별도_AJE_26.2Q!$G:$G,별도_AJE_26.2Q!$D:$D,정산표!$B36)</f>
        <v>0</v>
      </c>
      <c r="G36" s="39">
        <f>SUMIFS(별도_AJE_26.2Q!$H:$H,별도_AJE_26.2Q!$D:$D,정산표!$B36)</f>
        <v>0</v>
      </c>
      <c r="H36" s="39">
        <f>E36+F36-G36</f>
        <v>2154280</v>
      </c>
      <c r="J36" s="39">
        <v>7479410</v>
      </c>
      <c r="K36" s="582">
        <f>SUMIFS(별도_AJE_25!G:G,별도_AJE_25!$D:$D,정산표!$B36)</f>
        <v>0</v>
      </c>
      <c r="L36" s="582">
        <f>SUMIFS(별도_AJE_25!H:H,별도_AJE_25!$D:$D,정산표!$B36)</f>
        <v>0</v>
      </c>
      <c r="M36" s="583">
        <f>J36+K36-L36</f>
        <v>7479410</v>
      </c>
    </row>
    <row r="37" spans="2:20" ht="15.45" thickBot="1">
      <c r="B37" s="840"/>
      <c r="D37" s="628" t="s">
        <v>32</v>
      </c>
      <c r="E37" s="625">
        <f>E38+E43+E47+E66+E42+E71</f>
        <v>37614774674</v>
      </c>
      <c r="F37" s="625"/>
      <c r="G37" s="625"/>
      <c r="H37" s="625">
        <f>H38+H43+H47+H66+H42+H71</f>
        <v>37605682655</v>
      </c>
      <c r="I37" s="629"/>
      <c r="J37" s="625">
        <f>J38+J43+J47+J66+J42+J71</f>
        <v>29197391461</v>
      </c>
      <c r="K37" s="624"/>
      <c r="L37" s="624"/>
      <c r="M37" s="625">
        <f>M38+M43+M47+M66+M42+M71</f>
        <v>29197391461</v>
      </c>
    </row>
    <row r="38" spans="2:20">
      <c r="B38" s="840"/>
      <c r="D38" s="5" t="s">
        <v>190</v>
      </c>
      <c r="E38" s="39">
        <f>SUM(E39:E41)</f>
        <v>386082376</v>
      </c>
      <c r="F38" s="39"/>
      <c r="G38" s="39"/>
      <c r="H38" s="39">
        <f>SUM(H39:H41)</f>
        <v>386082376</v>
      </c>
      <c r="J38" s="583">
        <f>SUM(J39:J41)</f>
        <v>388220275</v>
      </c>
      <c r="K38" s="583">
        <f>SUM(K39:K41)</f>
        <v>0</v>
      </c>
      <c r="L38" s="583">
        <f>SUM(L39:L41)</f>
        <v>0</v>
      </c>
      <c r="M38" s="583">
        <f>SUM(M39:M41)</f>
        <v>388220275</v>
      </c>
    </row>
    <row r="39" spans="2:20">
      <c r="B39" s="840" t="s">
        <v>827</v>
      </c>
      <c r="D39" s="6" t="s">
        <v>191</v>
      </c>
      <c r="E39" s="2">
        <f>SUMIFS(제시BS!$H:$H,제시BS!$A:$A,정산표!$B39)</f>
        <v>403800000</v>
      </c>
      <c r="F39" s="2">
        <f>SUMIFS(별도_AJE_26.2Q!$G:$G,별도_AJE_26.2Q!$D:$D,정산표!$B39)</f>
        <v>0</v>
      </c>
      <c r="G39" s="2">
        <f>SUMIFS(별도_AJE_26.2Q!$H:$H,별도_AJE_26.2Q!$D:$D,정산표!$B39)</f>
        <v>0</v>
      </c>
      <c r="H39" s="2">
        <f>E39+F39-G39</f>
        <v>403800000</v>
      </c>
      <c r="J39" s="585">
        <v>413778000</v>
      </c>
      <c r="K39" s="582">
        <f>SUMIFS(별도_AJE_25!G:G,별도_AJE_25!$D:$D,정산표!$B39)</f>
        <v>0</v>
      </c>
      <c r="L39" s="582">
        <f>SUMIFS(별도_AJE_25!H:H,별도_AJE_25!$D:$D,정산표!$B39)</f>
        <v>0</v>
      </c>
      <c r="M39" s="582">
        <f>J39+K39-L39</f>
        <v>413778000</v>
      </c>
    </row>
    <row r="40" spans="2:20">
      <c r="B40" s="51" t="s">
        <v>1720</v>
      </c>
      <c r="D40" s="836" t="s">
        <v>1352</v>
      </c>
      <c r="E40" s="2">
        <f>SUMIFS(제시BS!$H:$H,제시BS!$A:$A,정산표!$B40)</f>
        <v>-27853494</v>
      </c>
      <c r="F40" s="2">
        <f>SUMIFS(별도_AJE_26.2Q!$G:$G,별도_AJE_26.2Q!$D:$D,정산표!$B40)</f>
        <v>0</v>
      </c>
      <c r="G40" s="2">
        <f>SUMIFS(별도_AJE_26.2Q!$H:$H,별도_AJE_26.2Q!$D:$D,정산표!$B40)</f>
        <v>0</v>
      </c>
      <c r="H40" s="2">
        <f>E40+F40-G40</f>
        <v>-27853494</v>
      </c>
      <c r="J40" s="585">
        <v>-35581895</v>
      </c>
      <c r="K40" s="582">
        <f>SUMIFS(별도_AJE_25!G:G,별도_AJE_25!$D:$D,정산표!$B40)</f>
        <v>0</v>
      </c>
      <c r="L40" s="582">
        <f>SUMIFS(별도_AJE_25!H:H,별도_AJE_25!$D:$D,정산표!$B40)</f>
        <v>0</v>
      </c>
      <c r="M40" s="582">
        <f>J40+K40-L40</f>
        <v>-35581895</v>
      </c>
    </row>
    <row r="41" spans="2:20">
      <c r="B41" s="840" t="s">
        <v>828</v>
      </c>
      <c r="D41" s="6" t="s">
        <v>192</v>
      </c>
      <c r="E41" s="2">
        <f>SUMIFS(제시BS!$H:$H,제시BS!$A:$A,정산표!$B41)</f>
        <v>10135870</v>
      </c>
      <c r="F41" s="2">
        <f>SUMIFS(별도_AJE_26.2Q!$G:$G,별도_AJE_26.2Q!$D:$D,정산표!$B41)</f>
        <v>0</v>
      </c>
      <c r="G41" s="2">
        <f>SUMIFS(별도_AJE_26.2Q!$H:$H,별도_AJE_26.2Q!$D:$D,정산표!$B41)</f>
        <v>0</v>
      </c>
      <c r="H41" s="2">
        <f>E41+F41-G41</f>
        <v>10135870</v>
      </c>
      <c r="J41" s="585">
        <v>10024170</v>
      </c>
      <c r="K41" s="582">
        <f>SUMIFS(별도_AJE_25!G:G,별도_AJE_25!$D:$D,정산표!$B41)</f>
        <v>0</v>
      </c>
      <c r="L41" s="582">
        <f>SUMIFS(별도_AJE_25!H:H,별도_AJE_25!$D:$D,정산표!$B41)</f>
        <v>0</v>
      </c>
      <c r="M41" s="582">
        <f>J41+K41-L41</f>
        <v>10024170</v>
      </c>
    </row>
    <row r="42" spans="2:20">
      <c r="B42" s="51" t="s">
        <v>1718</v>
      </c>
      <c r="D42" s="37" t="s">
        <v>704</v>
      </c>
      <c r="E42" s="39">
        <f>SUMIFS(제시BS!$H:$H,제시BS!$A:$A,정산표!$B42)</f>
        <v>172664940</v>
      </c>
      <c r="F42" s="39">
        <f>SUMIFS(별도_AJE_26.2Q!$G:$G,별도_AJE_26.2Q!$D:$D,정산표!$B42)</f>
        <v>0</v>
      </c>
      <c r="G42" s="39">
        <f>SUMIFS(별도_AJE_26.2Q!$H:$H,별도_AJE_26.2Q!$D:$D,정산표!$B42)</f>
        <v>0</v>
      </c>
      <c r="H42" s="39">
        <f>E42+F42-G42</f>
        <v>172664940</v>
      </c>
      <c r="J42" s="586">
        <v>172664940</v>
      </c>
      <c r="K42" s="582">
        <f>SUMIFS(별도_AJE_25!G:G,별도_AJE_25!$D:$D,정산표!$B42)</f>
        <v>0</v>
      </c>
      <c r="L42" s="582">
        <f>SUMIFS(별도_AJE_25!H:H,별도_AJE_25!$D:$D,정산표!$B42)</f>
        <v>0</v>
      </c>
      <c r="M42" s="583">
        <f>J42+K42-L42</f>
        <v>172664940</v>
      </c>
    </row>
    <row r="43" spans="2:20">
      <c r="B43" s="840"/>
      <c r="D43" s="5" t="s">
        <v>65</v>
      </c>
      <c r="E43" s="39">
        <f>SUM(E44:E46)</f>
        <v>25348225181</v>
      </c>
      <c r="H43" s="39">
        <f>SUM(H44:H45)</f>
        <v>25348225181</v>
      </c>
      <c r="J43" s="38">
        <f>SUM(J44:J46)</f>
        <v>17348225181</v>
      </c>
      <c r="K43" s="582"/>
      <c r="L43" s="582"/>
      <c r="M43" s="38">
        <f>SUM(M44:M46)</f>
        <v>17348225181</v>
      </c>
    </row>
    <row r="44" spans="2:20">
      <c r="B44" s="659" t="s">
        <v>1433</v>
      </c>
      <c r="D44" s="6" t="s">
        <v>296</v>
      </c>
      <c r="E44" s="2">
        <f>SUMIFS(제시BS!$H:$H,제시BS!$A:$A,정산표!$B44)</f>
        <v>348225681</v>
      </c>
      <c r="F44" s="2">
        <f>SUMIFS(별도_AJE_26.2Q!$G:$G,별도_AJE_26.2Q!$D:$D,정산표!$B44)</f>
        <v>24999999500</v>
      </c>
      <c r="G44" s="2">
        <f>SUMIFS(별도_AJE_26.2Q!$H:$H,별도_AJE_26.2Q!$D:$D,정산표!$B44)</f>
        <v>0</v>
      </c>
      <c r="H44" s="2">
        <f>E44+F44-G44</f>
        <v>25348225181</v>
      </c>
      <c r="J44" s="585">
        <v>348225681</v>
      </c>
      <c r="K44" s="582">
        <f>SUMIFS(별도_AJE_25!G:G,별도_AJE_25!$D:$D,정산표!$B44)</f>
        <v>0</v>
      </c>
      <c r="L44" s="582">
        <f>SUMIFS(별도_AJE_25!H:H,별도_AJE_25!$D:$D,정산표!$B44)</f>
        <v>0</v>
      </c>
      <c r="M44" s="582">
        <f>J44+K44-L44</f>
        <v>348225681</v>
      </c>
    </row>
    <row r="45" spans="2:20">
      <c r="B45" s="659" t="s">
        <v>1431</v>
      </c>
      <c r="D45" s="6" t="s">
        <v>714</v>
      </c>
      <c r="E45" s="2">
        <f>SUMIFS(제시BS!$H:$H,제시BS!$A:$A,정산표!$B45)</f>
        <v>24999999500</v>
      </c>
      <c r="F45" s="2">
        <f>SUMIFS(별도_AJE_26.2Q!$G:$G,별도_AJE_26.2Q!$D:$D,정산표!$B45)</f>
        <v>0</v>
      </c>
      <c r="G45" s="2">
        <f>SUMIFS(별도_AJE_26.2Q!$H:$H,별도_AJE_26.2Q!$D:$D,정산표!$B45)</f>
        <v>24999999500</v>
      </c>
      <c r="H45" s="2">
        <f>E45+F45-G45</f>
        <v>0</v>
      </c>
      <c r="J45" s="585">
        <v>16999999500</v>
      </c>
      <c r="K45" s="582">
        <f>SUMIFS(별도_AJE_25!G:G,별도_AJE_25!$D:$D,정산표!$B45)</f>
        <v>0</v>
      </c>
      <c r="L45" s="582">
        <f>SUMIFS(별도_AJE_25!H:H,별도_AJE_25!$D:$D,정산표!$B45)</f>
        <v>0</v>
      </c>
      <c r="M45" s="582">
        <f t="shared" ref="M45:M46" si="8">J45+K45-L45</f>
        <v>16999999500</v>
      </c>
    </row>
    <row r="46" spans="2:20">
      <c r="B46" s="659" t="s">
        <v>1434</v>
      </c>
      <c r="D46" s="6" t="s">
        <v>1152</v>
      </c>
      <c r="E46" s="2">
        <f>SUMIFS(제시BS!$H:$H,제시BS!$A:$A,정산표!$B46)</f>
        <v>0</v>
      </c>
      <c r="F46" s="2">
        <f>SUMIFS(별도_AJE_26.2Q!$G:$G,별도_AJE_26.2Q!$D:$D,정산표!$B46)</f>
        <v>0</v>
      </c>
      <c r="G46" s="2">
        <f>SUMIFS(별도_AJE_26.2Q!$H:$H,별도_AJE_26.2Q!$D:$D,정산표!$B46)</f>
        <v>0</v>
      </c>
      <c r="H46" s="2">
        <f>E46+F46-G46</f>
        <v>0</v>
      </c>
      <c r="J46" s="585">
        <v>0</v>
      </c>
      <c r="K46" s="582">
        <f>SUMIFS(별도_AJE_25!G:G,별도_AJE_25!$D:$D,정산표!$B46)</f>
        <v>0</v>
      </c>
      <c r="L46" s="582">
        <f>SUMIFS(별도_AJE_25!H:H,별도_AJE_25!$D:$D,정산표!$B46)</f>
        <v>0</v>
      </c>
      <c r="M46" s="582">
        <f t="shared" si="8"/>
        <v>0</v>
      </c>
    </row>
    <row r="47" spans="2:20">
      <c r="B47" s="660"/>
      <c r="D47" s="5" t="s">
        <v>9</v>
      </c>
      <c r="E47" s="39">
        <f>SUM(E48:E65)</f>
        <v>9027975084</v>
      </c>
      <c r="H47" s="39">
        <f>SUM(H48:H65)</f>
        <v>9018883065</v>
      </c>
      <c r="J47" s="39">
        <f>SUM(J48:J65)</f>
        <v>8682807344</v>
      </c>
      <c r="K47" s="39">
        <f>SUM(K48:K65)</f>
        <v>0</v>
      </c>
      <c r="L47" s="39">
        <f>SUM(L48:L65)</f>
        <v>0</v>
      </c>
      <c r="M47" s="39">
        <f>SUM(M48:M65)</f>
        <v>8682807344</v>
      </c>
    </row>
    <row r="48" spans="2:20">
      <c r="B48" s="659" t="s">
        <v>1305</v>
      </c>
      <c r="D48" s="6" t="s">
        <v>1153</v>
      </c>
      <c r="E48" s="2">
        <f>SUMIFS(제시BS!$H:$H,제시BS!$A:$A,정산표!$B48)</f>
        <v>1115280040</v>
      </c>
      <c r="F48" s="2">
        <f>SUMIFS(별도_AJE_26.2Q!$G:$G,별도_AJE_26.2Q!$D:$D,정산표!$B48)</f>
        <v>0</v>
      </c>
      <c r="G48" s="2">
        <f>SUMIFS(별도_AJE_26.2Q!$H:$H,별도_AJE_26.2Q!$D:$D,정산표!$B48)</f>
        <v>0</v>
      </c>
      <c r="H48" s="2">
        <f t="shared" ref="H48:H61" si="9">E48+F48-G48</f>
        <v>1115280040</v>
      </c>
      <c r="J48" s="2">
        <v>557640020</v>
      </c>
      <c r="K48" s="582">
        <f>SUMIFS(별도_AJE_25!G:G,별도_AJE_25!$D:$D,정산표!$B48)</f>
        <v>0</v>
      </c>
      <c r="L48" s="582">
        <f>SUMIFS(별도_AJE_25!H:H,별도_AJE_25!$D:$D,정산표!$B48)</f>
        <v>0</v>
      </c>
      <c r="M48" s="582">
        <f t="shared" ref="M48:M57" si="10">J48+K48-L48</f>
        <v>557640020</v>
      </c>
    </row>
    <row r="49" spans="2:13">
      <c r="B49" s="689">
        <v>20200</v>
      </c>
      <c r="D49" s="6" t="s">
        <v>1713</v>
      </c>
      <c r="E49" s="2">
        <f>SUMIFS(제시BS!$H:$H,제시BS!$A:$A,정산표!$B49)</f>
        <v>2832428420</v>
      </c>
      <c r="F49" s="2">
        <f>SUMIFS(별도_AJE_26.2Q!$G:$G,별도_AJE_26.2Q!$D:$D,정산표!$B49)</f>
        <v>0</v>
      </c>
      <c r="G49" s="2">
        <f>SUMIFS(별도_AJE_26.2Q!$H:$H,별도_AJE_26.2Q!$D:$D,정산표!$B49)</f>
        <v>0</v>
      </c>
      <c r="H49" s="2">
        <f t="shared" ref="H49:H50" si="11">E49+F49-G49</f>
        <v>2832428420</v>
      </c>
      <c r="J49" s="2">
        <v>1355889942</v>
      </c>
      <c r="K49" s="582"/>
      <c r="L49" s="582"/>
      <c r="M49" s="582">
        <f t="shared" si="10"/>
        <v>1355889942</v>
      </c>
    </row>
    <row r="50" spans="2:13">
      <c r="B50" s="689">
        <v>20300</v>
      </c>
      <c r="D50" s="6" t="s">
        <v>1714</v>
      </c>
      <c r="E50" s="2">
        <f>SUMIFS(제시BS!$H:$H,제시BS!$A:$A,정산표!$B50)</f>
        <v>-61959374</v>
      </c>
      <c r="F50" s="2">
        <f>SUMIFS(별도_AJE_26.2Q!$G:$G,별도_AJE_26.2Q!$D:$D,정산표!$B50)</f>
        <v>0</v>
      </c>
      <c r="G50" s="2">
        <f>SUMIFS(별도_AJE_26.2Q!$H:$H,별도_AJE_26.2Q!$D:$D,정산표!$B50)</f>
        <v>0</v>
      </c>
      <c r="H50" s="2">
        <f t="shared" si="11"/>
        <v>-61959374</v>
      </c>
      <c r="J50" s="2">
        <v>-31072481</v>
      </c>
      <c r="K50" s="582"/>
      <c r="L50" s="582"/>
      <c r="M50" s="582">
        <f t="shared" si="10"/>
        <v>-31072481</v>
      </c>
    </row>
    <row r="51" spans="2:13">
      <c r="B51" s="660" t="s">
        <v>803</v>
      </c>
      <c r="D51" s="6" t="s">
        <v>66</v>
      </c>
      <c r="E51" s="2">
        <f>SUMIFS(제시BS!$H:$H,제시BS!$A:$A,정산표!$B51)</f>
        <v>2674264961</v>
      </c>
      <c r="F51" s="2">
        <f>SUMIFS(별도_AJE_26.2Q!$G:$G,별도_AJE_26.2Q!$D:$D,정산표!$B51)</f>
        <v>0</v>
      </c>
      <c r="G51" s="2">
        <f>SUMIFS(별도_AJE_26.2Q!$H:$H,별도_AJE_26.2Q!$D:$D,정산표!$B51)</f>
        <v>0</v>
      </c>
      <c r="H51" s="2">
        <f t="shared" si="9"/>
        <v>2674264961</v>
      </c>
      <c r="J51" s="2">
        <v>1819453967</v>
      </c>
      <c r="K51" s="582">
        <f>SUMIFS(별도_AJE_25!G:G,별도_AJE_25!$D:$D,정산표!$B51)</f>
        <v>0</v>
      </c>
      <c r="L51" s="582">
        <f>SUMIFS(별도_AJE_25!H:H,별도_AJE_25!$D:$D,정산표!$B51)</f>
        <v>0</v>
      </c>
      <c r="M51" s="582">
        <f t="shared" si="10"/>
        <v>1819453967</v>
      </c>
    </row>
    <row r="52" spans="2:13">
      <c r="B52" s="660" t="s">
        <v>804</v>
      </c>
      <c r="D52" s="6" t="s">
        <v>5</v>
      </c>
      <c r="E52" s="2">
        <f>SUMIFS(제시BS!$H:$H,제시BS!$A:$A,정산표!$B52)</f>
        <v>-1323604760</v>
      </c>
      <c r="F52" s="2">
        <f>SUMIFS(별도_AJE_26.2Q!$G:$G,별도_AJE_26.2Q!$D:$D,정산표!$B52)</f>
        <v>0</v>
      </c>
      <c r="G52" s="2">
        <f>SUMIFS(별도_AJE_26.2Q!$H:$H,별도_AJE_26.2Q!$D:$D,정산표!$B52)</f>
        <v>0</v>
      </c>
      <c r="H52" s="2">
        <f t="shared" si="9"/>
        <v>-1323604760</v>
      </c>
      <c r="J52" s="2">
        <v>-1210652849</v>
      </c>
      <c r="K52" s="582">
        <f>SUMIFS(별도_AJE_25!G:G,별도_AJE_25!$D:$D,정산표!$B52)</f>
        <v>0</v>
      </c>
      <c r="L52" s="582">
        <f>SUMIFS(별도_AJE_25!H:H,별도_AJE_25!$D:$D,정산표!$B52)</f>
        <v>0</v>
      </c>
      <c r="M52" s="582">
        <f t="shared" si="10"/>
        <v>-1210652849</v>
      </c>
    </row>
    <row r="53" spans="2:13">
      <c r="B53" s="659" t="s">
        <v>1306</v>
      </c>
      <c r="D53" s="6" t="s">
        <v>67</v>
      </c>
      <c r="E53" s="2">
        <f>SUMIFS(제시BS!$H:$H,제시BS!$A:$A,정산표!$B53)</f>
        <v>7974819</v>
      </c>
      <c r="F53" s="2">
        <f>SUMIFS(별도_AJE_26.2Q!$G:$G,별도_AJE_26.2Q!$D:$D,정산표!$B53)</f>
        <v>0</v>
      </c>
      <c r="G53" s="2">
        <f>SUMIFS(별도_AJE_26.2Q!$H:$H,별도_AJE_26.2Q!$D:$D,정산표!$B53)</f>
        <v>0</v>
      </c>
      <c r="H53" s="2">
        <f t="shared" si="9"/>
        <v>7974819</v>
      </c>
      <c r="J53" s="2">
        <v>7974819</v>
      </c>
      <c r="K53" s="582">
        <f>SUMIFS(별도_AJE_25!G:G,별도_AJE_25!$D:$D,정산표!$B53)</f>
        <v>0</v>
      </c>
      <c r="L53" s="582">
        <f>SUMIFS(별도_AJE_25!H:H,별도_AJE_25!$D:$D,정산표!$B53)</f>
        <v>0</v>
      </c>
      <c r="M53" s="582">
        <f t="shared" si="10"/>
        <v>7974819</v>
      </c>
    </row>
    <row r="54" spans="2:13">
      <c r="B54" s="660" t="s">
        <v>807</v>
      </c>
      <c r="D54" s="6" t="s">
        <v>5</v>
      </c>
      <c r="E54" s="2">
        <f>SUMIFS(제시BS!$H:$H,제시BS!$A:$A,정산표!$B54)</f>
        <v>-7972819</v>
      </c>
      <c r="F54" s="2">
        <f>SUMIFS(별도_AJE_26.2Q!$G:$G,별도_AJE_26.2Q!$D:$D,정산표!$B54)</f>
        <v>0</v>
      </c>
      <c r="G54" s="2">
        <f>SUMIFS(별도_AJE_26.2Q!$H:$H,별도_AJE_26.2Q!$D:$D,정산표!$B54)</f>
        <v>0</v>
      </c>
      <c r="H54" s="2">
        <f t="shared" si="9"/>
        <v>-7972819</v>
      </c>
      <c r="J54" s="2">
        <v>-7972819</v>
      </c>
      <c r="K54" s="582">
        <f>SUMIFS(별도_AJE_25!G:G,별도_AJE_25!$D:$D,정산표!$B54)</f>
        <v>0</v>
      </c>
      <c r="L54" s="582">
        <f>SUMIFS(별도_AJE_25!H:H,별도_AJE_25!$D:$D,정산표!$B54)</f>
        <v>0</v>
      </c>
      <c r="M54" s="582">
        <f t="shared" si="10"/>
        <v>-7972819</v>
      </c>
    </row>
    <row r="55" spans="2:13">
      <c r="B55" s="660" t="s">
        <v>809</v>
      </c>
      <c r="D55" s="6" t="s">
        <v>68</v>
      </c>
      <c r="E55" s="2">
        <f>SUMIFS(제시BS!$H:$H,제시BS!$A:$A,정산표!$B55)</f>
        <v>131100000</v>
      </c>
      <c r="F55" s="2">
        <f>SUMIFS(별도_AJE_26.2Q!$G:$G,별도_AJE_26.2Q!$D:$D,정산표!$B55)</f>
        <v>0</v>
      </c>
      <c r="G55" s="2">
        <f>SUMIFS(별도_AJE_26.2Q!$H:$H,별도_AJE_26.2Q!$D:$D,정산표!$B55)</f>
        <v>0</v>
      </c>
      <c r="H55" s="2">
        <f t="shared" si="9"/>
        <v>131100000</v>
      </c>
      <c r="J55" s="2">
        <v>131100000</v>
      </c>
      <c r="K55" s="582">
        <f>SUMIFS(별도_AJE_25!G:G,별도_AJE_25!$D:$D,정산표!$B55)</f>
        <v>0</v>
      </c>
      <c r="L55" s="582">
        <f>SUMIFS(별도_AJE_25!H:H,별도_AJE_25!$D:$D,정산표!$B55)</f>
        <v>0</v>
      </c>
      <c r="M55" s="582">
        <f t="shared" si="10"/>
        <v>131100000</v>
      </c>
    </row>
    <row r="56" spans="2:13">
      <c r="B56" s="660" t="s">
        <v>810</v>
      </c>
      <c r="D56" s="6" t="s">
        <v>5</v>
      </c>
      <c r="E56" s="2">
        <f>SUMIFS(제시BS!$H:$H,제시BS!$A:$A,정산표!$B56)</f>
        <v>-67838194</v>
      </c>
      <c r="F56" s="2">
        <f>SUMIFS(별도_AJE_26.2Q!$G:$G,별도_AJE_26.2Q!$D:$D,정산표!$B56)</f>
        <v>0</v>
      </c>
      <c r="G56" s="2">
        <f>SUMIFS(별도_AJE_26.2Q!$H:$H,별도_AJE_26.2Q!$D:$D,정산표!$B56)</f>
        <v>0</v>
      </c>
      <c r="H56" s="2">
        <f t="shared" si="9"/>
        <v>-67838194</v>
      </c>
      <c r="J56" s="2">
        <v>-58155206</v>
      </c>
      <c r="K56" s="582">
        <f>SUMIFS(별도_AJE_25!G:G,별도_AJE_25!$D:$D,정산표!$B56)</f>
        <v>0</v>
      </c>
      <c r="L56" s="582">
        <f>SUMIFS(별도_AJE_25!H:H,별도_AJE_25!$D:$D,정산표!$B56)</f>
        <v>0</v>
      </c>
      <c r="M56" s="582">
        <f t="shared" si="10"/>
        <v>-58155206</v>
      </c>
    </row>
    <row r="57" spans="2:13">
      <c r="B57" s="660" t="s">
        <v>812</v>
      </c>
      <c r="D57" s="6" t="s">
        <v>69</v>
      </c>
      <c r="E57" s="2">
        <f>SUMIFS(제시BS!$H:$H,제시BS!$A:$A,정산표!$B57)</f>
        <v>368187065</v>
      </c>
      <c r="F57" s="2">
        <f>SUMIFS(별도_AJE_26.2Q!$G:$G,별도_AJE_26.2Q!$D:$D,정산표!$B57)</f>
        <v>0</v>
      </c>
      <c r="G57" s="2">
        <f>SUMIFS(별도_AJE_26.2Q!$H:$H,별도_AJE_26.2Q!$D:$D,정산표!$B57)</f>
        <v>0</v>
      </c>
      <c r="H57" s="2">
        <f t="shared" si="9"/>
        <v>368187065</v>
      </c>
      <c r="J57" s="2">
        <v>392461239</v>
      </c>
      <c r="K57" s="582">
        <f>SUMIFS(별도_AJE_25!G:G,별도_AJE_25!$D:$D,정산표!$B57)</f>
        <v>0</v>
      </c>
      <c r="L57" s="582">
        <f>SUMIFS(별도_AJE_25!H:H,별도_AJE_25!$D:$D,정산표!$B57)</f>
        <v>0</v>
      </c>
      <c r="M57" s="582">
        <f t="shared" si="10"/>
        <v>392461239</v>
      </c>
    </row>
    <row r="58" spans="2:13">
      <c r="B58" s="660" t="s">
        <v>813</v>
      </c>
      <c r="D58" s="6" t="s">
        <v>5</v>
      </c>
      <c r="E58" s="2">
        <f>SUMIFS(제시BS!$H:$H,제시BS!$A:$A,정산표!$B58)</f>
        <v>-189699106</v>
      </c>
      <c r="F58" s="2">
        <f>SUMIFS(별도_AJE_26.2Q!$G:$G,별도_AJE_26.2Q!$D:$D,정산표!$B58)</f>
        <v>0</v>
      </c>
      <c r="G58" s="2">
        <f>SUMIFS(별도_AJE_26.2Q!$H:$H,별도_AJE_26.2Q!$D:$D,정산표!$B58)</f>
        <v>0</v>
      </c>
      <c r="H58" s="2">
        <f t="shared" si="9"/>
        <v>-189699106</v>
      </c>
      <c r="J58" s="2">
        <v>-341221676</v>
      </c>
      <c r="K58" s="582">
        <f>SUMIFS(별도_AJE_25!G:G,별도_AJE_25!$D:$D,정산표!$B58)</f>
        <v>0</v>
      </c>
      <c r="L58" s="582">
        <f>SUMIFS(별도_AJE_25!H:H,별도_AJE_25!$D:$D,정산표!$B58)</f>
        <v>0</v>
      </c>
      <c r="M58" s="582">
        <f t="shared" ref="M58:M63" si="12">J58+K58-L58</f>
        <v>-341221676</v>
      </c>
    </row>
    <row r="59" spans="2:13">
      <c r="B59" s="659" t="s">
        <v>1308</v>
      </c>
      <c r="D59" s="6" t="s">
        <v>1154</v>
      </c>
      <c r="E59" s="2">
        <f>SUMIFS(제시BS!$H:$H,제시BS!$A:$A,정산표!$B59)</f>
        <v>1385305194</v>
      </c>
      <c r="F59" s="2">
        <f>SUMIFS(별도_AJE_26.2Q!$G:$G,별도_AJE_26.2Q!$D:$D,정산표!$B59)</f>
        <v>0</v>
      </c>
      <c r="G59" s="2">
        <f>SUMIFS(별도_AJE_26.2Q!$H:$H,별도_AJE_26.2Q!$D:$D,정산표!$B59)</f>
        <v>9092019</v>
      </c>
      <c r="H59" s="2">
        <f t="shared" ref="H59" si="13">E59+F59-G59</f>
        <v>1376213175</v>
      </c>
      <c r="J59" s="2">
        <v>4039985025</v>
      </c>
      <c r="K59" s="582">
        <f>SUMIFS(별도_AJE_25!G:G,별도_AJE_25!$D:$D,정산표!$B59)</f>
        <v>0</v>
      </c>
      <c r="L59" s="582">
        <f>SUMIFS(별도_AJE_25!H:H,별도_AJE_25!$D:$D,정산표!$B59)</f>
        <v>0</v>
      </c>
      <c r="M59" s="582">
        <f t="shared" si="12"/>
        <v>4039985025</v>
      </c>
    </row>
    <row r="60" spans="2:13">
      <c r="B60" s="660" t="s">
        <v>815</v>
      </c>
      <c r="D60" s="6" t="s">
        <v>193</v>
      </c>
      <c r="E60" s="2">
        <f>SUMIFS(제시BS!$H:$H,제시BS!$A:$A,정산표!$B60)</f>
        <v>131819200</v>
      </c>
      <c r="F60" s="2">
        <f>SUMIFS(별도_AJE_26.2Q!$G:$G,별도_AJE_26.2Q!$D:$D,정산표!$B60)</f>
        <v>0</v>
      </c>
      <c r="G60" s="2">
        <f>SUMIFS(별도_AJE_26.2Q!$H:$H,별도_AJE_26.2Q!$D:$D,정산표!$B60)</f>
        <v>0</v>
      </c>
      <c r="H60" s="2">
        <f t="shared" si="9"/>
        <v>131819200</v>
      </c>
      <c r="J60" s="2">
        <v>218118382</v>
      </c>
      <c r="K60" s="582">
        <f>SUMIFS(별도_AJE_25!G:G,별도_AJE_25!$D:$D,정산표!$B60)</f>
        <v>0</v>
      </c>
      <c r="L60" s="582">
        <f>SUMIFS(별도_AJE_25!H:H,별도_AJE_25!$D:$D,정산표!$B60)</f>
        <v>0</v>
      </c>
      <c r="M60" s="582">
        <f t="shared" si="12"/>
        <v>218118382</v>
      </c>
    </row>
    <row r="61" spans="2:13">
      <c r="B61" s="660" t="s">
        <v>816</v>
      </c>
      <c r="D61" s="6" t="s">
        <v>5</v>
      </c>
      <c r="E61" s="2">
        <f>SUMIFS(제시BS!$H:$H,제시BS!$A:$A,정산표!$B61)</f>
        <v>-131811200</v>
      </c>
      <c r="F61" s="2">
        <f>SUMIFS(별도_AJE_26.2Q!$G:$G,별도_AJE_26.2Q!$D:$D,정산표!$B61)</f>
        <v>0</v>
      </c>
      <c r="G61" s="2">
        <f>SUMIFS(별도_AJE_26.2Q!$H:$H,별도_AJE_26.2Q!$D:$D,정산표!$B61)</f>
        <v>0</v>
      </c>
      <c r="H61" s="2">
        <f t="shared" si="9"/>
        <v>-131811200</v>
      </c>
      <c r="J61" s="2">
        <v>-217473398</v>
      </c>
      <c r="K61" s="582">
        <f>SUMIFS(별도_AJE_25!G:G,별도_AJE_25!$D:$D,정산표!$B61)</f>
        <v>0</v>
      </c>
      <c r="L61" s="582">
        <f>SUMIFS(별도_AJE_25!H:H,별도_AJE_25!$D:$D,정산표!$B61)</f>
        <v>0</v>
      </c>
      <c r="M61" s="582">
        <f t="shared" si="12"/>
        <v>-217473398</v>
      </c>
    </row>
    <row r="62" spans="2:13">
      <c r="B62" s="659" t="s">
        <v>1310</v>
      </c>
      <c r="D62" s="6" t="s">
        <v>1155</v>
      </c>
      <c r="E62" s="2">
        <f>SUMIFS(제시BS!$H:$H,제시BS!$A:$A,정산표!$B62)</f>
        <v>972487904</v>
      </c>
      <c r="F62" s="2">
        <f>SUMIFS(별도_AJE_26.2Q!$G:$G,별도_AJE_26.2Q!$D:$D,정산표!$B62)</f>
        <v>0</v>
      </c>
      <c r="G62" s="2">
        <f>SUMIFS(별도_AJE_26.2Q!$H:$H,별도_AJE_26.2Q!$D:$D,정산표!$B62)</f>
        <v>0</v>
      </c>
      <c r="H62" s="2">
        <f t="shared" ref="H62:H63" si="14">E62+F62-G62</f>
        <v>972487904</v>
      </c>
      <c r="J62" s="2">
        <v>473450000</v>
      </c>
      <c r="K62" s="582">
        <f>SUMIFS(별도_AJE_25!G:G,별도_AJE_25!$D:$D,정산표!$B62)</f>
        <v>0</v>
      </c>
      <c r="L62" s="582">
        <f>SUMIFS(별도_AJE_25!H:H,별도_AJE_25!$D:$D,정산표!$B62)</f>
        <v>0</v>
      </c>
      <c r="M62" s="582">
        <f t="shared" si="12"/>
        <v>473450000</v>
      </c>
    </row>
    <row r="63" spans="2:13">
      <c r="B63" s="659" t="s">
        <v>1312</v>
      </c>
      <c r="D63" s="6" t="s">
        <v>1156</v>
      </c>
      <c r="E63" s="2">
        <f>SUMIFS(제시BS!$H:$H,제시BS!$A:$A,정산표!$B63)</f>
        <v>-169400862</v>
      </c>
      <c r="F63" s="2">
        <f>SUMIFS(별도_AJE_26.2Q!$G:$G,별도_AJE_26.2Q!$D:$D,정산표!$B63)</f>
        <v>0</v>
      </c>
      <c r="G63" s="2">
        <f>SUMIFS(별도_AJE_26.2Q!$H:$H,별도_AJE_26.2Q!$D:$D,정산표!$B63)</f>
        <v>0</v>
      </c>
      <c r="H63" s="2">
        <f t="shared" si="14"/>
        <v>-169400862</v>
      </c>
      <c r="J63" s="2">
        <v>-85582504</v>
      </c>
      <c r="K63" s="582">
        <f>SUMIFS(별도_AJE_25!G:G,별도_AJE_25!$D:$D,정산표!$B63)</f>
        <v>0</v>
      </c>
      <c r="L63" s="582">
        <f>SUMIFS(별도_AJE_25!H:H,별도_AJE_25!$D:$D,정산표!$B63)</f>
        <v>0</v>
      </c>
      <c r="M63" s="582">
        <f t="shared" si="12"/>
        <v>-85582504</v>
      </c>
    </row>
    <row r="64" spans="2:13">
      <c r="B64" s="660" t="s">
        <v>818</v>
      </c>
      <c r="D64" s="6" t="s">
        <v>360</v>
      </c>
      <c r="E64" s="2">
        <f>SUMIFS(제시BS!$H:$H,제시BS!$A:$A,정산표!$B64)</f>
        <v>1731999794</v>
      </c>
      <c r="F64" s="2">
        <f>SUMIFS(별도_AJE_26.2Q!$G:$G,별도_AJE_26.2Q!$D:$D,정산표!$B64)</f>
        <v>0</v>
      </c>
      <c r="G64" s="2">
        <f>SUMIFS(별도_AJE_26.2Q!$H:$H,별도_AJE_26.2Q!$D:$D,정산표!$B64)</f>
        <v>0</v>
      </c>
      <c r="H64" s="2">
        <f>E64+F64-G64</f>
        <v>1731999794</v>
      </c>
      <c r="J64" s="2">
        <v>1784674683</v>
      </c>
      <c r="K64" s="582">
        <f>SUMIFS(별도_AJE_25!G:G,별도_AJE_25!$D:$D,정산표!$B64)</f>
        <v>0</v>
      </c>
      <c r="L64" s="582">
        <f>SUMIFS(별도_AJE_25!H:H,별도_AJE_25!$D:$D,정산표!$B64)</f>
        <v>0</v>
      </c>
      <c r="M64" s="582">
        <f>J64+K64-L64</f>
        <v>1784674683</v>
      </c>
    </row>
    <row r="65" spans="2:18">
      <c r="B65" s="660" t="s">
        <v>819</v>
      </c>
      <c r="D65" s="6" t="s">
        <v>361</v>
      </c>
      <c r="E65" s="2">
        <f>SUMIFS(제시BS!$H:$H,제시BS!$A:$A,정산표!$B65)</f>
        <v>-370585998</v>
      </c>
      <c r="F65" s="2">
        <f>SUMIFS(별도_AJE_26.2Q!$G:$G,별도_AJE_26.2Q!$D:$D,정산표!$B65)</f>
        <v>0</v>
      </c>
      <c r="G65" s="2">
        <f>SUMIFS(별도_AJE_26.2Q!$H:$H,별도_AJE_26.2Q!$D:$D,정산표!$B65)</f>
        <v>0</v>
      </c>
      <c r="H65" s="2">
        <f>E65+F65-G65</f>
        <v>-370585998</v>
      </c>
      <c r="J65" s="2">
        <v>-145809800</v>
      </c>
      <c r="K65" s="582">
        <f>SUMIFS(별도_AJE_25!G:G,별도_AJE_25!$D:$D,정산표!$B65)</f>
        <v>0</v>
      </c>
      <c r="L65" s="582">
        <f>SUMIFS(별도_AJE_25!H:H,별도_AJE_25!$D:$D,정산표!$B65)</f>
        <v>0</v>
      </c>
      <c r="M65" s="582">
        <f>J65+K65-L65</f>
        <v>-145809800</v>
      </c>
    </row>
    <row r="66" spans="2:18">
      <c r="B66" s="840"/>
      <c r="D66" s="5" t="s">
        <v>78</v>
      </c>
      <c r="E66" s="39">
        <f>SUM(E67:E70)</f>
        <v>124722122</v>
      </c>
      <c r="H66" s="39">
        <f>SUM(H67:H70)</f>
        <v>124722122</v>
      </c>
      <c r="J66" s="583">
        <f>SUM(J67:J70)</f>
        <v>50368750</v>
      </c>
      <c r="K66" s="582"/>
      <c r="L66" s="582"/>
      <c r="M66" s="583">
        <f>SUM(M67:M70)</f>
        <v>50368750</v>
      </c>
    </row>
    <row r="67" spans="2:18">
      <c r="B67" s="840" t="s">
        <v>821</v>
      </c>
      <c r="D67" s="6" t="s">
        <v>194</v>
      </c>
      <c r="E67" s="2">
        <f>SUMIFS(제시BS!$H:$H,제시BS!$A:$A,정산표!$B67)</f>
        <v>49108768</v>
      </c>
      <c r="F67" s="2">
        <f>SUMIFS(별도_AJE_26.2Q!$G:$G,별도_AJE_26.2Q!$D:$D,정산표!$B67)</f>
        <v>0</v>
      </c>
      <c r="G67" s="2">
        <f>SUMIFS(별도_AJE_26.2Q!$H:$H,별도_AJE_26.2Q!$D:$D,정산표!$B67)</f>
        <v>0</v>
      </c>
      <c r="H67" s="2">
        <f>E67+F67-G67</f>
        <v>49108768</v>
      </c>
      <c r="J67" s="585">
        <v>18182933</v>
      </c>
      <c r="K67" s="582">
        <f>SUMIFS(별도_AJE_25!G:G,별도_AJE_25!$D:$D,정산표!$B67)</f>
        <v>0</v>
      </c>
      <c r="L67" s="582">
        <f>SUMIFS(별도_AJE_25!H:H,별도_AJE_25!$D:$D,정산표!$B67)</f>
        <v>0</v>
      </c>
      <c r="M67" s="582">
        <f>J67+K67-L67</f>
        <v>18182933</v>
      </c>
    </row>
    <row r="68" spans="2:18">
      <c r="B68" s="840" t="s">
        <v>822</v>
      </c>
      <c r="D68" s="6" t="s">
        <v>195</v>
      </c>
      <c r="E68" s="2">
        <f>SUMIFS(제시BS!$H:$H,제시BS!$A:$A,정산표!$B68)</f>
        <v>23719703</v>
      </c>
      <c r="F68" s="2">
        <f>SUMIFS(별도_AJE_26.2Q!$G:$G,별도_AJE_26.2Q!$D:$D,정산표!$B68)</f>
        <v>0</v>
      </c>
      <c r="G68" s="2">
        <f>SUMIFS(별도_AJE_26.2Q!$H:$H,별도_AJE_26.2Q!$D:$D,정산표!$B68)</f>
        <v>0</v>
      </c>
      <c r="H68" s="2">
        <f>E68+F68-G68</f>
        <v>23719703</v>
      </c>
      <c r="J68" s="585">
        <v>19838530</v>
      </c>
      <c r="K68" s="582">
        <f>SUMIFS(별도_AJE_25!G:G,별도_AJE_25!$D:$D,정산표!$B68)</f>
        <v>0</v>
      </c>
      <c r="L68" s="582">
        <f>SUMIFS(별도_AJE_25!H:H,별도_AJE_25!$D:$D,정산표!$B68)</f>
        <v>0</v>
      </c>
      <c r="M68" s="582">
        <f>J68+K68-L68</f>
        <v>19838530</v>
      </c>
    </row>
    <row r="69" spans="2:18">
      <c r="B69" s="840" t="s">
        <v>823</v>
      </c>
      <c r="D69" s="6" t="s">
        <v>196</v>
      </c>
      <c r="E69" s="2">
        <f>SUMIFS(제시BS!$H:$H,제시BS!$A:$A,정산표!$B69)</f>
        <v>0</v>
      </c>
      <c r="F69" s="2">
        <f>SUMIFS(별도_AJE_26.2Q!$G:$G,별도_AJE_26.2Q!$D:$D,정산표!$B69)</f>
        <v>0</v>
      </c>
      <c r="G69" s="2">
        <f>SUMIFS(별도_AJE_26.2Q!$H:$H,별도_AJE_26.2Q!$D:$D,정산표!$B69)</f>
        <v>0</v>
      </c>
      <c r="H69" s="2">
        <f>E69+F69-G69</f>
        <v>0</v>
      </c>
      <c r="J69" s="585">
        <v>0</v>
      </c>
      <c r="K69" s="582">
        <f>SUMIFS(별도_AJE_25!G:G,별도_AJE_25!$D:$D,정산표!$B69)</f>
        <v>0</v>
      </c>
      <c r="L69" s="582">
        <f>SUMIFS(별도_AJE_25!H:H,별도_AJE_25!$D:$D,정산표!$B69)</f>
        <v>0</v>
      </c>
      <c r="M69" s="582">
        <f>J69+K69-L69</f>
        <v>0</v>
      </c>
    </row>
    <row r="70" spans="2:18">
      <c r="B70" s="840" t="s">
        <v>826</v>
      </c>
      <c r="D70" s="6" t="s">
        <v>197</v>
      </c>
      <c r="E70" s="2">
        <f>SUMIFS(제시BS!$H:$H,제시BS!$A:$A,정산표!$B70)</f>
        <v>51893651</v>
      </c>
      <c r="F70" s="2">
        <f>SUMIFS(별도_AJE_26.2Q!$G:$G,별도_AJE_26.2Q!$D:$D,정산표!$B70)</f>
        <v>0</v>
      </c>
      <c r="G70" s="2">
        <f>SUMIFS(별도_AJE_26.2Q!$H:$H,별도_AJE_26.2Q!$D:$D,정산표!$B70)</f>
        <v>0</v>
      </c>
      <c r="H70" s="2">
        <f>E70+F70-G70</f>
        <v>51893651</v>
      </c>
      <c r="J70" s="585">
        <v>12347287</v>
      </c>
      <c r="K70" s="582">
        <f>SUMIFS(별도_AJE_25!G:G,별도_AJE_25!$D:$D,정산표!$B70)</f>
        <v>0</v>
      </c>
      <c r="L70" s="582">
        <f>SUMIFS(별도_AJE_25!H:H,별도_AJE_25!$D:$D,정산표!$B70)</f>
        <v>0</v>
      </c>
      <c r="M70" s="582">
        <f>J70+K70-L70</f>
        <v>12347287</v>
      </c>
    </row>
    <row r="71" spans="2:18" ht="15.45" thickBot="1">
      <c r="B71" s="51" t="s">
        <v>1716</v>
      </c>
      <c r="D71" s="37" t="s">
        <v>213</v>
      </c>
      <c r="E71" s="39">
        <f>SUMIFS(제시BS!$H:$H,제시BS!$A:$A,정산표!$B71)</f>
        <v>2555104971</v>
      </c>
      <c r="F71" s="39">
        <f>SUMIFS(별도_AJE_26.2Q!$G:$G,별도_AJE_26.2Q!$D:$D,정산표!$B71)</f>
        <v>0</v>
      </c>
      <c r="G71" s="39">
        <f>SUMIFS(별도_AJE_26.2Q!$H:$H,별도_AJE_26.2Q!$D:$D,정산표!$B71)</f>
        <v>0</v>
      </c>
      <c r="H71" s="39">
        <f>E71+F71-G71</f>
        <v>2555104971</v>
      </c>
      <c r="I71" s="39"/>
      <c r="J71" s="586">
        <v>2555104971</v>
      </c>
      <c r="K71" s="583">
        <f>SUMIFS(별도_AJE_25!G:G,별도_AJE_25!$D:$D,정산표!$B71)</f>
        <v>0</v>
      </c>
      <c r="L71" s="583">
        <f>SUMIFS(별도_AJE_25!H:H,별도_AJE_25!$D:$D,정산표!$B71)</f>
        <v>0</v>
      </c>
      <c r="M71" s="583">
        <f>J71+K71-L71</f>
        <v>2555104971</v>
      </c>
    </row>
    <row r="72" spans="2:18" s="3" customFormat="1" ht="15.45" thickBot="1">
      <c r="B72" s="840"/>
      <c r="D72" s="628" t="s">
        <v>54</v>
      </c>
      <c r="E72" s="625">
        <f>E37+E6</f>
        <v>54552137924</v>
      </c>
      <c r="F72" s="625"/>
      <c r="G72" s="625"/>
      <c r="H72" s="625">
        <f>H37+H6</f>
        <v>54543045905</v>
      </c>
      <c r="I72" s="630"/>
      <c r="J72" s="624">
        <f>J37+J6</f>
        <v>55193887404</v>
      </c>
      <c r="K72" s="624"/>
      <c r="L72" s="624"/>
      <c r="M72" s="624">
        <f>M37+M6</f>
        <v>55193887404</v>
      </c>
      <c r="N72" s="2"/>
      <c r="O72" s="2"/>
      <c r="P72" s="2"/>
      <c r="Q72" s="2"/>
      <c r="R72" s="2"/>
    </row>
    <row r="73" spans="2:18" s="3" customFormat="1" ht="15.45" thickBot="1">
      <c r="B73" s="840"/>
      <c r="D73" s="628" t="s">
        <v>33</v>
      </c>
      <c r="E73" s="625"/>
      <c r="F73" s="625"/>
      <c r="G73" s="625"/>
      <c r="H73" s="625"/>
      <c r="I73" s="630"/>
      <c r="J73" s="624"/>
      <c r="K73" s="624"/>
      <c r="L73" s="624"/>
      <c r="M73" s="624"/>
      <c r="N73" s="2"/>
      <c r="O73" s="2"/>
    </row>
    <row r="74" spans="2:18" s="3" customFormat="1">
      <c r="B74" s="840"/>
      <c r="D74" s="662" t="s">
        <v>48</v>
      </c>
      <c r="E74" s="663">
        <f>E75+E80+E83+E81+E82</f>
        <v>7026815912</v>
      </c>
      <c r="F74" s="663"/>
      <c r="G74" s="663"/>
      <c r="H74" s="663">
        <f>H75+H80+H83+H81+H82</f>
        <v>7026815912</v>
      </c>
      <c r="I74" s="664"/>
      <c r="J74" s="665">
        <f>J75+J80+J83+J81+J82</f>
        <v>5794685216</v>
      </c>
      <c r="K74" s="665"/>
      <c r="L74" s="665"/>
      <c r="M74" s="665">
        <f>M75+M80+M83+M81+M82</f>
        <v>5794685216</v>
      </c>
      <c r="N74" s="2"/>
      <c r="O74" s="2"/>
    </row>
    <row r="75" spans="2:18">
      <c r="B75" s="840"/>
      <c r="D75" s="5" t="s">
        <v>79</v>
      </c>
      <c r="E75" s="39">
        <f>SUM(E76:E79)</f>
        <v>3144825470</v>
      </c>
      <c r="F75" s="39"/>
      <c r="G75" s="39"/>
      <c r="H75" s="39">
        <f>SUM(H76:H79)</f>
        <v>3144825470</v>
      </c>
      <c r="J75" s="583">
        <f>SUM(J76:J79)</f>
        <v>1584755867</v>
      </c>
      <c r="K75" s="583">
        <f>SUM(K76:K79)</f>
        <v>0</v>
      </c>
      <c r="L75" s="583">
        <f>SUM(L76:L79)</f>
        <v>0</v>
      </c>
      <c r="M75" s="583">
        <f>SUM(M76:M79)</f>
        <v>1584755867</v>
      </c>
      <c r="O75" s="3"/>
      <c r="P75" s="3"/>
      <c r="Q75" s="3"/>
      <c r="R75" s="3"/>
    </row>
    <row r="76" spans="2:18">
      <c r="B76" s="840" t="s">
        <v>831</v>
      </c>
      <c r="D76" s="6" t="s">
        <v>96</v>
      </c>
      <c r="E76" s="2">
        <f>SUMIFS(제시BS!$H:$H,제시BS!$A:$A,정산표!$B76)</f>
        <v>299203820</v>
      </c>
      <c r="F76" s="2">
        <f>SUMIFS(별도_AJE_26.2Q!$G:$G,별도_AJE_26.2Q!$D:$D,정산표!$B76)</f>
        <v>0</v>
      </c>
      <c r="G76" s="2">
        <f>SUMIFS(별도_AJE_26.2Q!$H:$H,별도_AJE_26.2Q!$D:$D,정산표!$B76)</f>
        <v>0</v>
      </c>
      <c r="H76" s="2">
        <f t="shared" ref="H76:H82" si="15">E76-F76+G76</f>
        <v>299203820</v>
      </c>
      <c r="J76" s="585">
        <v>545684916</v>
      </c>
      <c r="K76" s="582">
        <f>SUMIFS(별도_AJE_25!G:G,별도_AJE_25!$D:$D,정산표!$B76)</f>
        <v>0</v>
      </c>
      <c r="L76" s="582">
        <f>SUMIFS(별도_AJE_25!H:H,별도_AJE_25!$D:$D,정산표!$B76)</f>
        <v>0</v>
      </c>
      <c r="M76" s="582">
        <f t="shared" ref="M76:M82" si="16">J76-K76+L76</f>
        <v>545684916</v>
      </c>
      <c r="O76" s="3"/>
    </row>
    <row r="77" spans="2:18">
      <c r="B77" s="840" t="s">
        <v>832</v>
      </c>
      <c r="D77" s="6" t="s">
        <v>6</v>
      </c>
      <c r="E77" s="2">
        <f>SUMIFS(제시BS!$H:$H,제시BS!$A:$A,정산표!$B77)</f>
        <v>207639910</v>
      </c>
      <c r="F77" s="2">
        <f>SUMIFS(별도_AJE_26.2Q!$G:$G,별도_AJE_26.2Q!$D:$D,정산표!$B77)</f>
        <v>0</v>
      </c>
      <c r="G77" s="2">
        <f>SUMIFS(별도_AJE_26.2Q!$H:$H,별도_AJE_26.2Q!$D:$D,정산표!$B77)</f>
        <v>0</v>
      </c>
      <c r="H77" s="2">
        <f t="shared" si="15"/>
        <v>207639910</v>
      </c>
      <c r="J77" s="585">
        <v>293009113</v>
      </c>
      <c r="K77" s="582">
        <f>SUMIFS(별도_AJE_25!G:G,별도_AJE_25!$D:$D,정산표!$B77)</f>
        <v>0</v>
      </c>
      <c r="L77" s="582">
        <f>SUMIFS(별도_AJE_25!H:H,별도_AJE_25!$D:$D,정산표!$B77)</f>
        <v>0</v>
      </c>
      <c r="M77" s="582">
        <f t="shared" si="16"/>
        <v>293009113</v>
      </c>
      <c r="O77" s="3"/>
    </row>
    <row r="78" spans="2:18">
      <c r="B78" s="840" t="s">
        <v>833</v>
      </c>
      <c r="D78" s="6" t="s">
        <v>435</v>
      </c>
      <c r="E78" s="2">
        <f>SUMIFS(제시BS!$H:$H,제시BS!$A:$A,정산표!$B78)</f>
        <v>85200680</v>
      </c>
      <c r="F78" s="2">
        <f>SUMIFS(별도_AJE_26.2Q!$G:$G,별도_AJE_26.2Q!$D:$D,정산표!$B78)</f>
        <v>0</v>
      </c>
      <c r="G78" s="2">
        <f>SUMIFS(별도_AJE_26.2Q!$H:$H,별도_AJE_26.2Q!$D:$D,정산표!$B78)</f>
        <v>0</v>
      </c>
      <c r="H78" s="2">
        <f>E78-F78+G78</f>
        <v>85200680</v>
      </c>
      <c r="J78" s="585">
        <v>0</v>
      </c>
      <c r="K78" s="582">
        <f>SUMIFS(별도_AJE_25!G:G,별도_AJE_25!$D:$D,정산표!$B78)</f>
        <v>0</v>
      </c>
      <c r="L78" s="582">
        <f>SUMIFS(별도_AJE_25!H:H,별도_AJE_25!$D:$D,정산표!$B78)</f>
        <v>0</v>
      </c>
      <c r="M78" s="582">
        <f>J78-K78+L78</f>
        <v>0</v>
      </c>
    </row>
    <row r="79" spans="2:18">
      <c r="B79" s="840" t="s">
        <v>837</v>
      </c>
      <c r="D79" s="6" t="s">
        <v>97</v>
      </c>
      <c r="E79" s="2">
        <f>SUMIFS(제시BS!$H:$H,제시BS!$A:$A,정산표!$B79)</f>
        <v>2552781060</v>
      </c>
      <c r="F79" s="2">
        <f>SUMIFS(별도_AJE_26.2Q!$G:$G,별도_AJE_26.2Q!$D:$D,정산표!$B79)</f>
        <v>0</v>
      </c>
      <c r="G79" s="2">
        <f>SUMIFS(별도_AJE_26.2Q!$H:$H,별도_AJE_26.2Q!$D:$D,정산표!$B79)</f>
        <v>0</v>
      </c>
      <c r="H79" s="2">
        <f t="shared" si="15"/>
        <v>2552781060</v>
      </c>
      <c r="J79" s="585">
        <v>746061838</v>
      </c>
      <c r="K79" s="582">
        <f>SUMIFS(별도_AJE_25!G:G,별도_AJE_25!$D:$D,정산표!$B79)</f>
        <v>0</v>
      </c>
      <c r="L79" s="582">
        <f>SUMIFS(별도_AJE_25!H:H,별도_AJE_25!$D:$D,정산표!$B79)</f>
        <v>0</v>
      </c>
      <c r="M79" s="582">
        <f t="shared" si="16"/>
        <v>746061838</v>
      </c>
    </row>
    <row r="80" spans="2:18">
      <c r="B80" s="840" t="s">
        <v>836</v>
      </c>
      <c r="D80" s="5" t="s">
        <v>80</v>
      </c>
      <c r="E80" s="39">
        <f>SUMIFS(제시BS!$H:$H,제시BS!$A:$A,정산표!$B80)</f>
        <v>1120000000</v>
      </c>
      <c r="F80" s="39">
        <f>SUMIFS(별도_AJE_26.2Q!$G:$G,별도_AJE_26.2Q!$D:$D,정산표!$B80)</f>
        <v>0</v>
      </c>
      <c r="G80" s="39">
        <f>SUMIFS(별도_AJE_26.2Q!$H:$H,별도_AJE_26.2Q!$D:$D,정산표!$B80)</f>
        <v>0</v>
      </c>
      <c r="H80" s="39">
        <f t="shared" si="15"/>
        <v>1120000000</v>
      </c>
      <c r="J80" s="586">
        <v>1120000000</v>
      </c>
      <c r="K80" s="582">
        <f>SUMIFS(별도_AJE_25!G:G,별도_AJE_25!$D:$D,정산표!$B80)</f>
        <v>0</v>
      </c>
      <c r="L80" s="582">
        <f>SUMIFS(별도_AJE_25!H:H,별도_AJE_25!$D:$D,정산표!$B80)</f>
        <v>0</v>
      </c>
      <c r="M80" s="583">
        <f t="shared" si="16"/>
        <v>1120000000</v>
      </c>
      <c r="N80" s="3"/>
    </row>
    <row r="81" spans="2:18">
      <c r="B81" s="840" t="s">
        <v>840</v>
      </c>
      <c r="D81" s="5" t="s">
        <v>416</v>
      </c>
      <c r="E81" s="39">
        <f>SUMIFS(제시BS!$H:$H,제시BS!$A:$A,정산표!$B81)</f>
        <v>0</v>
      </c>
      <c r="F81" s="39">
        <f>SUMIFS(별도_AJE_26.2Q!$G:$G,별도_AJE_26.2Q!$D:$D,정산표!$B81)</f>
        <v>0</v>
      </c>
      <c r="G81" s="39">
        <f>SUMIFS(별도_AJE_26.2Q!$H:$H,별도_AJE_26.2Q!$D:$D,정산표!$B81)</f>
        <v>0</v>
      </c>
      <c r="H81" s="39">
        <f t="shared" si="15"/>
        <v>0</v>
      </c>
      <c r="J81" s="586">
        <v>83300000</v>
      </c>
      <c r="K81" s="582">
        <f>SUMIFS(별도_AJE_25!G:G,별도_AJE_25!$D:$D,정산표!$B81)</f>
        <v>0</v>
      </c>
      <c r="L81" s="582">
        <f>SUMIFS(별도_AJE_25!H:H,별도_AJE_25!$D:$D,정산표!$B81)</f>
        <v>0</v>
      </c>
      <c r="M81" s="583">
        <f t="shared" si="16"/>
        <v>83300000</v>
      </c>
      <c r="N81" s="3"/>
    </row>
    <row r="82" spans="2:18">
      <c r="B82" s="840" t="s">
        <v>841</v>
      </c>
      <c r="D82" s="5" t="s">
        <v>363</v>
      </c>
      <c r="E82" s="39">
        <f>SUMIFS(제시BS!$H:$H,제시BS!$A:$A,정산표!$B82)</f>
        <v>537067117</v>
      </c>
      <c r="F82" s="39">
        <f>SUMIFS(별도_AJE_26.2Q!$G:$G,별도_AJE_26.2Q!$D:$D,정산표!$B82)</f>
        <v>0</v>
      </c>
      <c r="G82" s="39">
        <f>SUMIFS(별도_AJE_26.2Q!$H:$H,별도_AJE_26.2Q!$D:$D,정산표!$B82)</f>
        <v>0</v>
      </c>
      <c r="H82" s="39">
        <f t="shared" si="15"/>
        <v>537067117</v>
      </c>
      <c r="J82" s="586">
        <v>545986082</v>
      </c>
      <c r="K82" s="582">
        <f>SUMIFS(별도_AJE_25!G:G,별도_AJE_25!$D:$D,정산표!$B82)</f>
        <v>0</v>
      </c>
      <c r="L82" s="582">
        <f>SUMIFS(별도_AJE_25!H:H,별도_AJE_25!$D:$D,정산표!$B82)</f>
        <v>0</v>
      </c>
      <c r="M82" s="583">
        <f t="shared" si="16"/>
        <v>545986082</v>
      </c>
      <c r="N82" s="3"/>
    </row>
    <row r="83" spans="2:18">
      <c r="B83" s="840"/>
      <c r="D83" s="5" t="s">
        <v>86</v>
      </c>
      <c r="E83" s="39">
        <f>SUM(E84:E85)</f>
        <v>2224923325</v>
      </c>
      <c r="H83" s="39">
        <f>SUM(H84:H85)</f>
        <v>2224923325</v>
      </c>
      <c r="J83" s="586">
        <f>SUM(J84:J85)</f>
        <v>2460643267</v>
      </c>
      <c r="K83" s="582">
        <f>SUM(K84:K85)</f>
        <v>0</v>
      </c>
      <c r="L83" s="582">
        <f>SUM(L84:L85)</f>
        <v>0</v>
      </c>
      <c r="M83" s="583">
        <f>SUM(M84:M85)</f>
        <v>2460643267</v>
      </c>
    </row>
    <row r="84" spans="2:18">
      <c r="B84" s="840" t="s">
        <v>835</v>
      </c>
      <c r="D84" s="6" t="s">
        <v>7</v>
      </c>
      <c r="E84" s="2">
        <f>SUMIFS(제시BS!$H:$H,제시BS!$A:$A,정산표!$B84)</f>
        <v>2215528322</v>
      </c>
      <c r="F84" s="2">
        <f>SUMIFS(별도_AJE_26.2Q!$G:$G,별도_AJE_26.2Q!$D:$D,정산표!$B84)</f>
        <v>0</v>
      </c>
      <c r="G84" s="2">
        <f>SUMIFS(별도_AJE_26.2Q!$H:$H,별도_AJE_26.2Q!$D:$D,정산표!$B84)</f>
        <v>0</v>
      </c>
      <c r="H84" s="2">
        <f>E84-F84+G84</f>
        <v>2215528322</v>
      </c>
      <c r="J84" s="585">
        <v>2443300145</v>
      </c>
      <c r="K84" s="582">
        <f>SUMIFS(별도_AJE_25!G:G,별도_AJE_25!$D:$D,정산표!$B84)</f>
        <v>0</v>
      </c>
      <c r="L84" s="582">
        <f>SUMIFS(별도_AJE_25!H:H,별도_AJE_25!$D:$D,정산표!$B84)</f>
        <v>0</v>
      </c>
      <c r="M84" s="582">
        <f>J84-K84+L84</f>
        <v>2443300145</v>
      </c>
    </row>
    <row r="85" spans="2:18">
      <c r="B85" s="661" t="s">
        <v>971</v>
      </c>
      <c r="D85" s="6" t="s">
        <v>269</v>
      </c>
      <c r="E85" s="2">
        <f>SUMIFS(제시BS!$H:$H,제시BS!$A:$A,정산표!$B85)</f>
        <v>9395003</v>
      </c>
      <c r="F85" s="2">
        <f>SUMIFS(별도_AJE_26.2Q!$G:$G,별도_AJE_26.2Q!$D:$D,정산표!$B85)</f>
        <v>0</v>
      </c>
      <c r="G85" s="2">
        <f>SUMIFS(별도_AJE_26.2Q!$H:$H,별도_AJE_26.2Q!$D:$D,정산표!$B85)</f>
        <v>0</v>
      </c>
      <c r="H85" s="2">
        <f>E85-F85+G85</f>
        <v>9395003</v>
      </c>
      <c r="J85" s="585">
        <v>17343122</v>
      </c>
      <c r="K85" s="582">
        <f>SUMIFS(별도_AJE_25!G:G,별도_AJE_25!$D:$D,정산표!$B85)</f>
        <v>0</v>
      </c>
      <c r="L85" s="582">
        <f>SUMIFS(별도_AJE_25!H:H,별도_AJE_25!$D:$D,정산표!$B85)</f>
        <v>0</v>
      </c>
      <c r="M85" s="582">
        <f>J85-K85+L85</f>
        <v>17343122</v>
      </c>
    </row>
    <row r="86" spans="2:18">
      <c r="B86" s="840"/>
      <c r="D86" s="666" t="s">
        <v>49</v>
      </c>
      <c r="E86" s="667">
        <f>E87+E89+E91+E94+E90</f>
        <v>5815444698</v>
      </c>
      <c r="F86" s="668"/>
      <c r="G86" s="668"/>
      <c r="H86" s="667">
        <f>H87+H89+H91+H94+H90</f>
        <v>5815444698</v>
      </c>
      <c r="I86" s="668"/>
      <c r="J86" s="669">
        <f>J87+J89+J91+J94+J90</f>
        <v>6909567083</v>
      </c>
      <c r="K86" s="670"/>
      <c r="L86" s="670"/>
      <c r="M86" s="669">
        <f>M87+M89+M91+M94+M90</f>
        <v>6909567083</v>
      </c>
    </row>
    <row r="87" spans="2:18">
      <c r="B87" s="840"/>
      <c r="D87" s="5" t="s">
        <v>1296</v>
      </c>
      <c r="E87" s="39">
        <f>SUM(E88:E88)</f>
        <v>205709924</v>
      </c>
      <c r="H87" s="39">
        <f>SUM(H88:H88)</f>
        <v>205709924</v>
      </c>
      <c r="J87" s="583">
        <f>SUM(J88:J88)</f>
        <v>173088026</v>
      </c>
      <c r="K87" s="582"/>
      <c r="L87" s="582"/>
      <c r="M87" s="583">
        <f>SUM(M88:M88)</f>
        <v>173088026</v>
      </c>
    </row>
    <row r="88" spans="2:18">
      <c r="B88" s="661" t="s">
        <v>1314</v>
      </c>
      <c r="D88" s="6" t="s">
        <v>1297</v>
      </c>
      <c r="E88" s="2">
        <f>SUMIFS(제시BS!$H:$H,제시BS!$A:$A,정산표!$B88)</f>
        <v>205709924</v>
      </c>
      <c r="F88" s="2">
        <f>SUMIFS(별도_AJE_26.2Q!$G:$G,별도_AJE_26.2Q!$D:$D,정산표!$B88)</f>
        <v>0</v>
      </c>
      <c r="G88" s="2">
        <f>SUMIFS(별도_AJE_26.2Q!$H:$H,별도_AJE_26.2Q!$D:$D,정산표!$B88)</f>
        <v>0</v>
      </c>
      <c r="H88" s="2">
        <f>E88-F88+G88</f>
        <v>205709924</v>
      </c>
      <c r="J88" s="585">
        <v>173088026</v>
      </c>
      <c r="K88" s="582">
        <f>SUMIFS(별도_AJE_25!G:G,별도_AJE_25!$D:$D,정산표!$B88)</f>
        <v>0</v>
      </c>
      <c r="L88" s="582">
        <f>SUMIFS(별도_AJE_25!H:H,별도_AJE_25!$D:$D,정산표!$B88)</f>
        <v>0</v>
      </c>
      <c r="M88" s="582">
        <f>J88-K88+L88</f>
        <v>173088026</v>
      </c>
    </row>
    <row r="89" spans="2:18">
      <c r="B89" s="840" t="s">
        <v>843</v>
      </c>
      <c r="D89" s="5" t="s">
        <v>198</v>
      </c>
      <c r="E89" s="39">
        <f>SUMIFS(제시BS!$H:$H,제시BS!$A:$A,정산표!$B89)</f>
        <v>4100000000</v>
      </c>
      <c r="F89" s="39">
        <f>SUMIFS(별도_AJE_26.2Q!$G:$G,별도_AJE_26.2Q!$D:$D,정산표!$B89)</f>
        <v>0</v>
      </c>
      <c r="G89" s="39">
        <f>SUMIFS(별도_AJE_26.2Q!$H:$H,별도_AJE_26.2Q!$D:$D,정산표!$B89)</f>
        <v>0</v>
      </c>
      <c r="H89" s="39">
        <f>E89-F89+G89</f>
        <v>4100000000</v>
      </c>
      <c r="J89" s="586">
        <v>4100000000</v>
      </c>
      <c r="K89" s="582">
        <f>SUMIFS(별도_AJE_25!G:G,별도_AJE_25!$D:$D,정산표!$B89)</f>
        <v>0</v>
      </c>
      <c r="L89" s="582">
        <f>SUMIFS(별도_AJE_25!H:H,별도_AJE_25!$D:$D,정산표!$B89)</f>
        <v>0</v>
      </c>
      <c r="M89" s="583">
        <f>J89-K89+L89</f>
        <v>4100000000</v>
      </c>
    </row>
    <row r="90" spans="2:18">
      <c r="B90" s="840" t="s">
        <v>851</v>
      </c>
      <c r="D90" s="5" t="s">
        <v>362</v>
      </c>
      <c r="E90" s="39">
        <f>SUMIFS(제시BS!$H:$H,제시BS!$A:$A,정산표!$B90)</f>
        <v>799358124</v>
      </c>
      <c r="F90" s="39">
        <f>SUMIFS(별도_AJE_26.2Q!$G:$G,별도_AJE_26.2Q!$D:$D,정산표!$B90)</f>
        <v>0</v>
      </c>
      <c r="G90" s="39">
        <f>SUMIFS(별도_AJE_26.2Q!$H:$H,별도_AJE_26.2Q!$D:$D,정산표!$B90)</f>
        <v>0</v>
      </c>
      <c r="H90" s="39">
        <f>E90-F90+G90</f>
        <v>799358124</v>
      </c>
      <c r="J90" s="586">
        <v>1049272823</v>
      </c>
      <c r="K90" s="582">
        <f>SUMIFS(별도_AJE_25!G:G,별도_AJE_25!$D:$D,정산표!$B90)</f>
        <v>0</v>
      </c>
      <c r="L90" s="582">
        <f>SUMIFS(별도_AJE_25!H:H,별도_AJE_25!$D:$D,정산표!$B90)</f>
        <v>0</v>
      </c>
      <c r="M90" s="583">
        <f>J90-K90+L90</f>
        <v>1049272823</v>
      </c>
    </row>
    <row r="91" spans="2:18">
      <c r="B91" s="840"/>
      <c r="D91" s="5" t="s">
        <v>185</v>
      </c>
      <c r="E91" s="39">
        <f>SUM(E92:E93)</f>
        <v>710376650</v>
      </c>
      <c r="H91" s="39">
        <f>SUM(H92:H93)</f>
        <v>710376650</v>
      </c>
      <c r="J91" s="586">
        <f>SUM(J92:J93)</f>
        <v>1587206234</v>
      </c>
      <c r="K91" s="582"/>
      <c r="L91" s="582"/>
      <c r="M91" s="583">
        <f>SUM(M92:M93)</f>
        <v>1587206234</v>
      </c>
    </row>
    <row r="92" spans="2:18">
      <c r="B92" s="840" t="s">
        <v>844</v>
      </c>
      <c r="D92" s="6" t="s">
        <v>8</v>
      </c>
      <c r="E92" s="2">
        <f>SUMIFS(제시BS!$H:$H,제시BS!$A:$A,정산표!$B92)</f>
        <v>710376650</v>
      </c>
      <c r="F92" s="2">
        <f>SUMIFS(별도_AJE_26.2Q!$G:$G,별도_AJE_26.2Q!$D:$D,정산표!$B92)</f>
        <v>0</v>
      </c>
      <c r="G92" s="2">
        <f>SUMIFS(별도_AJE_26.2Q!$H:$H,별도_AJE_26.2Q!$D:$D,정산표!$B92)</f>
        <v>0</v>
      </c>
      <c r="H92" s="2">
        <f>E92-F92+G92</f>
        <v>710376650</v>
      </c>
      <c r="J92" s="585">
        <v>1587206234</v>
      </c>
      <c r="K92" s="582">
        <f>SUMIFS(별도_AJE_25!G:G,별도_AJE_25!$D:$D,정산표!$B92)</f>
        <v>0</v>
      </c>
      <c r="L92" s="582">
        <f>SUMIFS(별도_AJE_25!H:H,별도_AJE_25!$D:$D,정산표!$B92)</f>
        <v>0</v>
      </c>
      <c r="M92" s="582">
        <f>J92-K92+L92</f>
        <v>1587206234</v>
      </c>
    </row>
    <row r="93" spans="2:18">
      <c r="B93" s="661" t="s">
        <v>1316</v>
      </c>
      <c r="D93" s="6" t="s">
        <v>81</v>
      </c>
      <c r="E93" s="2">
        <f>SUMIFS(제시BS!$H:$H,제시BS!$A:$A,정산표!$B93)</f>
        <v>0</v>
      </c>
      <c r="F93" s="2">
        <f>SUMIFS(별도_AJE_26.2Q!$G:$G,별도_AJE_26.2Q!$D:$D,정산표!$B93)</f>
        <v>0</v>
      </c>
      <c r="G93" s="2">
        <f>SUMIFS(별도_AJE_26.2Q!$H:$H,별도_AJE_26.2Q!$D:$D,정산표!$B93)</f>
        <v>0</v>
      </c>
      <c r="H93" s="2">
        <f>E93-F93+G93</f>
        <v>0</v>
      </c>
      <c r="J93" s="585">
        <v>0</v>
      </c>
      <c r="K93" s="582">
        <f>SUMIFS(별도_AJE_25!G:G,별도_AJE_25!$D:$D,정산표!$B93)</f>
        <v>0</v>
      </c>
      <c r="L93" s="582">
        <f>SUMIFS(별도_AJE_25!H:H,별도_AJE_25!$D:$D,정산표!$B93)</f>
        <v>0</v>
      </c>
      <c r="M93" s="582">
        <f>J93-K93+L93</f>
        <v>0</v>
      </c>
    </row>
    <row r="94" spans="2:18" ht="15.45" thickBot="1">
      <c r="B94" s="840"/>
      <c r="D94" s="5" t="s">
        <v>57</v>
      </c>
      <c r="E94" s="2">
        <f>SUMIFS(제시BS!$H:$H,제시BS!$A:$A,정산표!$B94)</f>
        <v>0</v>
      </c>
      <c r="F94" s="39">
        <f>SUMIFS(별도_AJE_26.2Q!$G:$G,별도_AJE_26.2Q!$D:$D,정산표!$B94)</f>
        <v>0</v>
      </c>
      <c r="G94" s="39">
        <f>SUMIFS(별도_AJE_26.2Q!$H:$H,별도_AJE_26.2Q!$D:$D,정산표!$B94)</f>
        <v>0</v>
      </c>
      <c r="H94" s="2">
        <f>E94-F94+G94</f>
        <v>0</v>
      </c>
      <c r="J94" s="586">
        <v>0</v>
      </c>
      <c r="K94" s="582">
        <f>SUMIFS(별도_AJE_25!G:G,별도_AJE_25!$D:$D,정산표!$B94)</f>
        <v>0</v>
      </c>
      <c r="L94" s="582">
        <f>SUMIFS(별도_AJE_25!H:H,별도_AJE_25!$D:$D,정산표!$B94)</f>
        <v>0</v>
      </c>
      <c r="M94" s="582">
        <f>J94-K94+L94</f>
        <v>0</v>
      </c>
    </row>
    <row r="95" spans="2:18" s="3" customFormat="1" ht="15.45" thickBot="1">
      <c r="B95" s="840"/>
      <c r="D95" s="628" t="s">
        <v>51</v>
      </c>
      <c r="E95" s="625">
        <f>E74+E86</f>
        <v>12842260610</v>
      </c>
      <c r="F95" s="625"/>
      <c r="G95" s="625"/>
      <c r="H95" s="625">
        <f>H74+H86</f>
        <v>12842260610</v>
      </c>
      <c r="I95" s="630"/>
      <c r="J95" s="632">
        <f>J74+J86</f>
        <v>12704252299</v>
      </c>
      <c r="K95" s="624"/>
      <c r="L95" s="624"/>
      <c r="M95" s="624">
        <f>M74+M86</f>
        <v>12704252299</v>
      </c>
      <c r="N95" s="2"/>
      <c r="O95" s="2"/>
      <c r="P95" s="2"/>
      <c r="Q95" s="2"/>
      <c r="R95" s="2"/>
    </row>
    <row r="96" spans="2:18">
      <c r="B96" s="840"/>
      <c r="D96" s="9" t="s">
        <v>50</v>
      </c>
      <c r="J96" s="585"/>
      <c r="K96" s="582"/>
      <c r="L96" s="582"/>
      <c r="M96" s="582"/>
      <c r="P96" s="3"/>
      <c r="Q96" s="3"/>
      <c r="R96" s="3"/>
    </row>
    <row r="97" spans="2:18" s="3" customFormat="1">
      <c r="B97" s="840"/>
      <c r="D97" s="5" t="s">
        <v>83</v>
      </c>
      <c r="E97" s="39">
        <f>E98</f>
        <v>5691191500</v>
      </c>
      <c r="F97" s="39"/>
      <c r="G97" s="2"/>
      <c r="H97" s="39">
        <f>H98</f>
        <v>5691191500</v>
      </c>
      <c r="J97" s="586">
        <f>J98</f>
        <v>5691191500</v>
      </c>
      <c r="K97" s="583"/>
      <c r="L97" s="582"/>
      <c r="M97" s="583">
        <f>M98</f>
        <v>5691191500</v>
      </c>
      <c r="N97" s="2"/>
      <c r="O97" s="2"/>
      <c r="P97" s="2"/>
      <c r="Q97" s="2"/>
      <c r="R97" s="2"/>
    </row>
    <row r="98" spans="2:18">
      <c r="B98" s="840" t="s">
        <v>853</v>
      </c>
      <c r="D98" s="6" t="s">
        <v>85</v>
      </c>
      <c r="E98" s="2">
        <f>SUMIFS(제시BS!$H:$H,제시BS!$A:$A,정산표!$B98)</f>
        <v>5691191500</v>
      </c>
      <c r="F98" s="2">
        <f>SUMIFS(별도_AJE_26.2Q!$G:$G,별도_AJE_26.2Q!$D:$D,정산표!$B98)</f>
        <v>0</v>
      </c>
      <c r="G98" s="2">
        <f>SUMIFS(별도_AJE_26.2Q!$H:$H,별도_AJE_26.2Q!$D:$D,정산표!$B98)</f>
        <v>0</v>
      </c>
      <c r="H98" s="2">
        <f>E98-F98+G98</f>
        <v>5691191500</v>
      </c>
      <c r="J98" s="585">
        <v>5691191500</v>
      </c>
      <c r="K98" s="582">
        <f>SUMIFS(별도_AJE_25!G:G,별도_AJE_25!$D:$D,정산표!$B98)</f>
        <v>0</v>
      </c>
      <c r="L98" s="582">
        <f>SUMIFS(별도_AJE_25!H:H,별도_AJE_25!$D:$D,정산표!$B98)</f>
        <v>0</v>
      </c>
      <c r="M98" s="582">
        <f>J98-K98+L98</f>
        <v>5691191500</v>
      </c>
      <c r="O98" s="3"/>
      <c r="P98" s="3"/>
      <c r="Q98" s="3"/>
      <c r="R98" s="3"/>
    </row>
    <row r="99" spans="2:18" s="3" customFormat="1">
      <c r="B99" s="840"/>
      <c r="D99" s="5" t="s">
        <v>98</v>
      </c>
      <c r="E99" s="39">
        <f>SUM(E100:E100)</f>
        <v>45157382298</v>
      </c>
      <c r="F99" s="2"/>
      <c r="G99" s="2"/>
      <c r="H99" s="39">
        <f>SUM(H100:H100)</f>
        <v>45157382298</v>
      </c>
      <c r="J99" s="586">
        <f>SUM(J100:J100)</f>
        <v>45157382298</v>
      </c>
      <c r="K99" s="582"/>
      <c r="L99" s="582"/>
      <c r="M99" s="583">
        <f>SUM(M100:M100)</f>
        <v>45157382298</v>
      </c>
      <c r="N99" s="2"/>
      <c r="O99" s="2"/>
      <c r="P99" s="2"/>
      <c r="Q99" s="2"/>
      <c r="R99" s="2"/>
    </row>
    <row r="100" spans="2:18">
      <c r="B100" s="840" t="s">
        <v>855</v>
      </c>
      <c r="D100" s="6" t="s">
        <v>56</v>
      </c>
      <c r="E100" s="2">
        <f>SUMIFS(제시BS!$H:$H,제시BS!$A:$A,정산표!$B100)</f>
        <v>45157382298</v>
      </c>
      <c r="F100" s="2">
        <f>SUMIFS(별도_AJE_26.2Q!$G:$G,별도_AJE_26.2Q!$D:$D,정산표!$B100)</f>
        <v>0</v>
      </c>
      <c r="G100" s="2">
        <f>SUMIFS(별도_AJE_26.2Q!$H:$H,별도_AJE_26.2Q!$D:$D,정산표!$B100)</f>
        <v>0</v>
      </c>
      <c r="H100" s="2">
        <f>E100-F100+G100</f>
        <v>45157382298</v>
      </c>
      <c r="J100" s="585">
        <v>45157382298</v>
      </c>
      <c r="K100" s="582">
        <f>SUMIFS(별도_AJE_25!G:G,별도_AJE_25!$D:$D,정산표!$B100)</f>
        <v>0</v>
      </c>
      <c r="L100" s="582">
        <f>SUMIFS(별도_AJE_25!H:H,별도_AJE_25!$D:$D,정산표!$B100)</f>
        <v>0</v>
      </c>
      <c r="M100" s="582">
        <f>J100-K100+L100</f>
        <v>45157382298</v>
      </c>
      <c r="O100" s="3"/>
      <c r="P100" s="3"/>
      <c r="Q100" s="3"/>
      <c r="R100" s="3"/>
    </row>
    <row r="101" spans="2:18" s="3" customFormat="1">
      <c r="B101" s="840"/>
      <c r="D101" s="5" t="s">
        <v>99</v>
      </c>
      <c r="E101" s="39">
        <f>SUM(E102:E102)</f>
        <v>424627793</v>
      </c>
      <c r="F101" s="2"/>
      <c r="G101" s="2"/>
      <c r="H101" s="39">
        <f>SUM(H102:H102)</f>
        <v>424627793</v>
      </c>
      <c r="J101" s="586">
        <f>SUM(J102:J102)</f>
        <v>424627793</v>
      </c>
      <c r="K101" s="582"/>
      <c r="L101" s="582"/>
      <c r="M101" s="583">
        <f>SUM(M102:M102)</f>
        <v>424627793</v>
      </c>
      <c r="N101" s="2"/>
      <c r="O101" s="2"/>
      <c r="P101" s="2"/>
      <c r="Q101" s="2"/>
      <c r="R101" s="2"/>
    </row>
    <row r="102" spans="2:18">
      <c r="B102" s="840" t="s">
        <v>857</v>
      </c>
      <c r="D102" s="6" t="s">
        <v>100</v>
      </c>
      <c r="E102" s="2">
        <f>SUMIFS(제시BS!$H:$H,제시BS!$A:$A,정산표!$B102)</f>
        <v>424627793</v>
      </c>
      <c r="F102" s="2">
        <f>SUMIFS(별도_AJE_26.2Q!$G:$G,별도_AJE_26.2Q!$D:$D,정산표!$B102)</f>
        <v>0</v>
      </c>
      <c r="G102" s="2">
        <f>SUMIFS(별도_AJE_26.2Q!$H:$H,별도_AJE_26.2Q!$D:$D,정산표!$B102)</f>
        <v>0</v>
      </c>
      <c r="H102" s="2">
        <f>E102-F102+G102</f>
        <v>424627793</v>
      </c>
      <c r="J102" s="585">
        <v>424627793</v>
      </c>
      <c r="K102" s="582">
        <f>SUMIFS(별도_AJE_25!G:G,별도_AJE_25!$D:$D,정산표!$B102)</f>
        <v>0</v>
      </c>
      <c r="L102" s="582">
        <f>SUMIFS(별도_AJE_25!H:H,별도_AJE_25!$D:$D,정산표!$B102)</f>
        <v>0</v>
      </c>
      <c r="M102" s="582">
        <f>J102-K102+L102</f>
        <v>424627793</v>
      </c>
      <c r="O102" s="3">
        <v>377682665.749506</v>
      </c>
      <c r="P102" s="3">
        <f>O102-H102</f>
        <v>-46945127.250494003</v>
      </c>
      <c r="Q102" s="3"/>
      <c r="R102" s="3"/>
    </row>
    <row r="103" spans="2:18" s="3" customFormat="1">
      <c r="B103" s="840"/>
      <c r="D103" s="5" t="s">
        <v>37</v>
      </c>
      <c r="E103" s="39">
        <f>SUM(E104:E104)</f>
        <v>-9563324277</v>
      </c>
      <c r="F103" s="2"/>
      <c r="G103" s="2"/>
      <c r="H103" s="39">
        <f>H104</f>
        <v>-9572416296</v>
      </c>
      <c r="J103" s="586">
        <f>SUM(J104:J104)</f>
        <v>-8783566486</v>
      </c>
      <c r="K103" s="582"/>
      <c r="L103" s="582"/>
      <c r="M103" s="583">
        <f>M104</f>
        <v>-8783566486</v>
      </c>
      <c r="O103" s="2"/>
      <c r="P103" s="2"/>
      <c r="Q103" s="2"/>
      <c r="R103" s="2"/>
    </row>
    <row r="104" spans="2:18" ht="15.45" thickBot="1">
      <c r="B104" s="840" t="s">
        <v>864</v>
      </c>
      <c r="D104" s="6" t="s">
        <v>70</v>
      </c>
      <c r="E104" s="2">
        <f>SUMIFS(제시BS!$H:$H,제시BS!$A:$A,정산표!$B104)</f>
        <v>-9563324277</v>
      </c>
      <c r="F104" s="2">
        <f>SUMIFS(별도_AJE_26.2Q!$G:$G,별도_AJE_26.2Q!$D:$D,정산표!$B104)</f>
        <v>0</v>
      </c>
      <c r="G104" s="2">
        <f>SUMIFS(별도_AJE_26.2Q!$H:$H,별도_AJE_26.2Q!$D:$D,정산표!$B104)+별도_AJE_26.2Q!K157</f>
        <v>-9092019</v>
      </c>
      <c r="H104" s="2">
        <f>E104-F104+G104</f>
        <v>-9572416296</v>
      </c>
      <c r="J104" s="585">
        <v>-8783566486</v>
      </c>
      <c r="K104" s="582">
        <f>SUMIFS(별도_AJE_25!G:G,별도_AJE_25!$D:$D,정산표!$B104)</f>
        <v>0</v>
      </c>
      <c r="L104" s="582">
        <f>SUMIFS(별도_AJE_25!H:H,별도_AJE_25!$D:$D,정산표!$B104)+별도_AJE_25!K102</f>
        <v>0</v>
      </c>
      <c r="M104" s="582">
        <f>J104-K104+L104</f>
        <v>-8783566486</v>
      </c>
      <c r="O104" s="3"/>
      <c r="P104" s="3"/>
      <c r="Q104" s="3"/>
      <c r="R104" s="3"/>
    </row>
    <row r="105" spans="2:18" s="3" customFormat="1" ht="15.45" thickBot="1">
      <c r="B105" s="840"/>
      <c r="D105" s="628" t="s">
        <v>53</v>
      </c>
      <c r="E105" s="625">
        <f>E97+E99+E101+E103</f>
        <v>41709877314</v>
      </c>
      <c r="F105" s="625"/>
      <c r="G105" s="625"/>
      <c r="H105" s="625">
        <f>H97+H99+H101+H103</f>
        <v>41700785295</v>
      </c>
      <c r="I105" s="630"/>
      <c r="J105" s="632">
        <f>J97+J99+J101+J103</f>
        <v>42489635105</v>
      </c>
      <c r="K105" s="624"/>
      <c r="L105" s="624"/>
      <c r="M105" s="624">
        <f>M97+M99+M101+M103</f>
        <v>42489635105</v>
      </c>
      <c r="O105" s="2"/>
      <c r="P105" s="2"/>
      <c r="Q105" s="2"/>
      <c r="R105" s="2"/>
    </row>
    <row r="106" spans="2:18" ht="15.45" thickBot="1">
      <c r="B106" s="840"/>
      <c r="D106" s="628" t="s">
        <v>52</v>
      </c>
      <c r="E106" s="625">
        <f>E105+E95</f>
        <v>54552137924</v>
      </c>
      <c r="F106" s="625"/>
      <c r="G106" s="625"/>
      <c r="H106" s="625">
        <f>H105+H95</f>
        <v>54543045905</v>
      </c>
      <c r="I106" s="629"/>
      <c r="J106" s="632">
        <f>J105+J95</f>
        <v>55193887404</v>
      </c>
      <c r="K106" s="624"/>
      <c r="L106" s="624"/>
      <c r="M106" s="624">
        <f>M105+M95</f>
        <v>55193887404</v>
      </c>
      <c r="O106" s="3"/>
      <c r="P106" s="3"/>
      <c r="Q106" s="3"/>
      <c r="R106" s="3"/>
    </row>
    <row r="107" spans="2:18">
      <c r="B107" s="841"/>
      <c r="E107" s="39" t="b">
        <f>E106=E72</f>
        <v>1</v>
      </c>
      <c r="H107" s="39" t="b">
        <f>H106=H72</f>
        <v>1</v>
      </c>
      <c r="J107" s="39" t="b">
        <f>J106=J72</f>
        <v>1</v>
      </c>
      <c r="K107" s="39"/>
      <c r="L107" s="39"/>
      <c r="M107" s="39" t="b">
        <f>M106=M72</f>
        <v>1</v>
      </c>
    </row>
    <row r="108" spans="2:18">
      <c r="B108" s="841"/>
      <c r="E108" s="650" t="b">
        <f>E106=제시BS!D97</f>
        <v>1</v>
      </c>
      <c r="H108" s="2">
        <f>H106-H72</f>
        <v>0</v>
      </c>
      <c r="J108" s="650"/>
      <c r="K108" s="583"/>
      <c r="L108" s="583"/>
      <c r="M108" s="650" t="b">
        <f>M106=제시BS!F97</f>
        <v>1</v>
      </c>
      <c r="O108" s="3"/>
    </row>
    <row r="109" spans="2:18">
      <c r="B109" s="841"/>
      <c r="E109" s="8"/>
      <c r="J109" s="650"/>
      <c r="K109" s="583"/>
      <c r="L109" s="583"/>
      <c r="M109" s="650"/>
      <c r="O109" s="3"/>
    </row>
    <row r="110" spans="2:18">
      <c r="B110" s="841"/>
      <c r="E110" s="8"/>
      <c r="J110" s="650"/>
      <c r="K110" s="583"/>
      <c r="L110" s="583"/>
      <c r="M110" s="650"/>
      <c r="O110" s="3"/>
    </row>
    <row r="111" spans="2:18" ht="15.45" thickBot="1">
      <c r="B111" s="841"/>
      <c r="E111" s="617">
        <f>E3</f>
        <v>46203</v>
      </c>
      <c r="F111" s="618"/>
      <c r="G111" s="618"/>
      <c r="H111" s="618"/>
      <c r="J111" s="617">
        <f>E111-365</f>
        <v>45838</v>
      </c>
      <c r="K111" s="618"/>
      <c r="L111" s="618"/>
      <c r="M111" s="618"/>
    </row>
    <row r="112" spans="2:18" ht="15.45" thickBot="1">
      <c r="B112" s="841"/>
      <c r="D112" s="626" t="s">
        <v>0</v>
      </c>
      <c r="E112" s="627" t="s">
        <v>1264</v>
      </c>
      <c r="F112" s="626" t="s">
        <v>1</v>
      </c>
      <c r="G112" s="626" t="s">
        <v>2</v>
      </c>
      <c r="H112" s="627" t="s">
        <v>1265</v>
      </c>
      <c r="J112" s="623" t="s">
        <v>1269</v>
      </c>
      <c r="K112" s="623" t="s">
        <v>1</v>
      </c>
      <c r="L112" s="623" t="s">
        <v>2</v>
      </c>
      <c r="M112" s="623" t="s">
        <v>1270</v>
      </c>
    </row>
    <row r="113" spans="2:20" ht="15.45" thickBot="1">
      <c r="B113" s="840"/>
      <c r="D113" s="628" t="s">
        <v>87</v>
      </c>
      <c r="E113" s="631">
        <f>SUM(E114:E116)</f>
        <v>8288170687</v>
      </c>
      <c r="F113" s="625"/>
      <c r="G113" s="625"/>
      <c r="H113" s="625">
        <f>SUM(H114:H116)</f>
        <v>8288170687</v>
      </c>
      <c r="I113" s="629"/>
      <c r="J113" s="625">
        <f>SUM(J114:J116)</f>
        <v>8817426997</v>
      </c>
      <c r="K113" s="625">
        <f>SUM(K114:K116)</f>
        <v>0</v>
      </c>
      <c r="L113" s="625">
        <f>SUM(L114:L116)</f>
        <v>0</v>
      </c>
      <c r="M113" s="625">
        <f>SUM(M114:M116)</f>
        <v>8817426997</v>
      </c>
      <c r="N113" s="3"/>
    </row>
    <row r="114" spans="2:20">
      <c r="B114" s="840" t="s">
        <v>866</v>
      </c>
      <c r="D114" s="16" t="s">
        <v>200</v>
      </c>
      <c r="E114" s="8">
        <f>SUMIFS(제시PL!$C:$C,제시PL!$A:$A,정산표!$B114)</f>
        <v>278070981</v>
      </c>
      <c r="F114" s="2">
        <f>SUMIFS(별도_AJE_26.2Q!$G:$G,별도_AJE_26.2Q!$D:$D,정산표!$B114)</f>
        <v>0</v>
      </c>
      <c r="G114" s="2">
        <f>SUMIFS(별도_AJE_26.2Q!$H:$H,별도_AJE_26.2Q!$D:$D,정산표!$B114)</f>
        <v>0</v>
      </c>
      <c r="H114" s="2">
        <f>E114-F114+G114</f>
        <v>278070981</v>
      </c>
      <c r="J114" s="585">
        <v>72357415</v>
      </c>
      <c r="K114" s="582">
        <f>SUMIFS(별도_AJE_25!G:G,별도_AJE_25!$D:$D,정산표!$B114)</f>
        <v>0</v>
      </c>
      <c r="L114" s="582">
        <f>SUMIFS(별도_AJE_25!H:H,별도_AJE_25!$D:$D,정산표!$B114)</f>
        <v>0</v>
      </c>
      <c r="M114" s="582">
        <f>J114-K114+L114</f>
        <v>72357415</v>
      </c>
    </row>
    <row r="115" spans="2:20">
      <c r="B115" s="840" t="s">
        <v>867</v>
      </c>
      <c r="D115" s="16" t="s">
        <v>182</v>
      </c>
      <c r="E115" s="8">
        <f>SUMIFS(제시PL!$C:$C,제시PL!$A:$A,정산표!$B115)</f>
        <v>7974892686</v>
      </c>
      <c r="F115" s="2">
        <f>SUMIFS(별도_AJE_26.2Q!$G:$G,별도_AJE_26.2Q!$D:$D,정산표!$B115)</f>
        <v>0</v>
      </c>
      <c r="G115" s="2">
        <f>SUMIFS(별도_AJE_26.2Q!$H:$H,별도_AJE_26.2Q!$D:$D,정산표!$B115)</f>
        <v>0</v>
      </c>
      <c r="H115" s="2">
        <f>E115-F115+G115</f>
        <v>7974892686</v>
      </c>
      <c r="J115" s="585">
        <v>8701040737</v>
      </c>
      <c r="K115" s="582">
        <f>SUMIFS(별도_AJE_25!G:G,별도_AJE_25!$D:$D,정산표!$B115)</f>
        <v>0</v>
      </c>
      <c r="L115" s="582">
        <f>SUMIFS(별도_AJE_25!H:H,별도_AJE_25!$D:$D,정산표!$B115)</f>
        <v>0</v>
      </c>
      <c r="M115" s="582">
        <f>J115-K115+L115</f>
        <v>8701040737</v>
      </c>
      <c r="N115" s="3"/>
    </row>
    <row r="116" spans="2:20" ht="15.45" thickBot="1">
      <c r="B116" s="659" t="s">
        <v>1339</v>
      </c>
      <c r="D116" s="16" t="s">
        <v>1157</v>
      </c>
      <c r="E116" s="8">
        <f>SUMIFS(제시PL!$C:$C,제시PL!$A:$A,정산표!$B116)</f>
        <v>35207020</v>
      </c>
      <c r="F116" s="2">
        <f>SUMIFS(별도_AJE_26.2Q!$G:$G,별도_AJE_26.2Q!$D:$D,정산표!$B116)</f>
        <v>0</v>
      </c>
      <c r="G116" s="2">
        <f>SUMIFS(별도_AJE_26.2Q!$H:$H,별도_AJE_26.2Q!$D:$D,정산표!$B116)</f>
        <v>0</v>
      </c>
      <c r="H116" s="2">
        <f>E116-F116+G116</f>
        <v>35207020</v>
      </c>
      <c r="J116" s="585">
        <v>44028845</v>
      </c>
      <c r="K116" s="582">
        <f>SUMIFS(별도_AJE_25!G:G,별도_AJE_25!$D:$D,정산표!$B116)</f>
        <v>0</v>
      </c>
      <c r="L116" s="582">
        <f>SUMIFS(별도_AJE_25!H:H,별도_AJE_25!$D:$D,정산표!$B116)</f>
        <v>0</v>
      </c>
      <c r="M116" s="582">
        <f>J116-K116+L116</f>
        <v>44028845</v>
      </c>
    </row>
    <row r="117" spans="2:20" ht="15.45" thickBot="1">
      <c r="B117" s="840"/>
      <c r="D117" s="628" t="s">
        <v>88</v>
      </c>
      <c r="E117" s="631">
        <f>E118+E125+E132</f>
        <v>3596633522</v>
      </c>
      <c r="F117" s="625"/>
      <c r="G117" s="625"/>
      <c r="H117" s="625">
        <f>H118+H125+H132</f>
        <v>3596633522</v>
      </c>
      <c r="I117" s="629"/>
      <c r="J117" s="632">
        <f>J118+J125+J132</f>
        <v>3527195264</v>
      </c>
      <c r="K117" s="624"/>
      <c r="L117" s="624"/>
      <c r="M117" s="624">
        <f>M118+M125+M132</f>
        <v>3527195264</v>
      </c>
      <c r="N117" s="3"/>
    </row>
    <row r="118" spans="2:20" s="3" customFormat="1">
      <c r="B118" s="840" t="s">
        <v>868</v>
      </c>
      <c r="D118" s="638" t="s">
        <v>93</v>
      </c>
      <c r="E118" s="639">
        <f>E121+E122+E123-E124</f>
        <v>3389356072</v>
      </c>
      <c r="F118" s="640"/>
      <c r="G118" s="640"/>
      <c r="H118" s="639">
        <f>H121+H122+H123-H124</f>
        <v>3389356072</v>
      </c>
      <c r="I118" s="630"/>
      <c r="J118" s="639">
        <f>J121+J122+J123-J124</f>
        <v>3467738461</v>
      </c>
      <c r="K118" s="640">
        <f>K121+K124</f>
        <v>0</v>
      </c>
      <c r="L118" s="640">
        <f>L121+L124</f>
        <v>0</v>
      </c>
      <c r="M118" s="639">
        <f>M121+M122+M123-M124</f>
        <v>3467738461</v>
      </c>
      <c r="N118" s="2"/>
      <c r="O118" s="2"/>
      <c r="P118" s="2"/>
      <c r="Q118" s="2"/>
      <c r="R118" s="2"/>
    </row>
    <row r="119" spans="2:20">
      <c r="B119" s="840" t="s">
        <v>1319</v>
      </c>
      <c r="D119" s="6" t="s">
        <v>102</v>
      </c>
      <c r="E119" s="52">
        <f>제시PL!C18</f>
        <v>2349819825</v>
      </c>
      <c r="F119" s="2">
        <f>SUMIFS(별도_AJE_26.2Q!$G:$G,별도_AJE_26.2Q!$D:$D,정산표!$B119)</f>
        <v>0</v>
      </c>
      <c r="G119" s="2">
        <f>SUMIFS(별도_AJE_26.2Q!$H:$H,별도_AJE_26.2Q!$D:$D,정산표!$B119)</f>
        <v>0</v>
      </c>
      <c r="H119" s="2">
        <f>E119+F119-G119</f>
        <v>2349819825</v>
      </c>
      <c r="J119" s="585">
        <v>2459042471</v>
      </c>
      <c r="K119" s="582">
        <f>SUMIFS(별도_AJE_25!G:G,별도_AJE_25!$D:$D,정산표!$B119)</f>
        <v>0</v>
      </c>
      <c r="L119" s="582">
        <f>SUMIFS(별도_AJE_25!H:H,별도_AJE_25!$D:$D,정산표!$B119)</f>
        <v>0</v>
      </c>
      <c r="M119" s="582">
        <f>J119+K119-L119</f>
        <v>2459042471</v>
      </c>
      <c r="N119" s="3"/>
      <c r="P119" s="3"/>
      <c r="Q119" s="3"/>
      <c r="R119" s="3"/>
    </row>
    <row r="120" spans="2:20">
      <c r="B120" s="840" t="s">
        <v>1322</v>
      </c>
      <c r="D120" s="684" t="s">
        <v>103</v>
      </c>
      <c r="E120" s="685">
        <f>제시PL!C19</f>
        <v>3476800819</v>
      </c>
      <c r="F120" s="656">
        <f>F256</f>
        <v>0</v>
      </c>
      <c r="G120" s="656">
        <f>G256</f>
        <v>0</v>
      </c>
      <c r="H120" s="656">
        <f>E120+F120-G120</f>
        <v>3476800819</v>
      </c>
      <c r="I120" s="656"/>
      <c r="J120" s="686">
        <v>3344382182</v>
      </c>
      <c r="K120" s="687">
        <f>SUMIFS(별도_AJE_25!G:G,별도_AJE_25!$D:$D,정산표!$B120)+K256</f>
        <v>0</v>
      </c>
      <c r="L120" s="687">
        <f>SUMIFS(별도_AJE_25!H:H,별도_AJE_25!$D:$D,정산표!$B120)+L256</f>
        <v>0</v>
      </c>
      <c r="M120" s="687">
        <f>J120+K120-L120</f>
        <v>3344382182</v>
      </c>
    </row>
    <row r="121" spans="2:20">
      <c r="B121" s="840"/>
      <c r="D121" s="6" t="s">
        <v>94</v>
      </c>
      <c r="E121" s="52">
        <f>SUM(E119:E120)</f>
        <v>5826620644</v>
      </c>
      <c r="F121" s="52">
        <f>SUM(F119:F120)</f>
        <v>0</v>
      </c>
      <c r="G121" s="52">
        <f>SUM(G119:G120)</f>
        <v>0</v>
      </c>
      <c r="H121" s="2">
        <f>SUM(H119:H120)</f>
        <v>5826620644</v>
      </c>
      <c r="J121" s="52">
        <f>SUM(J119:J120)</f>
        <v>5803424653</v>
      </c>
      <c r="K121" s="52">
        <f>SUM(K119:K120)</f>
        <v>0</v>
      </c>
      <c r="L121" s="52">
        <f>SUM(L119:L120)</f>
        <v>0</v>
      </c>
      <c r="M121" s="582">
        <f>SUM(M119:M120)</f>
        <v>5803424653</v>
      </c>
    </row>
    <row r="122" spans="2:20">
      <c r="B122" s="840" t="s">
        <v>1324</v>
      </c>
      <c r="D122" s="6" t="s">
        <v>104</v>
      </c>
      <c r="E122" s="52">
        <f>-제시PL!C21+제시PL!C20</f>
        <v>-5296679</v>
      </c>
      <c r="F122" s="2">
        <f>SUMIFS(별도_AJE_26.2Q!$G:$G,별도_AJE_26.2Q!$D:$D,정산표!$B122)</f>
        <v>0</v>
      </c>
      <c r="G122" s="2">
        <f>SUMIFS(별도_AJE_26.2Q!$H:$H,별도_AJE_26.2Q!$D:$D,정산표!$B122)</f>
        <v>0</v>
      </c>
      <c r="H122" s="2">
        <f>E122+F122-G122</f>
        <v>-5296679</v>
      </c>
      <c r="J122" s="585">
        <v>-6471662</v>
      </c>
      <c r="K122" s="582">
        <f>SUMIFS(별도_AJE_25!G:G,별도_AJE_25!$D:$D,정산표!$B122)</f>
        <v>0</v>
      </c>
      <c r="L122" s="582">
        <f>SUMIFS(별도_AJE_25!H:H,별도_AJE_25!$D:$D,정산표!$B122)</f>
        <v>0</v>
      </c>
      <c r="M122" s="582">
        <f>J122+K122-L122</f>
        <v>-6471662</v>
      </c>
    </row>
    <row r="123" spans="2:20">
      <c r="B123" s="840" t="s">
        <v>1326</v>
      </c>
      <c r="D123" s="6" t="s">
        <v>1159</v>
      </c>
      <c r="E123" s="52">
        <f>제시PL!C22-제시PL!C23</f>
        <v>102749779</v>
      </c>
      <c r="F123" s="2">
        <f>SUMIFS(별도_AJE_26.2Q!$G:$G,별도_AJE_26.2Q!$D:$D,정산표!$B123)</f>
        <v>0</v>
      </c>
      <c r="G123" s="2">
        <f>SUMIFS(별도_AJE_26.2Q!$H:$H,별도_AJE_26.2Q!$D:$D,정산표!$B123)</f>
        <v>0</v>
      </c>
      <c r="H123" s="2">
        <f>E123+F123-G123</f>
        <v>102749779</v>
      </c>
      <c r="J123" s="585">
        <v>8624839</v>
      </c>
      <c r="K123" s="582">
        <f>SUMIFS(별도_AJE_25!G:G,별도_AJE_25!$D:$D,정산표!$B123)</f>
        <v>0</v>
      </c>
      <c r="L123" s="582">
        <f>SUMIFS(별도_AJE_25!H:H,별도_AJE_25!$D:$D,정산표!$B123)</f>
        <v>0</v>
      </c>
      <c r="M123" s="582">
        <f>J123+K123-L123</f>
        <v>8624839</v>
      </c>
    </row>
    <row r="124" spans="2:20">
      <c r="B124" s="840" t="s">
        <v>1341</v>
      </c>
      <c r="D124" s="684" t="s">
        <v>105</v>
      </c>
      <c r="E124" s="685">
        <f>제시PL!C24</f>
        <v>2534717672</v>
      </c>
      <c r="F124" s="656">
        <f>SUMIFS(별도_AJE_26.2Q!$G:$G,별도_AJE_26.2Q!$D:$D,정산표!$B124)</f>
        <v>0</v>
      </c>
      <c r="G124" s="656">
        <f>SUMIFS(별도_AJE_26.2Q!$H:$H,별도_AJE_26.2Q!$D:$D,정산표!$B124)</f>
        <v>0</v>
      </c>
      <c r="H124" s="687">
        <f>E124+G124-F124</f>
        <v>2534717672</v>
      </c>
      <c r="I124" s="656"/>
      <c r="J124" s="686">
        <v>2337839369</v>
      </c>
      <c r="K124" s="687">
        <f>SUMIFS(별도_AJE_25!G:G,별도_AJE_25!$D:$D,정산표!$B124)</f>
        <v>0</v>
      </c>
      <c r="L124" s="687">
        <f>SUMIFS(별도_AJE_25!H:H,별도_AJE_25!$D:$D,정산표!$B124)</f>
        <v>0</v>
      </c>
      <c r="M124" s="687">
        <f>J124+L124-K124</f>
        <v>2337839369</v>
      </c>
    </row>
    <row r="125" spans="2:20" s="3" customFormat="1" ht="13.75" customHeight="1">
      <c r="B125" s="840" t="s">
        <v>869</v>
      </c>
      <c r="D125" s="638" t="s">
        <v>106</v>
      </c>
      <c r="E125" s="641">
        <f>E128+E129+E130-E131</f>
        <v>197040606</v>
      </c>
      <c r="F125" s="642"/>
      <c r="G125" s="642"/>
      <c r="H125" s="641">
        <f>H128+H129+H130-H131</f>
        <v>197040606</v>
      </c>
      <c r="I125" s="630"/>
      <c r="J125" s="641">
        <f>J128+J129+J130-J131</f>
        <v>45654258</v>
      </c>
      <c r="K125" s="643"/>
      <c r="L125" s="643"/>
      <c r="M125" s="641">
        <f>M128+M129+M130-M131</f>
        <v>45654258</v>
      </c>
      <c r="N125" s="2"/>
      <c r="O125" s="2"/>
      <c r="P125" s="2"/>
      <c r="Q125" s="2"/>
      <c r="R125" s="2"/>
      <c r="S125" s="2"/>
      <c r="T125" s="2"/>
    </row>
    <row r="126" spans="2:20">
      <c r="B126" s="840" t="s">
        <v>1320</v>
      </c>
      <c r="D126" s="6" t="s">
        <v>72</v>
      </c>
      <c r="E126" s="52">
        <f>제시PL!C11</f>
        <v>42227029</v>
      </c>
      <c r="F126" s="2">
        <f>SUMIFS(별도_AJE_26.2Q!$G:$G,별도_AJE_26.2Q!$D:$D,정산표!$B126)</f>
        <v>0</v>
      </c>
      <c r="G126" s="2">
        <f>SUMIFS(별도_AJE_26.2Q!$H:$H,별도_AJE_26.2Q!$D:$D,정산표!$B126)</f>
        <v>0</v>
      </c>
      <c r="H126" s="2">
        <f>E126+F126-G126</f>
        <v>42227029</v>
      </c>
      <c r="J126" s="585">
        <v>32112993</v>
      </c>
      <c r="K126" s="582">
        <f>SUMIFS(별도_AJE_25!G:G,별도_AJE_25!$D:$D,정산표!$B126)</f>
        <v>0</v>
      </c>
      <c r="L126" s="582">
        <f>SUMIFS(별도_AJE_25!H:H,별도_AJE_25!$D:$D,정산표!$B126)</f>
        <v>0</v>
      </c>
      <c r="M126" s="582">
        <f>J126+K126-L126</f>
        <v>32112993</v>
      </c>
      <c r="S126" s="3"/>
      <c r="T126" s="3"/>
    </row>
    <row r="127" spans="2:20">
      <c r="B127" s="840" t="s">
        <v>1328</v>
      </c>
      <c r="D127" s="6" t="s">
        <v>201</v>
      </c>
      <c r="E127" s="52">
        <f>제시PL!C12</f>
        <v>202680409</v>
      </c>
      <c r="F127" s="2">
        <f>SUMIFS(별도_AJE_26.2Q!$G:$G,별도_AJE_26.2Q!$D:$D,정산표!$B127)</f>
        <v>0</v>
      </c>
      <c r="G127" s="2">
        <f>SUMIFS(별도_AJE_26.2Q!$H:$H,별도_AJE_26.2Q!$D:$D,정산표!$B127)</f>
        <v>0</v>
      </c>
      <c r="H127" s="2">
        <f>E127+F127-G127</f>
        <v>202680409</v>
      </c>
      <c r="J127" s="585">
        <v>87517683</v>
      </c>
      <c r="K127" s="582">
        <f>SUMIFS(별도_AJE_25!G:G,별도_AJE_25!$D:$D,정산표!$B127)</f>
        <v>0</v>
      </c>
      <c r="L127" s="582">
        <f>SUMIFS(별도_AJE_25!H:H,별도_AJE_25!$D:$D,정산표!$B127)</f>
        <v>0</v>
      </c>
      <c r="M127" s="582">
        <f>J127+K127-L127</f>
        <v>87517683</v>
      </c>
      <c r="P127" s="3"/>
      <c r="Q127" s="3"/>
      <c r="R127" s="3"/>
    </row>
    <row r="128" spans="2:20">
      <c r="B128" s="840"/>
      <c r="D128" s="6" t="s">
        <v>95</v>
      </c>
      <c r="E128" s="52">
        <f>SUM(E126:E127)</f>
        <v>244907438</v>
      </c>
      <c r="H128" s="2">
        <f>SUM(H126:H127)</f>
        <v>244907438</v>
      </c>
      <c r="J128" s="2">
        <v>119630676</v>
      </c>
      <c r="K128" s="582"/>
      <c r="L128" s="582"/>
      <c r="M128" s="582">
        <f>SUM(M126:M127)</f>
        <v>119630676</v>
      </c>
    </row>
    <row r="129" spans="2:14">
      <c r="B129" s="840" t="s">
        <v>1329</v>
      </c>
      <c r="D129" s="6" t="s">
        <v>215</v>
      </c>
      <c r="E129" s="52">
        <f>제시PL!C13</f>
        <v>0</v>
      </c>
      <c r="F129" s="2">
        <f>SUMIFS(별도_AJE_26.2Q!$G:$G,별도_AJE_26.2Q!$D:$D,정산표!$B129)</f>
        <v>0</v>
      </c>
      <c r="G129" s="2">
        <f>SUMIFS(별도_AJE_26.2Q!$H:$H,별도_AJE_26.2Q!$D:$D,정산표!$B129)</f>
        <v>0</v>
      </c>
      <c r="H129" s="2">
        <f>E129+F129-G129</f>
        <v>0</v>
      </c>
      <c r="J129" s="585">
        <v>0</v>
      </c>
      <c r="K129" s="582">
        <f>SUMIFS(별도_AJE_25!G:G,별도_AJE_25!$D:$D,정산표!$B129)</f>
        <v>0</v>
      </c>
      <c r="L129" s="582">
        <f>SUMIFS(별도_AJE_25!H:H,별도_AJE_25!$D:$D,정산표!$B129)</f>
        <v>0</v>
      </c>
      <c r="M129" s="582">
        <f>J129+K129-L129</f>
        <v>0</v>
      </c>
    </row>
    <row r="130" spans="2:14">
      <c r="B130" s="840" t="s">
        <v>1330</v>
      </c>
      <c r="D130" s="6" t="s">
        <v>1159</v>
      </c>
      <c r="E130" s="52">
        <f>+제시PL!C14-제시PL!C15</f>
        <v>-14089</v>
      </c>
      <c r="F130" s="2">
        <f>SUMIFS(별도_AJE_26.2Q!$G:$G,별도_AJE_26.2Q!$D:$D,정산표!$B130)</f>
        <v>0</v>
      </c>
      <c r="G130" s="2">
        <f>SUMIFS(별도_AJE_26.2Q!$H:$H,별도_AJE_26.2Q!$D:$D,정산표!$B130)</f>
        <v>0</v>
      </c>
      <c r="H130" s="2">
        <f>E130+F130-G130</f>
        <v>-14089</v>
      </c>
      <c r="J130" s="585">
        <v>0</v>
      </c>
      <c r="K130" s="582">
        <f>SUMIFS(별도_AJE_25!G:G,별도_AJE_25!$D:$D,정산표!$B130)</f>
        <v>0</v>
      </c>
      <c r="L130" s="582">
        <f>SUMIFS(별도_AJE_25!H:H,별도_AJE_25!$D:$D,정산표!$B130)</f>
        <v>0</v>
      </c>
      <c r="M130" s="582">
        <f>J130+K130-L130</f>
        <v>0</v>
      </c>
    </row>
    <row r="131" spans="2:14">
      <c r="B131" s="840" t="s">
        <v>1343</v>
      </c>
      <c r="D131" s="6" t="s">
        <v>73</v>
      </c>
      <c r="E131" s="52">
        <f>제시PL!C16</f>
        <v>47852743</v>
      </c>
      <c r="F131" s="2">
        <f>SUMIFS(별도_AJE_26.2Q!$G:$G,별도_AJE_26.2Q!$D:$D,정산표!$B131)</f>
        <v>0</v>
      </c>
      <c r="G131" s="2">
        <f>SUMIFS(별도_AJE_26.2Q!$H:$H,별도_AJE_26.2Q!$D:$D,정산표!$B131)</f>
        <v>0</v>
      </c>
      <c r="H131" s="582">
        <f>E131+G131-F131</f>
        <v>47852743</v>
      </c>
      <c r="J131" s="585">
        <v>73976418</v>
      </c>
      <c r="K131" s="582">
        <f>SUMIFS(별도_AJE_25!G:G,별도_AJE_25!$D:$D,정산표!$B131)</f>
        <v>0</v>
      </c>
      <c r="L131" s="582">
        <f>SUMIFS(별도_AJE_25!H:H,별도_AJE_25!$D:$D,정산표!$B131)</f>
        <v>0</v>
      </c>
      <c r="M131" s="582">
        <f>J131+L131-K131</f>
        <v>73976418</v>
      </c>
    </row>
    <row r="132" spans="2:14">
      <c r="B132" s="840" t="s">
        <v>1318</v>
      </c>
      <c r="D132" s="644" t="s">
        <v>1158</v>
      </c>
      <c r="E132" s="645">
        <f>E133+E134-E135</f>
        <v>10236844</v>
      </c>
      <c r="F132" s="629"/>
      <c r="G132" s="629"/>
      <c r="H132" s="629">
        <f t="shared" ref="H132:H135" si="17">E132+F132-G132</f>
        <v>10236844</v>
      </c>
      <c r="I132" s="629"/>
      <c r="J132" s="645">
        <f>J133+J134-J135</f>
        <v>13802545</v>
      </c>
      <c r="K132" s="643">
        <f>SUMIFS(별도_AJE_25!$G:$G,별도_AJE_25!$E:$E,$D132)</f>
        <v>0</v>
      </c>
      <c r="L132" s="643">
        <f>SUMIFS(별도_AJE_25!$H:$H,별도_AJE_25!$F:$F,$D132)</f>
        <v>0</v>
      </c>
      <c r="M132" s="645">
        <f>M133+M134-M135</f>
        <v>13802545</v>
      </c>
    </row>
    <row r="133" spans="2:14">
      <c r="B133" s="840" t="s">
        <v>1332</v>
      </c>
      <c r="D133" s="6" t="s">
        <v>72</v>
      </c>
      <c r="E133" s="52">
        <f>제시PL!C26</f>
        <v>0</v>
      </c>
      <c r="F133" s="2">
        <f>SUMIFS(별도_AJE_26.2Q!$G:$G,별도_AJE_26.2Q!$D:$D,정산표!$B133)</f>
        <v>0</v>
      </c>
      <c r="G133" s="2">
        <f>SUMIFS(별도_AJE_26.2Q!$H:$H,별도_AJE_26.2Q!$D:$D,정산표!$B133)</f>
        <v>0</v>
      </c>
      <c r="H133" s="2">
        <f t="shared" si="17"/>
        <v>0</v>
      </c>
      <c r="J133" s="52">
        <v>0</v>
      </c>
      <c r="K133" s="582">
        <f>SUMIFS(별도_AJE_25!$G:$G,별도_AJE_25!$E:$E,$D133)</f>
        <v>0</v>
      </c>
      <c r="L133" s="582">
        <f>SUMIFS(별도_AJE_25!$H:$H,별도_AJE_25!$F:$F,$D133)</f>
        <v>0</v>
      </c>
      <c r="M133" s="582">
        <f>J133+K133-L133</f>
        <v>0</v>
      </c>
    </row>
    <row r="134" spans="2:14">
      <c r="B134" s="840" t="s">
        <v>1334</v>
      </c>
      <c r="D134" s="6" t="s">
        <v>201</v>
      </c>
      <c r="E134" s="52">
        <f>제시PL!C27</f>
        <v>10236844</v>
      </c>
      <c r="F134" s="2">
        <f>SUMIFS(별도_AJE_26.2Q!$G:$G,별도_AJE_26.2Q!$D:$D,정산표!$B134)</f>
        <v>0</v>
      </c>
      <c r="G134" s="2">
        <f>SUMIFS(별도_AJE_26.2Q!$H:$H,별도_AJE_26.2Q!$D:$D,정산표!$B134)</f>
        <v>0</v>
      </c>
      <c r="H134" s="2">
        <f t="shared" si="17"/>
        <v>10236844</v>
      </c>
      <c r="J134" s="52">
        <v>13802545</v>
      </c>
      <c r="K134" s="582">
        <f>SUMIFS(별도_AJE_25!G:G,별도_AJE_25!$D:$D,정산표!$B134)</f>
        <v>0</v>
      </c>
      <c r="L134" s="582">
        <f>SUMIFS(별도_AJE_25!H:H,별도_AJE_25!$D:$D,정산표!$B134)</f>
        <v>0</v>
      </c>
      <c r="M134" s="582">
        <f>J134+K134-L134</f>
        <v>13802545</v>
      </c>
    </row>
    <row r="135" spans="2:14" ht="15.45" thickBot="1">
      <c r="B135" s="840" t="s">
        <v>1336</v>
      </c>
      <c r="D135" s="6" t="s">
        <v>73</v>
      </c>
      <c r="E135" s="52">
        <f>제시PL!C28</f>
        <v>0</v>
      </c>
      <c r="F135" s="2">
        <f>SUMIFS(별도_AJE_26.2Q!$G:$G,별도_AJE_26.2Q!$D:$D,정산표!$B135)</f>
        <v>0</v>
      </c>
      <c r="G135" s="2">
        <f>SUMIFS(별도_AJE_26.2Q!$H:$H,별도_AJE_26.2Q!$D:$D,정산표!$B135)</f>
        <v>0</v>
      </c>
      <c r="H135" s="2">
        <f t="shared" si="17"/>
        <v>0</v>
      </c>
      <c r="J135" s="52">
        <v>0</v>
      </c>
      <c r="K135" s="582"/>
      <c r="L135" s="582"/>
      <c r="M135" s="582">
        <f>J135+K135-L135</f>
        <v>0</v>
      </c>
    </row>
    <row r="136" spans="2:14" ht="15.45" thickBot="1">
      <c r="B136" s="840"/>
      <c r="D136" s="628" t="s">
        <v>89</v>
      </c>
      <c r="E136" s="631">
        <f>E113-E117</f>
        <v>4691537165</v>
      </c>
      <c r="F136" s="625"/>
      <c r="G136" s="625"/>
      <c r="H136" s="625">
        <f>H113-H117</f>
        <v>4691537165</v>
      </c>
      <c r="I136" s="629"/>
      <c r="J136" s="632">
        <f>J113-J117</f>
        <v>5290231733</v>
      </c>
      <c r="K136" s="624"/>
      <c r="L136" s="624"/>
      <c r="M136" s="624">
        <f>M113-M117</f>
        <v>5290231733</v>
      </c>
      <c r="N136" s="3"/>
    </row>
    <row r="137" spans="2:14" ht="15.45" thickBot="1">
      <c r="B137" s="840"/>
      <c r="D137" s="628" t="s">
        <v>107</v>
      </c>
      <c r="E137" s="631">
        <f>SUM(E138:E170)</f>
        <v>5378351282</v>
      </c>
      <c r="F137" s="625"/>
      <c r="G137" s="625"/>
      <c r="H137" s="625">
        <f>SUM(H138:H170)</f>
        <v>5378351282</v>
      </c>
      <c r="I137" s="629"/>
      <c r="J137" s="632">
        <f>SUM(J138:J170)</f>
        <v>3878517000</v>
      </c>
      <c r="K137" s="624">
        <f>SUM(K138:K170)</f>
        <v>0</v>
      </c>
      <c r="L137" s="624">
        <f>SUM(L138:L170)</f>
        <v>0</v>
      </c>
      <c r="M137" s="624">
        <f>SUM(M138:M170)</f>
        <v>3878517000</v>
      </c>
    </row>
    <row r="138" spans="2:14">
      <c r="B138" s="840" t="s">
        <v>870</v>
      </c>
      <c r="D138" s="16" t="s">
        <v>108</v>
      </c>
      <c r="E138" s="8">
        <f>SUMIFS(제시PL!$C:$C,제시PL!$A:$A,정산표!$B138)</f>
        <v>1192275225</v>
      </c>
      <c r="F138" s="2">
        <f>SUMIFS(별도_AJE_26.2Q!$G:$G,별도_AJE_26.2Q!$D:$D,정산표!$B138)</f>
        <v>0</v>
      </c>
      <c r="G138" s="2">
        <f>SUMIFS(별도_AJE_26.2Q!$H:$H,별도_AJE_26.2Q!$D:$D,정산표!$B138)</f>
        <v>0</v>
      </c>
      <c r="H138" s="2">
        <f>E138+F138-G138</f>
        <v>1192275225</v>
      </c>
      <c r="J138" s="585">
        <v>1310935710</v>
      </c>
      <c r="K138" s="582">
        <f>SUMIFS(별도_AJE_25!G:G,별도_AJE_25!$D:$D,정산표!$B138)</f>
        <v>0</v>
      </c>
      <c r="L138" s="582">
        <f>SUMIFS(별도_AJE_25!H:H,별도_AJE_25!$D:$D,정산표!$B138)</f>
        <v>0</v>
      </c>
      <c r="M138" s="582">
        <f t="shared" ref="M138:M170" si="18">J138+K138-L138</f>
        <v>1310935710</v>
      </c>
    </row>
    <row r="139" spans="2:14">
      <c r="B139" s="840" t="s">
        <v>871</v>
      </c>
      <c r="D139" s="16" t="s">
        <v>10</v>
      </c>
      <c r="E139" s="8">
        <f>SUMIFS(제시PL!$C:$C,제시PL!$A:$A,정산표!$B139)</f>
        <v>110359296</v>
      </c>
      <c r="F139" s="2">
        <f>SUMIFS(별도_AJE_26.2Q!$G:$G,별도_AJE_26.2Q!$D:$D,정산표!$B139)</f>
        <v>0</v>
      </c>
      <c r="G139" s="2">
        <f>SUMIFS(별도_AJE_26.2Q!$H:$H,별도_AJE_26.2Q!$D:$D,정산표!$B139)</f>
        <v>0</v>
      </c>
      <c r="H139" s="2">
        <f t="shared" ref="H139:H170" si="19">E139+F139-G139</f>
        <v>110359296</v>
      </c>
      <c r="J139" s="585">
        <v>104651910</v>
      </c>
      <c r="K139" s="582">
        <f>SUMIFS(별도_AJE_25!G:G,별도_AJE_25!$D:$D,정산표!$B139)</f>
        <v>0</v>
      </c>
      <c r="L139" s="582">
        <f>SUMIFS(별도_AJE_25!H:H,별도_AJE_25!$D:$D,정산표!$B139)</f>
        <v>0</v>
      </c>
      <c r="M139" s="582">
        <f t="shared" si="18"/>
        <v>104651910</v>
      </c>
    </row>
    <row r="140" spans="2:14">
      <c r="B140" s="661" t="s">
        <v>2044</v>
      </c>
      <c r="D140" s="783" t="s">
        <v>2042</v>
      </c>
      <c r="E140" s="8">
        <f>SUMIFS(제시PL!$C:$C,제시PL!$A:$A,정산표!$B140)</f>
        <v>45930430</v>
      </c>
      <c r="F140" s="2">
        <f>SUMIFS(별도_AJE_26.2Q!$G:$G,별도_AJE_26.2Q!$D:$D,정산표!$B140)</f>
        <v>0</v>
      </c>
      <c r="G140" s="2">
        <f>SUMIFS(별도_AJE_26.2Q!$H:$H,별도_AJE_26.2Q!$D:$D,정산표!$B140)</f>
        <v>0</v>
      </c>
      <c r="H140" s="2">
        <f t="shared" ref="H140:H144" si="20">E140+F140-G140</f>
        <v>45930430</v>
      </c>
      <c r="J140" s="585">
        <v>0</v>
      </c>
      <c r="K140" s="582"/>
      <c r="L140" s="582"/>
      <c r="M140" s="582"/>
    </row>
    <row r="141" spans="2:14">
      <c r="B141" s="840" t="s">
        <v>872</v>
      </c>
      <c r="D141" s="16" t="s">
        <v>204</v>
      </c>
      <c r="E141" s="8">
        <f>SUMIFS(제시PL!$C:$C,제시PL!$A:$A,정산표!$B141)</f>
        <v>0</v>
      </c>
      <c r="F141" s="2">
        <f>SUMIFS(별도_AJE_26.2Q!$G:$G,별도_AJE_26.2Q!$D:$D,정산표!$B141)</f>
        <v>0</v>
      </c>
      <c r="G141" s="2">
        <f>SUMIFS(별도_AJE_26.2Q!$H:$H,별도_AJE_26.2Q!$D:$D,정산표!$B141)</f>
        <v>0</v>
      </c>
      <c r="H141" s="2">
        <f t="shared" si="20"/>
        <v>0</v>
      </c>
      <c r="J141" s="585">
        <v>0</v>
      </c>
      <c r="K141" s="582">
        <f>SUMIFS(별도_AJE_25!G:G,별도_AJE_25!$D:$D,정산표!$B141)</f>
        <v>0</v>
      </c>
      <c r="L141" s="582">
        <f>SUMIFS(별도_AJE_25!H:H,별도_AJE_25!$D:$D,정산표!$B141)</f>
        <v>0</v>
      </c>
      <c r="M141" s="582">
        <f t="shared" si="18"/>
        <v>0</v>
      </c>
    </row>
    <row r="142" spans="2:14">
      <c r="B142" s="840" t="s">
        <v>873</v>
      </c>
      <c r="D142" s="16" t="s">
        <v>11</v>
      </c>
      <c r="E142" s="8">
        <f>SUMIFS(제시PL!$C:$C,제시PL!$A:$A,정산표!$B142)</f>
        <v>187719099</v>
      </c>
      <c r="F142" s="2">
        <f>SUMIFS(별도_AJE_26.2Q!$G:$G,별도_AJE_26.2Q!$D:$D,정산표!$B142)</f>
        <v>0</v>
      </c>
      <c r="G142" s="2">
        <f>SUMIFS(별도_AJE_26.2Q!$H:$H,별도_AJE_26.2Q!$D:$D,정산표!$B142)</f>
        <v>0</v>
      </c>
      <c r="H142" s="2">
        <f t="shared" si="20"/>
        <v>187719099</v>
      </c>
      <c r="J142" s="585">
        <v>186599937</v>
      </c>
      <c r="K142" s="582">
        <f>SUMIFS(별도_AJE_25!G:G,별도_AJE_25!$D:$D,정산표!$B142)</f>
        <v>0</v>
      </c>
      <c r="L142" s="582">
        <f>SUMIFS(별도_AJE_25!H:H,별도_AJE_25!$D:$D,정산표!$B142)</f>
        <v>0</v>
      </c>
      <c r="M142" s="582">
        <f t="shared" si="18"/>
        <v>186599937</v>
      </c>
    </row>
    <row r="143" spans="2:14">
      <c r="B143" s="840" t="s">
        <v>874</v>
      </c>
      <c r="D143" s="16" t="s">
        <v>12</v>
      </c>
      <c r="E143" s="8">
        <f>SUMIFS(제시PL!$C:$C,제시PL!$A:$A,정산표!$B143)</f>
        <v>224812833</v>
      </c>
      <c r="F143" s="2">
        <f>SUMIFS(별도_AJE_26.2Q!$G:$G,별도_AJE_26.2Q!$D:$D,정산표!$B143)</f>
        <v>0</v>
      </c>
      <c r="G143" s="2">
        <f>SUMIFS(별도_AJE_26.2Q!$H:$H,별도_AJE_26.2Q!$D:$D,정산표!$B143)</f>
        <v>0</v>
      </c>
      <c r="H143" s="2">
        <f t="shared" si="20"/>
        <v>224812833</v>
      </c>
      <c r="J143" s="585">
        <v>285932715</v>
      </c>
      <c r="K143" s="582">
        <f>SUMIFS(별도_AJE_25!G:G,별도_AJE_25!$D:$D,정산표!$B143)</f>
        <v>0</v>
      </c>
      <c r="L143" s="582">
        <f>SUMIFS(별도_AJE_25!H:H,별도_AJE_25!$D:$D,정산표!$B143)</f>
        <v>0</v>
      </c>
      <c r="M143" s="582">
        <f t="shared" si="18"/>
        <v>285932715</v>
      </c>
    </row>
    <row r="144" spans="2:14">
      <c r="B144" s="840" t="s">
        <v>875</v>
      </c>
      <c r="D144" s="16" t="s">
        <v>13</v>
      </c>
      <c r="E144" s="8">
        <f>SUMIFS(제시PL!$C:$C,제시PL!$A:$A,정산표!$B144)</f>
        <v>25692474</v>
      </c>
      <c r="F144" s="2">
        <f>SUMIFS(별도_AJE_26.2Q!$G:$G,별도_AJE_26.2Q!$D:$D,정산표!$B144)</f>
        <v>0</v>
      </c>
      <c r="G144" s="2">
        <f>SUMIFS(별도_AJE_26.2Q!$H:$H,별도_AJE_26.2Q!$D:$D,정산표!$B144)</f>
        <v>0</v>
      </c>
      <c r="H144" s="2">
        <f t="shared" si="20"/>
        <v>25692474</v>
      </c>
      <c r="J144" s="585">
        <v>78340966</v>
      </c>
      <c r="K144" s="582">
        <f>SUMIFS(별도_AJE_25!G:G,별도_AJE_25!$D:$D,정산표!$B144)</f>
        <v>0</v>
      </c>
      <c r="L144" s="582">
        <f>SUMIFS(별도_AJE_25!H:H,별도_AJE_25!$D:$D,정산표!$B144)</f>
        <v>0</v>
      </c>
      <c r="M144" s="582">
        <f t="shared" si="18"/>
        <v>78340966</v>
      </c>
      <c r="N144" s="3"/>
    </row>
    <row r="145" spans="2:13">
      <c r="B145" s="840" t="s">
        <v>876</v>
      </c>
      <c r="D145" s="16" t="s">
        <v>14</v>
      </c>
      <c r="E145" s="8">
        <f>SUMIFS(제시PL!$C:$C,제시PL!$A:$A,정산표!$B145)</f>
        <v>8042843</v>
      </c>
      <c r="F145" s="2">
        <f>SUMIFS(별도_AJE_26.2Q!$G:$G,별도_AJE_26.2Q!$D:$D,정산표!$B145)</f>
        <v>0</v>
      </c>
      <c r="G145" s="2">
        <f>SUMIFS(별도_AJE_26.2Q!$H:$H,별도_AJE_26.2Q!$D:$D,정산표!$B145)</f>
        <v>0</v>
      </c>
      <c r="H145" s="2">
        <f t="shared" si="19"/>
        <v>8042843</v>
      </c>
      <c r="J145" s="585">
        <v>7473322</v>
      </c>
      <c r="K145" s="582">
        <f>SUMIFS(별도_AJE_25!G:G,별도_AJE_25!$D:$D,정산표!$B145)</f>
        <v>0</v>
      </c>
      <c r="L145" s="582">
        <f>SUMIFS(별도_AJE_25!H:H,별도_AJE_25!$D:$D,정산표!$B145)</f>
        <v>0</v>
      </c>
      <c r="M145" s="582">
        <f t="shared" si="18"/>
        <v>7473322</v>
      </c>
    </row>
    <row r="146" spans="2:13">
      <c r="B146" s="840" t="s">
        <v>877</v>
      </c>
      <c r="D146" s="16" t="s">
        <v>74</v>
      </c>
      <c r="E146" s="8">
        <f>SUMIFS(제시PL!$C:$C,제시PL!$A:$A,정산표!$B146)</f>
        <v>2933840</v>
      </c>
      <c r="F146" s="2">
        <f>SUMIFS(별도_AJE_26.2Q!$G:$G,별도_AJE_26.2Q!$D:$D,정산표!$B146)</f>
        <v>0</v>
      </c>
      <c r="G146" s="2">
        <f>SUMIFS(별도_AJE_26.2Q!$H:$H,별도_AJE_26.2Q!$D:$D,정산표!$B146)</f>
        <v>0</v>
      </c>
      <c r="H146" s="2">
        <f t="shared" si="19"/>
        <v>2933840</v>
      </c>
      <c r="J146" s="585">
        <v>2671110</v>
      </c>
      <c r="K146" s="582">
        <f>SUMIFS(별도_AJE_25!G:G,별도_AJE_25!$D:$D,정산표!$B146)</f>
        <v>0</v>
      </c>
      <c r="L146" s="582">
        <f>SUMIFS(별도_AJE_25!H:H,별도_AJE_25!$D:$D,정산표!$B146)</f>
        <v>0</v>
      </c>
      <c r="M146" s="582">
        <f t="shared" si="18"/>
        <v>2671110</v>
      </c>
    </row>
    <row r="147" spans="2:13">
      <c r="B147" s="659" t="s">
        <v>1344</v>
      </c>
      <c r="D147" s="16" t="s">
        <v>1160</v>
      </c>
      <c r="E147" s="8">
        <f>SUMIFS(제시PL!$C:$C,제시PL!$A:$A,정산표!$B147)</f>
        <v>3879022</v>
      </c>
      <c r="F147" s="2">
        <f>SUMIFS(별도_AJE_26.2Q!$G:$G,별도_AJE_26.2Q!$D:$D,정산표!$B147)</f>
        <v>0</v>
      </c>
      <c r="G147" s="2">
        <f>SUMIFS(별도_AJE_26.2Q!$H:$H,별도_AJE_26.2Q!$D:$D,정산표!$B147)</f>
        <v>0</v>
      </c>
      <c r="H147" s="2">
        <f t="shared" ref="H147" si="21">E147+F147-G147</f>
        <v>3879022</v>
      </c>
      <c r="J147" s="585">
        <v>3182290</v>
      </c>
      <c r="K147" s="582">
        <f>SUMIFS(별도_AJE_25!G:G,별도_AJE_25!$D:$D,정산표!$B147)</f>
        <v>0</v>
      </c>
      <c r="L147" s="582">
        <f>SUMIFS(별도_AJE_25!H:H,별도_AJE_25!$D:$D,정산표!$B147)</f>
        <v>0</v>
      </c>
      <c r="M147" s="582">
        <f t="shared" si="18"/>
        <v>3182290</v>
      </c>
    </row>
    <row r="148" spans="2:13">
      <c r="B148" s="840" t="s">
        <v>878</v>
      </c>
      <c r="D148" s="16" t="s">
        <v>351</v>
      </c>
      <c r="E148" s="8">
        <f>SUMIFS(제시PL!$C:$C,제시PL!$A:$A,정산표!$B148)</f>
        <v>8506220</v>
      </c>
      <c r="F148" s="2">
        <f>SUMIFS(별도_AJE_26.2Q!$G:$G,별도_AJE_26.2Q!$D:$D,정산표!$B148)</f>
        <v>0</v>
      </c>
      <c r="G148" s="2">
        <f>SUMIFS(별도_AJE_26.2Q!$H:$H,별도_AJE_26.2Q!$D:$D,정산표!$B148)</f>
        <v>0</v>
      </c>
      <c r="H148" s="2">
        <f t="shared" si="19"/>
        <v>8506220</v>
      </c>
      <c r="J148" s="585">
        <v>9688630</v>
      </c>
      <c r="K148" s="582">
        <f>SUMIFS(별도_AJE_25!G:G,별도_AJE_25!$D:$D,정산표!$B148)</f>
        <v>0</v>
      </c>
      <c r="L148" s="582">
        <f>SUMIFS(별도_AJE_25!H:H,별도_AJE_25!$D:$D,정산표!$B148)</f>
        <v>0</v>
      </c>
      <c r="M148" s="582">
        <f t="shared" si="18"/>
        <v>9688630</v>
      </c>
    </row>
    <row r="149" spans="2:13">
      <c r="B149" s="840" t="s">
        <v>879</v>
      </c>
      <c r="D149" s="16" t="s">
        <v>15</v>
      </c>
      <c r="E149" s="8">
        <f>SUMIFS(제시PL!$C:$C,제시PL!$A:$A,정산표!$B149)</f>
        <v>119880341</v>
      </c>
      <c r="F149" s="2">
        <f>SUMIFS(별도_AJE_26.2Q!$G:$G,별도_AJE_26.2Q!$D:$D,정산표!$B149)</f>
        <v>0</v>
      </c>
      <c r="G149" s="2">
        <f>SUMIFS(별도_AJE_26.2Q!$H:$H,별도_AJE_26.2Q!$D:$D,정산표!$B149)</f>
        <v>0</v>
      </c>
      <c r="H149" s="2">
        <f t="shared" si="19"/>
        <v>119880341</v>
      </c>
      <c r="J149" s="585">
        <v>84937975</v>
      </c>
      <c r="K149" s="582">
        <f>SUMIFS(별도_AJE_25!G:G,별도_AJE_25!$D:$D,정산표!$B149)</f>
        <v>0</v>
      </c>
      <c r="L149" s="582">
        <f>SUMIFS(별도_AJE_25!H:H,별도_AJE_25!$D:$D,정산표!$B149)</f>
        <v>0</v>
      </c>
      <c r="M149" s="582">
        <f t="shared" si="18"/>
        <v>84937975</v>
      </c>
    </row>
    <row r="150" spans="2:13">
      <c r="B150" s="840" t="s">
        <v>880</v>
      </c>
      <c r="D150" s="16" t="s">
        <v>352</v>
      </c>
      <c r="E150" s="8">
        <f>SUMIFS(제시PL!$C:$C,제시PL!$A:$A,정산표!$B150)</f>
        <v>508414</v>
      </c>
      <c r="F150" s="2">
        <f>SUMIFS(별도_AJE_26.2Q!$G:$G,별도_AJE_26.2Q!$D:$D,정산표!$B150)</f>
        <v>0</v>
      </c>
      <c r="G150" s="2">
        <f>SUMIFS(별도_AJE_26.2Q!$H:$H,별도_AJE_26.2Q!$D:$D,정산표!$B150)</f>
        <v>0</v>
      </c>
      <c r="H150" s="2">
        <f t="shared" si="19"/>
        <v>508414</v>
      </c>
      <c r="J150" s="585">
        <v>30334814</v>
      </c>
      <c r="K150" s="582">
        <f>SUMIFS(별도_AJE_25!G:G,별도_AJE_25!$D:$D,정산표!$B150)</f>
        <v>0</v>
      </c>
      <c r="L150" s="582">
        <f>SUMIFS(별도_AJE_25!H:H,별도_AJE_25!$D:$D,정산표!$B150)</f>
        <v>0</v>
      </c>
      <c r="M150" s="582">
        <f t="shared" si="18"/>
        <v>30334814</v>
      </c>
    </row>
    <row r="151" spans="2:13">
      <c r="B151" s="840" t="s">
        <v>881</v>
      </c>
      <c r="D151" s="16" t="s">
        <v>16</v>
      </c>
      <c r="E151" s="8">
        <f>SUMIFS(제시PL!$C:$C,제시PL!$A:$A,정산표!$B151)</f>
        <v>1111000</v>
      </c>
      <c r="F151" s="2">
        <f>SUMIFS(별도_AJE_26.2Q!$G:$G,별도_AJE_26.2Q!$D:$D,정산표!$B151)</f>
        <v>0</v>
      </c>
      <c r="G151" s="2">
        <f>SUMIFS(별도_AJE_26.2Q!$H:$H,별도_AJE_26.2Q!$D:$D,정산표!$B151)</f>
        <v>0</v>
      </c>
      <c r="H151" s="2">
        <f t="shared" si="19"/>
        <v>1111000</v>
      </c>
      <c r="J151" s="585">
        <v>93300</v>
      </c>
      <c r="K151" s="582">
        <f>SUMIFS(별도_AJE_25!G:G,별도_AJE_25!$D:$D,정산표!$B151)</f>
        <v>0</v>
      </c>
      <c r="L151" s="582">
        <f>SUMIFS(별도_AJE_25!H:H,별도_AJE_25!$D:$D,정산표!$B151)</f>
        <v>0</v>
      </c>
      <c r="M151" s="582">
        <f t="shared" si="18"/>
        <v>93300</v>
      </c>
    </row>
    <row r="152" spans="2:13">
      <c r="B152" s="840" t="s">
        <v>882</v>
      </c>
      <c r="D152" s="16" t="s">
        <v>17</v>
      </c>
      <c r="E152" s="8">
        <f>SUMIFS(제시PL!$C:$C,제시PL!$A:$A,정산표!$B152)</f>
        <v>3257116</v>
      </c>
      <c r="F152" s="2">
        <f>SUMIFS(별도_AJE_26.2Q!$G:$G,별도_AJE_26.2Q!$D:$D,정산표!$B152)</f>
        <v>0</v>
      </c>
      <c r="G152" s="2">
        <f>SUMIFS(별도_AJE_26.2Q!$H:$H,별도_AJE_26.2Q!$D:$D,정산표!$B152)</f>
        <v>0</v>
      </c>
      <c r="H152" s="2">
        <f t="shared" si="19"/>
        <v>3257116</v>
      </c>
      <c r="J152" s="585">
        <v>3327218</v>
      </c>
      <c r="K152" s="582">
        <f>SUMIFS(별도_AJE_25!G:G,별도_AJE_25!$D:$D,정산표!$B152)</f>
        <v>0</v>
      </c>
      <c r="L152" s="582">
        <f>SUMIFS(별도_AJE_25!H:H,별도_AJE_25!$D:$D,정산표!$B152)</f>
        <v>0</v>
      </c>
      <c r="M152" s="582">
        <f t="shared" si="18"/>
        <v>3327218</v>
      </c>
    </row>
    <row r="153" spans="2:13">
      <c r="B153" s="840" t="s">
        <v>883</v>
      </c>
      <c r="D153" s="16" t="s">
        <v>18</v>
      </c>
      <c r="E153" s="8">
        <f>SUMIFS(제시PL!$C:$C,제시PL!$A:$A,정산표!$B153)</f>
        <v>720800</v>
      </c>
      <c r="F153" s="2">
        <f>SUMIFS(별도_AJE_26.2Q!$G:$G,별도_AJE_26.2Q!$D:$D,정산표!$B153)</f>
        <v>0</v>
      </c>
      <c r="G153" s="2">
        <f>SUMIFS(별도_AJE_26.2Q!$H:$H,별도_AJE_26.2Q!$D:$D,정산표!$B153)</f>
        <v>0</v>
      </c>
      <c r="H153" s="2">
        <f t="shared" si="19"/>
        <v>720800</v>
      </c>
      <c r="J153" s="585">
        <v>3415144</v>
      </c>
      <c r="K153" s="582">
        <f>SUMIFS(별도_AJE_25!G:G,별도_AJE_25!$D:$D,정산표!$B153)</f>
        <v>0</v>
      </c>
      <c r="L153" s="582">
        <f>SUMIFS(별도_AJE_25!H:H,별도_AJE_25!$D:$D,정산표!$B153)</f>
        <v>0</v>
      </c>
      <c r="M153" s="582">
        <f t="shared" si="18"/>
        <v>3415144</v>
      </c>
    </row>
    <row r="154" spans="2:13">
      <c r="B154" s="840" t="s">
        <v>884</v>
      </c>
      <c r="D154" s="16" t="s">
        <v>353</v>
      </c>
      <c r="E154" s="8">
        <f>SUMIFS(제시PL!$C:$C,제시PL!$A:$A,정산표!$B154)</f>
        <v>364625079</v>
      </c>
      <c r="F154" s="2">
        <f>SUMIFS(별도_AJE_26.2Q!$G:$G,별도_AJE_26.2Q!$D:$D,정산표!$B154)</f>
        <v>0</v>
      </c>
      <c r="G154" s="2">
        <f>SUMIFS(별도_AJE_26.2Q!$H:$H,별도_AJE_26.2Q!$D:$D,정산표!$B154)</f>
        <v>0</v>
      </c>
      <c r="H154" s="2">
        <f t="shared" si="19"/>
        <v>364625079</v>
      </c>
      <c r="J154" s="585">
        <v>337688016</v>
      </c>
      <c r="K154" s="582">
        <f>SUMIFS(별도_AJE_25!G:G,별도_AJE_25!$D:$D,정산표!$B154)</f>
        <v>0</v>
      </c>
      <c r="L154" s="582">
        <f>SUMIFS(별도_AJE_25!H:H,별도_AJE_25!$D:$D,정산표!$B154)</f>
        <v>0</v>
      </c>
      <c r="M154" s="582">
        <f t="shared" si="18"/>
        <v>337688016</v>
      </c>
    </row>
    <row r="155" spans="2:13">
      <c r="B155" s="840" t="s">
        <v>885</v>
      </c>
      <c r="D155" s="16" t="s">
        <v>19</v>
      </c>
      <c r="E155" s="8">
        <f>SUMIFS(제시PL!$C:$C,제시PL!$A:$A,정산표!$B155)</f>
        <v>9018081</v>
      </c>
      <c r="F155" s="2">
        <f>SUMIFS(별도_AJE_26.2Q!$G:$G,별도_AJE_26.2Q!$D:$D,정산표!$B155)</f>
        <v>0</v>
      </c>
      <c r="G155" s="2">
        <f>SUMIFS(별도_AJE_26.2Q!$H:$H,별도_AJE_26.2Q!$D:$D,정산표!$B155)</f>
        <v>0</v>
      </c>
      <c r="H155" s="2">
        <f t="shared" si="19"/>
        <v>9018081</v>
      </c>
      <c r="J155" s="585">
        <v>10980849</v>
      </c>
      <c r="K155" s="582">
        <f>SUMIFS(별도_AJE_25!G:G,별도_AJE_25!$D:$D,정산표!$B155)</f>
        <v>0</v>
      </c>
      <c r="L155" s="582">
        <f>SUMIFS(별도_AJE_25!H:H,별도_AJE_25!$D:$D,정산표!$B155)</f>
        <v>0</v>
      </c>
      <c r="M155" s="582">
        <f t="shared" si="18"/>
        <v>10980849</v>
      </c>
    </row>
    <row r="156" spans="2:13">
      <c r="B156" s="840" t="s">
        <v>886</v>
      </c>
      <c r="D156" s="16" t="s">
        <v>75</v>
      </c>
      <c r="E156" s="8">
        <f>SUMIFS(제시PL!$C:$C,제시PL!$A:$A,정산표!$B156)</f>
        <v>1066181</v>
      </c>
      <c r="F156" s="2">
        <f>SUMIFS(별도_AJE_26.2Q!$G:$G,별도_AJE_26.2Q!$D:$D,정산표!$B156)</f>
        <v>0</v>
      </c>
      <c r="G156" s="2">
        <f>SUMIFS(별도_AJE_26.2Q!$H:$H,별도_AJE_26.2Q!$D:$D,정산표!$B156)</f>
        <v>0</v>
      </c>
      <c r="H156" s="2">
        <f t="shared" si="19"/>
        <v>1066181</v>
      </c>
      <c r="J156" s="585">
        <v>6814000</v>
      </c>
      <c r="K156" s="582">
        <f>SUMIFS(별도_AJE_25!G:G,별도_AJE_25!$D:$D,정산표!$B156)</f>
        <v>0</v>
      </c>
      <c r="L156" s="582">
        <f>SUMIFS(별도_AJE_25!H:H,별도_AJE_25!$D:$D,정산표!$B156)</f>
        <v>0</v>
      </c>
      <c r="M156" s="582">
        <f t="shared" si="18"/>
        <v>6814000</v>
      </c>
    </row>
    <row r="157" spans="2:13">
      <c r="B157" s="840" t="s">
        <v>887</v>
      </c>
      <c r="D157" s="16" t="s">
        <v>20</v>
      </c>
      <c r="E157" s="8">
        <f>SUMIFS(제시PL!$C:$C,제시PL!$A:$A,정산표!$B157)</f>
        <v>4820923</v>
      </c>
      <c r="F157" s="2">
        <f>SUMIFS(별도_AJE_26.2Q!$G:$G,별도_AJE_26.2Q!$D:$D,정산표!$B157)</f>
        <v>0</v>
      </c>
      <c r="G157" s="2">
        <f>SUMIFS(별도_AJE_26.2Q!$H:$H,별도_AJE_26.2Q!$D:$D,정산표!$B157)</f>
        <v>0</v>
      </c>
      <c r="H157" s="2">
        <f t="shared" si="19"/>
        <v>4820923</v>
      </c>
      <c r="J157" s="585">
        <v>1418240</v>
      </c>
      <c r="K157" s="582">
        <f>SUMIFS(별도_AJE_25!G:G,별도_AJE_25!$D:$D,정산표!$B157)</f>
        <v>0</v>
      </c>
      <c r="L157" s="582">
        <f>SUMIFS(별도_AJE_25!H:H,별도_AJE_25!$D:$D,정산표!$B157)</f>
        <v>0</v>
      </c>
      <c r="M157" s="582">
        <f t="shared" si="18"/>
        <v>1418240</v>
      </c>
    </row>
    <row r="158" spans="2:13">
      <c r="B158" s="840" t="s">
        <v>888</v>
      </c>
      <c r="D158" s="16" t="s">
        <v>110</v>
      </c>
      <c r="E158" s="8">
        <f>SUMIFS(제시PL!$C:$C,제시PL!$A:$A,정산표!$B158)</f>
        <v>0</v>
      </c>
      <c r="F158" s="2">
        <f>SUMIFS(별도_AJE_26.2Q!$G:$G,별도_AJE_26.2Q!$D:$D,정산표!$B158)</f>
        <v>0</v>
      </c>
      <c r="G158" s="2">
        <f>SUMIFS(별도_AJE_26.2Q!$H:$H,별도_AJE_26.2Q!$D:$D,정산표!$B158)</f>
        <v>0</v>
      </c>
      <c r="H158" s="2">
        <f t="shared" si="19"/>
        <v>0</v>
      </c>
      <c r="J158" s="585">
        <v>0</v>
      </c>
      <c r="K158" s="582">
        <f>SUMIFS(별도_AJE_25!G:G,별도_AJE_25!$D:$D,정산표!$B158)</f>
        <v>0</v>
      </c>
      <c r="L158" s="582">
        <f>SUMIFS(별도_AJE_25!H:H,별도_AJE_25!$D:$D,정산표!$B158)</f>
        <v>0</v>
      </c>
      <c r="M158" s="582">
        <f t="shared" si="18"/>
        <v>0</v>
      </c>
    </row>
    <row r="159" spans="2:13">
      <c r="B159" s="840" t="s">
        <v>889</v>
      </c>
      <c r="D159" s="16" t="s">
        <v>205</v>
      </c>
      <c r="E159" s="8">
        <f>SUMIFS(제시PL!$C:$C,제시PL!$A:$A,정산표!$B159)</f>
        <v>236327</v>
      </c>
      <c r="F159" s="2">
        <f>SUMIFS(별도_AJE_26.2Q!$G:$G,별도_AJE_26.2Q!$D:$D,정산표!$B159)</f>
        <v>0</v>
      </c>
      <c r="G159" s="2">
        <f>SUMIFS(별도_AJE_26.2Q!$H:$H,별도_AJE_26.2Q!$D:$D,정산표!$B159)</f>
        <v>0</v>
      </c>
      <c r="H159" s="2">
        <f t="shared" si="19"/>
        <v>236327</v>
      </c>
      <c r="J159" s="585">
        <v>2317493</v>
      </c>
      <c r="K159" s="582">
        <f>SUMIFS(별도_AJE_25!G:G,별도_AJE_25!$D:$D,정산표!$B159)</f>
        <v>0</v>
      </c>
      <c r="L159" s="582">
        <f>SUMIFS(별도_AJE_25!H:H,별도_AJE_25!$D:$D,정산표!$B159)</f>
        <v>0</v>
      </c>
      <c r="M159" s="582">
        <f t="shared" si="18"/>
        <v>2317493</v>
      </c>
    </row>
    <row r="160" spans="2:13">
      <c r="B160" s="840" t="s">
        <v>890</v>
      </c>
      <c r="D160" s="16" t="s">
        <v>21</v>
      </c>
      <c r="E160" s="8">
        <f>SUMIFS(제시PL!$C:$C,제시PL!$A:$A,정산표!$B160)</f>
        <v>19873909</v>
      </c>
      <c r="F160" s="2">
        <f>SUMIFS(별도_AJE_26.2Q!$G:$G,별도_AJE_26.2Q!$D:$D,정산표!$B160)</f>
        <v>0</v>
      </c>
      <c r="G160" s="2">
        <f>SUMIFS(별도_AJE_26.2Q!$H:$H,별도_AJE_26.2Q!$D:$D,정산표!$B160)</f>
        <v>0</v>
      </c>
      <c r="H160" s="2">
        <f t="shared" si="19"/>
        <v>19873909</v>
      </c>
      <c r="J160" s="585">
        <v>17725736</v>
      </c>
      <c r="K160" s="582">
        <f>SUMIFS(별도_AJE_25!G:G,별도_AJE_25!$D:$D,정산표!$B160)</f>
        <v>0</v>
      </c>
      <c r="L160" s="582">
        <f>SUMIFS(별도_AJE_25!H:H,별도_AJE_25!$D:$D,정산표!$B160)</f>
        <v>0</v>
      </c>
      <c r="M160" s="582">
        <f t="shared" si="18"/>
        <v>17725736</v>
      </c>
    </row>
    <row r="161" spans="2:13">
      <c r="B161" s="840" t="s">
        <v>891</v>
      </c>
      <c r="D161" s="16" t="s">
        <v>22</v>
      </c>
      <c r="E161" s="8">
        <f>SUMIFS(제시PL!$C:$C,제시PL!$A:$A,정산표!$B161)</f>
        <v>1082143476</v>
      </c>
      <c r="F161" s="2">
        <f>SUMIFS(별도_AJE_26.2Q!$G:$G,별도_AJE_26.2Q!$D:$D,정산표!$B161)</f>
        <v>0</v>
      </c>
      <c r="G161" s="2">
        <f>SUMIFS(별도_AJE_26.2Q!$H:$H,별도_AJE_26.2Q!$D:$D,정산표!$B161)</f>
        <v>0</v>
      </c>
      <c r="H161" s="2">
        <f t="shared" si="19"/>
        <v>1082143476</v>
      </c>
      <c r="J161" s="585">
        <v>368147473</v>
      </c>
      <c r="K161" s="582">
        <f>SUMIFS(별도_AJE_25!G:G,별도_AJE_25!$D:$D,정산표!$B161)</f>
        <v>0</v>
      </c>
      <c r="L161" s="582">
        <f>SUMIFS(별도_AJE_25!H:H,별도_AJE_25!$D:$D,정산표!$B161)</f>
        <v>0</v>
      </c>
      <c r="M161" s="582">
        <f t="shared" si="18"/>
        <v>368147473</v>
      </c>
    </row>
    <row r="162" spans="2:13">
      <c r="B162" s="840" t="s">
        <v>969</v>
      </c>
      <c r="D162" s="16" t="s">
        <v>354</v>
      </c>
      <c r="E162" s="8">
        <f>SUMIFS(제시PL!$C:$C,제시PL!$A:$A,정산표!$B162)</f>
        <v>0</v>
      </c>
      <c r="F162" s="2">
        <f>SUMIFS(별도_AJE_26.2Q!$G:$G,별도_AJE_26.2Q!$D:$D,정산표!$B162)</f>
        <v>0</v>
      </c>
      <c r="G162" s="2">
        <f>SUMIFS(별도_AJE_26.2Q!$H:$H,별도_AJE_26.2Q!$D:$D,정산표!$B162)</f>
        <v>0</v>
      </c>
      <c r="H162" s="2">
        <f t="shared" si="19"/>
        <v>0</v>
      </c>
      <c r="J162" s="585">
        <v>0</v>
      </c>
      <c r="K162" s="582">
        <f>SUMIFS(별도_AJE_25!G:G,별도_AJE_25!$D:$D,정산표!$B162)</f>
        <v>0</v>
      </c>
      <c r="L162" s="582">
        <f>SUMIFS(별도_AJE_25!H:H,별도_AJE_25!$D:$D,정산표!$B162)</f>
        <v>0</v>
      </c>
      <c r="M162" s="582">
        <f t="shared" si="18"/>
        <v>0</v>
      </c>
    </row>
    <row r="163" spans="2:13">
      <c r="B163" s="840" t="s">
        <v>892</v>
      </c>
      <c r="D163" s="16" t="s">
        <v>23</v>
      </c>
      <c r="E163" s="8">
        <f>SUMIFS(제시PL!$C:$C,제시PL!$A:$A,정산표!$B163)</f>
        <v>1875294553</v>
      </c>
      <c r="F163" s="2">
        <f>SUMIFS(별도_AJE_26.2Q!$G:$G,별도_AJE_26.2Q!$D:$D,정산표!$B163)</f>
        <v>0</v>
      </c>
      <c r="G163" s="2">
        <f>SUMIFS(별도_AJE_26.2Q!$H:$H,별도_AJE_26.2Q!$D:$D,정산표!$B163)</f>
        <v>0</v>
      </c>
      <c r="H163" s="2">
        <f t="shared" si="19"/>
        <v>1875294553</v>
      </c>
      <c r="J163" s="585">
        <v>782157909</v>
      </c>
      <c r="K163" s="582">
        <f>SUMIFS(별도_AJE_25!G:G,별도_AJE_25!$D:$D,정산표!$B163)</f>
        <v>0</v>
      </c>
      <c r="L163" s="582">
        <f>SUMIFS(별도_AJE_25!H:H,별도_AJE_25!$D:$D,정산표!$B163)</f>
        <v>0</v>
      </c>
      <c r="M163" s="582">
        <f t="shared" si="18"/>
        <v>782157909</v>
      </c>
    </row>
    <row r="164" spans="2:13">
      <c r="B164" s="840" t="s">
        <v>893</v>
      </c>
      <c r="D164" s="16" t="s">
        <v>109</v>
      </c>
      <c r="E164" s="8">
        <f>SUMIFS(제시PL!$C:$C,제시PL!$A:$A,정산표!$B164)</f>
        <v>-82887417</v>
      </c>
      <c r="F164" s="2">
        <f>SUMIFS(별도_AJE_26.2Q!$G:$G,별도_AJE_26.2Q!$D:$D,정산표!$B164)</f>
        <v>0</v>
      </c>
      <c r="G164" s="2">
        <f>SUMIFS(별도_AJE_26.2Q!$H:$H,별도_AJE_26.2Q!$D:$D,정산표!$B164)</f>
        <v>0</v>
      </c>
      <c r="H164" s="2">
        <f t="shared" si="19"/>
        <v>-82887417</v>
      </c>
      <c r="J164" s="585">
        <v>56611534</v>
      </c>
      <c r="K164" s="582">
        <f>SUMIFS(별도_AJE_25!G:G,별도_AJE_25!$D:$D,정산표!$B164)</f>
        <v>0</v>
      </c>
      <c r="L164" s="582">
        <f>SUMIFS(별도_AJE_25!H:H,별도_AJE_25!$D:$D,정산표!$B164)</f>
        <v>0</v>
      </c>
      <c r="M164" s="582">
        <f t="shared" si="18"/>
        <v>56611534</v>
      </c>
    </row>
    <row r="165" spans="2:13">
      <c r="B165" s="840" t="s">
        <v>894</v>
      </c>
      <c r="D165" s="16" t="s">
        <v>355</v>
      </c>
      <c r="E165" s="8">
        <f>SUMIFS(제시PL!$C:$C,제시PL!$A:$A,정산표!$B165)</f>
        <v>16390898</v>
      </c>
      <c r="F165" s="2">
        <f>SUMIFS(별도_AJE_26.2Q!$G:$G,별도_AJE_26.2Q!$D:$D,정산표!$B165)</f>
        <v>0</v>
      </c>
      <c r="G165" s="2">
        <f>SUMIFS(별도_AJE_26.2Q!$H:$H,별도_AJE_26.2Q!$D:$D,정산표!$B165)</f>
        <v>0</v>
      </c>
      <c r="H165" s="2">
        <f t="shared" si="19"/>
        <v>16390898</v>
      </c>
      <c r="J165" s="585">
        <v>19801261</v>
      </c>
      <c r="K165" s="582">
        <f>SUMIFS(별도_AJE_25!G:G,별도_AJE_25!$D:$D,정산표!$B165)</f>
        <v>0</v>
      </c>
      <c r="L165" s="582">
        <f>SUMIFS(별도_AJE_25!H:H,별도_AJE_25!$D:$D,정산표!$B165)</f>
        <v>0</v>
      </c>
      <c r="M165" s="582">
        <f t="shared" si="18"/>
        <v>19801261</v>
      </c>
    </row>
    <row r="166" spans="2:13">
      <c r="B166" s="840" t="s">
        <v>895</v>
      </c>
      <c r="D166" s="16" t="s">
        <v>356</v>
      </c>
      <c r="E166" s="8">
        <f>SUMIFS(제시PL!$C:$C,제시PL!$A:$A,정산표!$B166)</f>
        <v>33162410</v>
      </c>
      <c r="F166" s="2">
        <f>SUMIFS(별도_AJE_26.2Q!$G:$G,별도_AJE_26.2Q!$D:$D,정산표!$B166)</f>
        <v>0</v>
      </c>
      <c r="G166" s="2">
        <f>SUMIFS(별도_AJE_26.2Q!$H:$H,별도_AJE_26.2Q!$D:$D,정산표!$B166)</f>
        <v>0</v>
      </c>
      <c r="H166" s="2">
        <f t="shared" si="19"/>
        <v>33162410</v>
      </c>
      <c r="J166" s="585">
        <v>33196857</v>
      </c>
      <c r="K166" s="582">
        <f>SUMIFS(별도_AJE_25!G:G,별도_AJE_25!$D:$D,정산표!$B166)</f>
        <v>0</v>
      </c>
      <c r="L166" s="582">
        <f>SUMIFS(별도_AJE_25!H:H,별도_AJE_25!$D:$D,정산표!$B166)</f>
        <v>0</v>
      </c>
      <c r="M166" s="582">
        <f t="shared" si="18"/>
        <v>33196857</v>
      </c>
    </row>
    <row r="167" spans="2:13">
      <c r="B167" s="840" t="s">
        <v>896</v>
      </c>
      <c r="D167" s="16" t="s">
        <v>206</v>
      </c>
      <c r="E167" s="8">
        <f>SUMIFS(제시PL!$C:$C,제시PL!$A:$A,정산표!$B167)</f>
        <v>96068802</v>
      </c>
      <c r="F167" s="2">
        <f>SUMIFS(별도_AJE_26.2Q!$G:$G,별도_AJE_26.2Q!$D:$D,정산표!$B167)</f>
        <v>0</v>
      </c>
      <c r="G167" s="2">
        <f>SUMIFS(별도_AJE_26.2Q!$H:$H,별도_AJE_26.2Q!$D:$D,정산표!$B167)</f>
        <v>0</v>
      </c>
      <c r="H167" s="2">
        <f t="shared" si="19"/>
        <v>96068802</v>
      </c>
      <c r="J167" s="585">
        <v>109893893</v>
      </c>
      <c r="K167" s="582">
        <f>SUMIFS(별도_AJE_25!G:G,별도_AJE_25!$D:$D,정산표!$B167)</f>
        <v>0</v>
      </c>
      <c r="L167" s="582">
        <f>SUMIFS(별도_AJE_25!H:H,별도_AJE_25!$D:$D,정산표!$B167)</f>
        <v>0</v>
      </c>
      <c r="M167" s="582">
        <f t="shared" si="18"/>
        <v>109893893</v>
      </c>
    </row>
    <row r="168" spans="2:13">
      <c r="B168" s="840" t="s">
        <v>897</v>
      </c>
      <c r="D168" s="16" t="s">
        <v>207</v>
      </c>
      <c r="E168" s="8">
        <f>SUMIFS(제시PL!$C:$C,제시PL!$A:$A,정산표!$B168)</f>
        <v>21529107</v>
      </c>
      <c r="F168" s="2">
        <f>SUMIFS(별도_AJE_26.2Q!$G:$G,별도_AJE_26.2Q!$D:$D,정산표!$B168)</f>
        <v>0</v>
      </c>
      <c r="G168" s="2">
        <f>SUMIFS(별도_AJE_26.2Q!$H:$H,별도_AJE_26.2Q!$D:$D,정산표!$B168)</f>
        <v>0</v>
      </c>
      <c r="H168" s="2">
        <f t="shared" si="19"/>
        <v>21529107</v>
      </c>
      <c r="J168" s="585">
        <v>18799999</v>
      </c>
      <c r="K168" s="582">
        <f>SUMIFS(별도_AJE_25!G:G,별도_AJE_25!$D:$D,정산표!$B168)</f>
        <v>0</v>
      </c>
      <c r="L168" s="582">
        <f>SUMIFS(별도_AJE_25!H:H,별도_AJE_25!$D:$D,정산표!$B168)</f>
        <v>0</v>
      </c>
      <c r="M168" s="582">
        <f t="shared" si="18"/>
        <v>18799999</v>
      </c>
    </row>
    <row r="169" spans="2:13">
      <c r="B169" s="51" t="s">
        <v>1724</v>
      </c>
      <c r="D169" s="16" t="s">
        <v>1723</v>
      </c>
      <c r="E169" s="8">
        <f>SUMIFS(제시PL!$C:$C,제시PL!$A:$A,정산표!$B169)</f>
        <v>0</v>
      </c>
      <c r="F169" s="2">
        <f>SUMIFS(별도_AJE_26.2Q!$G:$G,별도_AJE_26.2Q!$D:$D,정산표!$B169)</f>
        <v>0</v>
      </c>
      <c r="G169" s="2">
        <f>SUMIFS(별도_AJE_26.2Q!$H:$H,별도_AJE_26.2Q!$D:$D,정산표!$B169)</f>
        <v>0</v>
      </c>
      <c r="H169" s="2">
        <f t="shared" ref="H169" si="22">E169+F169-G169</f>
        <v>0</v>
      </c>
      <c r="J169" s="585">
        <v>0</v>
      </c>
      <c r="K169" s="582"/>
      <c r="L169" s="582"/>
      <c r="M169" s="582"/>
    </row>
    <row r="170" spans="2:13" ht="15.45" thickBot="1">
      <c r="B170" s="840" t="s">
        <v>898</v>
      </c>
      <c r="D170" s="16" t="s">
        <v>671</v>
      </c>
      <c r="E170" s="8">
        <f>SUMIFS(제시PL!$C:$C,제시PL!$A:$A,정산표!$B170)</f>
        <v>1380000</v>
      </c>
      <c r="F170" s="2">
        <f>SUMIFS(별도_AJE_26.2Q!$G:$G,별도_AJE_26.2Q!$D:$D,정산표!$B170)</f>
        <v>0</v>
      </c>
      <c r="G170" s="2">
        <f>SUMIFS(별도_AJE_26.2Q!$H:$H,별도_AJE_26.2Q!$D:$D,정산표!$B170)</f>
        <v>0</v>
      </c>
      <c r="H170" s="2">
        <f t="shared" si="19"/>
        <v>1380000</v>
      </c>
      <c r="J170" s="585">
        <v>1378699</v>
      </c>
      <c r="K170" s="582">
        <f>SUMIFS(별도_AJE_25!G:G,별도_AJE_25!$D:$D,정산표!$B170)</f>
        <v>0</v>
      </c>
      <c r="L170" s="582">
        <f>SUMIFS(별도_AJE_25!H:H,별도_AJE_25!$D:$D,정산표!$B170)</f>
        <v>0</v>
      </c>
      <c r="M170" s="582">
        <f t="shared" si="18"/>
        <v>1378699</v>
      </c>
    </row>
    <row r="171" spans="2:13" ht="15.45" thickBot="1">
      <c r="B171" s="840"/>
      <c r="D171" s="628" t="s">
        <v>90</v>
      </c>
      <c r="E171" s="631">
        <f>E136-E137</f>
        <v>-686814117</v>
      </c>
      <c r="F171" s="625"/>
      <c r="G171" s="625"/>
      <c r="H171" s="625">
        <f>H136-H137</f>
        <v>-686814117</v>
      </c>
      <c r="I171" s="629"/>
      <c r="J171" s="632">
        <f>J136-J137</f>
        <v>1411714733</v>
      </c>
      <c r="K171" s="624"/>
      <c r="L171" s="624"/>
      <c r="M171" s="624">
        <f>M136-M137</f>
        <v>1411714733</v>
      </c>
    </row>
    <row r="172" spans="2:13" ht="15.45" thickBot="1">
      <c r="B172" s="840"/>
      <c r="D172" s="628" t="s">
        <v>111</v>
      </c>
      <c r="E172" s="631">
        <f>SUM(E173:E177)</f>
        <v>4395999</v>
      </c>
      <c r="F172" s="625"/>
      <c r="G172" s="625"/>
      <c r="H172" s="625">
        <f>SUM(H173:H177)</f>
        <v>4395999</v>
      </c>
      <c r="I172" s="629"/>
      <c r="J172" s="632">
        <f>SUM(J173:J177)</f>
        <v>7957022</v>
      </c>
      <c r="K172" s="624">
        <f>SUM(K173:K177)</f>
        <v>0</v>
      </c>
      <c r="L172" s="624">
        <f>SUM(L173:L177)</f>
        <v>0</v>
      </c>
      <c r="M172" s="624">
        <f>SUM(M173:M177)</f>
        <v>7957022</v>
      </c>
    </row>
    <row r="173" spans="2:13">
      <c r="B173" s="51" t="s">
        <v>1721</v>
      </c>
      <c r="D173" s="849" t="s">
        <v>1577</v>
      </c>
      <c r="E173" s="8">
        <f>SUMIFS(제시PL!$C:$C,제시PL!$A:$A,정산표!$B173)</f>
        <v>3000000</v>
      </c>
      <c r="F173" s="2">
        <f>SUMIFS(별도_AJE_26.2Q!$G:$G,별도_AJE_26.2Q!$D:$D,정산표!$B173)</f>
        <v>0</v>
      </c>
      <c r="G173" s="2">
        <f>SUMIFS(별도_AJE_26.2Q!$H:$H,별도_AJE_26.2Q!$D:$D,정산표!$B173)</f>
        <v>0</v>
      </c>
      <c r="H173" s="2">
        <f>E173-F173+G173</f>
        <v>3000000</v>
      </c>
      <c r="J173" s="585">
        <v>3000000</v>
      </c>
      <c r="K173" s="582">
        <f>SUMIFS(별도_AJE_25!G:G,별도_AJE_25!$D:$D,정산표!$B173)</f>
        <v>0</v>
      </c>
      <c r="L173" s="582">
        <f>SUMIFS(별도_AJE_25!H:H,별도_AJE_25!$D:$D,정산표!$B173)</f>
        <v>0</v>
      </c>
      <c r="M173" s="582">
        <f>J173-K173+L173</f>
        <v>3000000</v>
      </c>
    </row>
    <row r="174" spans="2:13">
      <c r="B174" s="840"/>
      <c r="D174" s="16" t="s">
        <v>344</v>
      </c>
      <c r="E174" s="8">
        <f>SUMIFS(제시PL!$C:$C,제시PL!$A:$A,정산표!$B174)</f>
        <v>0</v>
      </c>
      <c r="F174" s="2">
        <f>SUMIFS(별도_AJE_26.2Q!$G:$G,별도_AJE_26.2Q!$D:$D,정산표!$B174)</f>
        <v>0</v>
      </c>
      <c r="G174" s="2">
        <f>SUMIFS(별도_AJE_26.2Q!$H:$H,별도_AJE_26.2Q!$D:$D,정산표!$B174)</f>
        <v>0</v>
      </c>
      <c r="H174" s="2">
        <f>E174-F174+G174</f>
        <v>0</v>
      </c>
      <c r="J174" s="585">
        <v>0</v>
      </c>
      <c r="K174" s="582">
        <f>SUMIFS(별도_AJE_25!G:G,별도_AJE_25!$D:$D,정산표!$B174)</f>
        <v>0</v>
      </c>
      <c r="L174" s="582">
        <f>SUMIFS(별도_AJE_25!H:H,별도_AJE_25!$D:$D,정산표!$B174)</f>
        <v>0</v>
      </c>
      <c r="M174" s="582">
        <f>J174-K174+L174</f>
        <v>0</v>
      </c>
    </row>
    <row r="175" spans="2:13">
      <c r="B175" s="661" t="s">
        <v>1725</v>
      </c>
      <c r="D175" s="16" t="s">
        <v>214</v>
      </c>
      <c r="E175" s="8">
        <f>SUMIFS(제시PL!$C:$C,제시PL!$A:$A,정산표!$B175)</f>
        <v>1202135</v>
      </c>
      <c r="F175" s="2">
        <f>SUMIFS(별도_AJE_26.2Q!$G:$G,별도_AJE_26.2Q!$D:$D,정산표!$B175)</f>
        <v>0</v>
      </c>
      <c r="G175" s="2">
        <f>SUMIFS(별도_AJE_26.2Q!$H:$H,별도_AJE_26.2Q!$D:$D,정산표!$B175)</f>
        <v>0</v>
      </c>
      <c r="H175" s="2">
        <f>E175-F175+G175</f>
        <v>1202135</v>
      </c>
      <c r="J175" s="585">
        <v>1054000</v>
      </c>
      <c r="K175" s="582">
        <f>SUMIFS(별도_AJE_25!G:G,별도_AJE_25!$D:$D,정산표!$B175)</f>
        <v>0</v>
      </c>
      <c r="L175" s="582">
        <f>SUMIFS(별도_AJE_25!H:H,별도_AJE_25!$D:$D,정산표!$B175)</f>
        <v>0</v>
      </c>
      <c r="M175" s="582">
        <f>J175-K175+L175</f>
        <v>1054000</v>
      </c>
    </row>
    <row r="176" spans="2:13">
      <c r="B176" s="840"/>
      <c r="D176" s="16" t="s">
        <v>708</v>
      </c>
      <c r="E176" s="8">
        <f>SUMIFS(제시PL!$C:$C,제시PL!$A:$A,정산표!$B176)</f>
        <v>0</v>
      </c>
      <c r="F176" s="2">
        <f>SUMIFS(별도_AJE_26.2Q!$G:$G,별도_AJE_26.2Q!$D:$D,정산표!$B176)</f>
        <v>0</v>
      </c>
      <c r="G176" s="2">
        <f>SUMIFS(별도_AJE_26.2Q!$H:$H,별도_AJE_26.2Q!$D:$D,정산표!$B176)</f>
        <v>0</v>
      </c>
      <c r="H176" s="2">
        <f>E176-F176+G176</f>
        <v>0</v>
      </c>
      <c r="J176" s="585">
        <v>0</v>
      </c>
      <c r="K176" s="582">
        <f>SUMIFS(별도_AJE_25!G:G,별도_AJE_25!$D:$D,정산표!$B176)</f>
        <v>0</v>
      </c>
      <c r="L176" s="582">
        <f>SUMIFS(별도_AJE_25!H:H,별도_AJE_25!$D:$D,정산표!$B176)</f>
        <v>0</v>
      </c>
      <c r="M176" s="582">
        <f>J176-K176+L176</f>
        <v>0</v>
      </c>
    </row>
    <row r="177" spans="2:13" ht="15.45" thickBot="1">
      <c r="B177" s="840" t="s">
        <v>899</v>
      </c>
      <c r="D177" s="16" t="s">
        <v>210</v>
      </c>
      <c r="E177" s="8">
        <f>SUMIFS(제시PL!$C:$C,제시PL!$A:$A,정산표!$B177)</f>
        <v>193864</v>
      </c>
      <c r="F177" s="2">
        <f>SUMIFS(별도_AJE_26.2Q!$G:$G,별도_AJE_26.2Q!$D:$D,정산표!$B177)</f>
        <v>0</v>
      </c>
      <c r="G177" s="2">
        <f>SUMIFS(별도_AJE_26.2Q!$H:$H,별도_AJE_26.2Q!$D:$D,정산표!$B177)</f>
        <v>0</v>
      </c>
      <c r="H177" s="2">
        <f>E177-F177+G177</f>
        <v>193864</v>
      </c>
      <c r="J177" s="585">
        <v>3903022</v>
      </c>
      <c r="K177" s="582">
        <f>SUMIFS(별도_AJE_25!G:G,별도_AJE_25!$D:$D,정산표!$B177)</f>
        <v>0</v>
      </c>
      <c r="L177" s="582">
        <f>SUMIFS(별도_AJE_25!H:H,별도_AJE_25!$D:$D,정산표!$B177)</f>
        <v>0</v>
      </c>
      <c r="M177" s="582">
        <f>J177-K177+L177</f>
        <v>3903022</v>
      </c>
    </row>
    <row r="178" spans="2:13" ht="15.45" thickBot="1">
      <c r="B178" s="840"/>
      <c r="D178" s="628" t="s">
        <v>114</v>
      </c>
      <c r="E178" s="631">
        <f>SUM(E179:E185)</f>
        <v>4825612</v>
      </c>
      <c r="F178" s="625"/>
      <c r="G178" s="625"/>
      <c r="H178" s="625">
        <f>SUM(H179:H185)</f>
        <v>4825612</v>
      </c>
      <c r="I178" s="629"/>
      <c r="J178" s="632">
        <f>SUM(J179:J185)</f>
        <v>3158006</v>
      </c>
      <c r="K178" s="624">
        <f>SUM(K179:K185)</f>
        <v>0</v>
      </c>
      <c r="L178" s="624">
        <f>SUM(L179:L185)</f>
        <v>0</v>
      </c>
      <c r="M178" s="624">
        <f>SUM(M179:M185)</f>
        <v>3158006</v>
      </c>
    </row>
    <row r="179" spans="2:13">
      <c r="B179" s="661" t="s">
        <v>1657</v>
      </c>
      <c r="D179" s="16" t="s">
        <v>1655</v>
      </c>
      <c r="E179" s="8">
        <f>SUMIFS(제시PL!$C:$C,제시PL!$A:$A,정산표!$B179)</f>
        <v>0</v>
      </c>
      <c r="F179" s="2">
        <f>SUMIFS(별도_AJE_26.2Q!$G:$G,별도_AJE_26.2Q!$D:$D,정산표!$B179)</f>
        <v>0</v>
      </c>
      <c r="G179" s="2">
        <f>SUMIFS(별도_AJE_26.2Q!$H:$H,별도_AJE_26.2Q!$D:$D,정산표!$B179)</f>
        <v>0</v>
      </c>
      <c r="H179" s="2">
        <f t="shared" ref="H179:H185" si="23">E179+F179-G179</f>
        <v>0</v>
      </c>
      <c r="J179" s="585">
        <v>0</v>
      </c>
      <c r="K179" s="582">
        <f>SUMIFS(별도_AJE_25!G:G,별도_AJE_25!$D:$D,정산표!$B179)</f>
        <v>0</v>
      </c>
      <c r="L179" s="582">
        <f>SUMIFS(별도_AJE_25!H:H,별도_AJE_25!$D:$D,정산표!$B179)</f>
        <v>0</v>
      </c>
      <c r="M179" s="582">
        <f t="shared" ref="M179:M185" si="24">J179+K179-L179</f>
        <v>0</v>
      </c>
    </row>
    <row r="180" spans="2:13">
      <c r="B180" s="840" t="s">
        <v>900</v>
      </c>
      <c r="D180" s="16" t="s">
        <v>706</v>
      </c>
      <c r="E180" s="8">
        <f>SUMIFS(제시PL!$C:$C,제시PL!$A:$A,정산표!$B180)</f>
        <v>0</v>
      </c>
      <c r="F180" s="2">
        <f>SUMIFS(별도_AJE_26.2Q!$G:$G,별도_AJE_26.2Q!$D:$D,정산표!$B180)</f>
        <v>0</v>
      </c>
      <c r="G180" s="2">
        <f>SUMIFS(별도_AJE_26.2Q!$H:$H,별도_AJE_26.2Q!$D:$D,정산표!$B180)</f>
        <v>0</v>
      </c>
      <c r="H180" s="2">
        <f t="shared" si="23"/>
        <v>0</v>
      </c>
      <c r="J180" s="585">
        <v>0</v>
      </c>
      <c r="K180" s="582">
        <f>SUMIFS(별도_AJE_25!G:G,별도_AJE_25!$D:$D,정산표!$B180)</f>
        <v>0</v>
      </c>
      <c r="L180" s="582">
        <f>SUMIFS(별도_AJE_25!H:H,별도_AJE_25!$D:$D,정산표!$B180)</f>
        <v>0</v>
      </c>
      <c r="M180" s="582">
        <f t="shared" si="24"/>
        <v>0</v>
      </c>
    </row>
    <row r="181" spans="2:13">
      <c r="B181" s="661" t="s">
        <v>1439</v>
      </c>
      <c r="D181" s="16" t="s">
        <v>1437</v>
      </c>
      <c r="E181" s="8">
        <f>SUMIFS(제시PL!$C:$C,제시PL!$A:$A,정산표!$B181)</f>
        <v>0</v>
      </c>
      <c r="F181" s="2">
        <f>SUMIFS(별도_AJE_26.2Q!$G:$G,별도_AJE_26.2Q!$D:$D,정산표!$B181)</f>
        <v>0</v>
      </c>
      <c r="G181" s="2">
        <f>SUMIFS(별도_AJE_26.2Q!$H:$H,별도_AJE_26.2Q!$D:$D,정산표!$B181)</f>
        <v>0</v>
      </c>
      <c r="H181" s="2">
        <f t="shared" si="23"/>
        <v>0</v>
      </c>
      <c r="J181" s="585">
        <v>0</v>
      </c>
      <c r="K181" s="582">
        <f>SUMIFS(별도_AJE_25!G:G,별도_AJE_25!$D:$D,정산표!$B181)</f>
        <v>0</v>
      </c>
      <c r="L181" s="582">
        <f>SUMIFS(별도_AJE_25!H:H,별도_AJE_25!$D:$D,정산표!$B181)</f>
        <v>0</v>
      </c>
      <c r="M181" s="582">
        <f t="shared" si="24"/>
        <v>0</v>
      </c>
    </row>
    <row r="182" spans="2:13">
      <c r="B182" s="840" t="s">
        <v>961</v>
      </c>
      <c r="D182" s="16" t="s">
        <v>661</v>
      </c>
      <c r="E182" s="8">
        <f>SUMIFS(제시PL!$C:$C,제시PL!$A:$A,정산표!$B182)</f>
        <v>4825402</v>
      </c>
      <c r="F182" s="2">
        <f>SUMIFS(별도_AJE_26.2Q!$G:$G,별도_AJE_26.2Q!$D:$D,정산표!$B182)</f>
        <v>0</v>
      </c>
      <c r="G182" s="2">
        <f>SUMIFS(별도_AJE_26.2Q!$H:$H,별도_AJE_26.2Q!$D:$D,정산표!$B182)</f>
        <v>0</v>
      </c>
      <c r="H182" s="2">
        <f t="shared" si="23"/>
        <v>4825402</v>
      </c>
      <c r="J182" s="585">
        <v>3098042</v>
      </c>
      <c r="K182" s="582">
        <f>SUMIFS(별도_AJE_25!G:G,별도_AJE_25!$D:$D,정산표!$B182)</f>
        <v>0</v>
      </c>
      <c r="L182" s="582">
        <f>SUMIFS(별도_AJE_25!H:H,별도_AJE_25!$D:$D,정산표!$B182)</f>
        <v>0</v>
      </c>
      <c r="M182" s="582">
        <f t="shared" si="24"/>
        <v>3098042</v>
      </c>
    </row>
    <row r="183" spans="2:13">
      <c r="B183" s="1043" t="s">
        <v>901</v>
      </c>
      <c r="D183" s="16" t="s">
        <v>211</v>
      </c>
      <c r="E183" s="8">
        <f>SUMIFS(제시PL!$C:$C,제시PL!$A:$A,정산표!$B183)</f>
        <v>0</v>
      </c>
      <c r="F183" s="2">
        <f>SUMIFS(별도_AJE_26.2Q!$G:$G,별도_AJE_26.2Q!$D:$D,정산표!$B183)</f>
        <v>0</v>
      </c>
      <c r="G183" s="2">
        <f>SUMIFS(별도_AJE_26.2Q!$H:$H,별도_AJE_26.2Q!$D:$D,정산표!$B183)</f>
        <v>0</v>
      </c>
      <c r="H183" s="2">
        <f t="shared" si="23"/>
        <v>0</v>
      </c>
      <c r="J183" s="585">
        <v>0</v>
      </c>
      <c r="K183" s="582">
        <f>SUMIFS(별도_AJE_25!G:G,별도_AJE_25!$D:$D,정산표!$B183)</f>
        <v>0</v>
      </c>
      <c r="L183" s="582">
        <f>SUMIFS(별도_AJE_25!H:H,별도_AJE_25!$D:$D,정산표!$B183)</f>
        <v>0</v>
      </c>
      <c r="M183" s="582">
        <f t="shared" si="24"/>
        <v>0</v>
      </c>
    </row>
    <row r="184" spans="2:13">
      <c r="B184" s="661" t="s">
        <v>1349</v>
      </c>
      <c r="D184" s="16" t="s">
        <v>1348</v>
      </c>
      <c r="E184" s="8">
        <f>SUMIFS(제시PL!$C:$C,제시PL!$A:$A,정산표!$B184)</f>
        <v>0</v>
      </c>
      <c r="F184" s="2">
        <f>SUMIFS(별도_AJE_26.2Q!$G:$G,별도_AJE_26.2Q!$D:$D,정산표!$B184)</f>
        <v>0</v>
      </c>
      <c r="G184" s="2">
        <f>SUMIFS(별도_AJE_26.2Q!$H:$H,별도_AJE_26.2Q!$D:$D,정산표!$B184)</f>
        <v>0</v>
      </c>
      <c r="H184" s="2">
        <f t="shared" ref="H184" si="25">E184+F184-G184</f>
        <v>0</v>
      </c>
      <c r="J184" s="585">
        <v>0</v>
      </c>
      <c r="K184" s="582">
        <f>SUMIFS(별도_AJE_25!G:G,별도_AJE_25!$D:$D,정산표!$B184)</f>
        <v>0</v>
      </c>
      <c r="L184" s="582">
        <f>SUMIFS(별도_AJE_25!H:H,별도_AJE_25!$D:$D,정산표!$B184)</f>
        <v>0</v>
      </c>
      <c r="M184" s="582">
        <f t="shared" ref="M184" si="26">J184+K184-L184</f>
        <v>0</v>
      </c>
    </row>
    <row r="185" spans="2:13" ht="15.45" thickBot="1">
      <c r="B185" s="840" t="s">
        <v>902</v>
      </c>
      <c r="D185" s="16" t="s">
        <v>26</v>
      </c>
      <c r="E185" s="8">
        <f>SUMIFS(제시PL!$C:$C,제시PL!$A:$A,정산표!$B185)</f>
        <v>210</v>
      </c>
      <c r="F185" s="2">
        <f>SUMIFS(별도_AJE_26.2Q!$G:$G,별도_AJE_26.2Q!$D:$D,정산표!$B185)</f>
        <v>0</v>
      </c>
      <c r="G185" s="2">
        <f>SUMIFS(별도_AJE_26.2Q!$H:$H,별도_AJE_26.2Q!$D:$D,정산표!$B185)</f>
        <v>0</v>
      </c>
      <c r="H185" s="2">
        <f t="shared" si="23"/>
        <v>210</v>
      </c>
      <c r="J185" s="585">
        <v>59964</v>
      </c>
      <c r="K185" s="582">
        <f>SUMIFS(별도_AJE_25!G:G,별도_AJE_25!$D:$D,정산표!$B185)</f>
        <v>0</v>
      </c>
      <c r="L185" s="582">
        <f>SUMIFS(별도_AJE_25!H:H,별도_AJE_25!$D:$D,정산표!$B185)</f>
        <v>0</v>
      </c>
      <c r="M185" s="582">
        <f t="shared" si="24"/>
        <v>59964</v>
      </c>
    </row>
    <row r="186" spans="2:13" ht="15.45" thickBot="1">
      <c r="B186" s="840"/>
      <c r="D186" s="628" t="s">
        <v>117</v>
      </c>
      <c r="E186" s="631">
        <f>SUM(E187:E189)</f>
        <v>169543833</v>
      </c>
      <c r="F186" s="625"/>
      <c r="G186" s="625"/>
      <c r="H186" s="625">
        <f>SUM(H187:H189)</f>
        <v>169543833</v>
      </c>
      <c r="I186" s="629"/>
      <c r="J186" s="632">
        <f>SUM(J187:J189)</f>
        <v>48493067</v>
      </c>
      <c r="K186" s="624">
        <f>SUM(K187:K189)</f>
        <v>0</v>
      </c>
      <c r="L186" s="624">
        <f>SUM(L187:L189)</f>
        <v>0</v>
      </c>
      <c r="M186" s="624">
        <f>SUM(M187:M189)</f>
        <v>48493067</v>
      </c>
    </row>
    <row r="187" spans="2:13">
      <c r="B187" s="840" t="s">
        <v>903</v>
      </c>
      <c r="D187" s="16" t="s">
        <v>140</v>
      </c>
      <c r="E187" s="8">
        <f>SUMIFS(제시PL!$C:$C,제시PL!$A:$A,정산표!$B187)</f>
        <v>22098561</v>
      </c>
      <c r="F187" s="2">
        <f>SUMIFS(별도_AJE_26.2Q!$G:$G,별도_AJE_26.2Q!$D:$D,정산표!$B187)</f>
        <v>0</v>
      </c>
      <c r="G187" s="2">
        <f>SUMIFS(별도_AJE_26.2Q!$H:$H,별도_AJE_26.2Q!$D:$D,정산표!$B187)</f>
        <v>0</v>
      </c>
      <c r="H187" s="2">
        <f>E187-F187+G187</f>
        <v>22098561</v>
      </c>
      <c r="J187" s="585">
        <v>28008260</v>
      </c>
      <c r="K187" s="582">
        <f>SUMIFS(별도_AJE_25!G:G,별도_AJE_25!$D:$D,정산표!$B187)</f>
        <v>0</v>
      </c>
      <c r="L187" s="582">
        <f>SUMIFS(별도_AJE_25!H:H,별도_AJE_25!$D:$D,정산표!$B187)</f>
        <v>0</v>
      </c>
      <c r="M187" s="582">
        <f>J187-K187+L187</f>
        <v>28008260</v>
      </c>
    </row>
    <row r="188" spans="2:13">
      <c r="B188" s="840" t="s">
        <v>904</v>
      </c>
      <c r="D188" s="16" t="s">
        <v>212</v>
      </c>
      <c r="E188" s="8">
        <f>SUMIFS(제시PL!$C:$C,제시PL!$A:$A,정산표!$B188)</f>
        <v>109841433</v>
      </c>
      <c r="F188" s="2">
        <f>SUMIFS(별도_AJE_26.2Q!$G:$G,별도_AJE_26.2Q!$D:$D,정산표!$B188)</f>
        <v>0</v>
      </c>
      <c r="G188" s="2">
        <f>SUMIFS(별도_AJE_26.2Q!$H:$H,별도_AJE_26.2Q!$D:$D,정산표!$B188)</f>
        <v>0</v>
      </c>
      <c r="H188" s="2">
        <f>E188-F188+G188</f>
        <v>109841433</v>
      </c>
      <c r="J188" s="585">
        <v>20481765</v>
      </c>
      <c r="K188" s="582">
        <f>SUMIFS(별도_AJE_25!G:G,별도_AJE_25!$D:$D,정산표!$B188)</f>
        <v>0</v>
      </c>
      <c r="L188" s="582">
        <f>SUMIFS(별도_AJE_25!H:H,별도_AJE_25!$D:$D,정산표!$B188)</f>
        <v>0</v>
      </c>
      <c r="M188" s="582">
        <f>J188-K188+L188</f>
        <v>20481765</v>
      </c>
    </row>
    <row r="189" spans="2:13" ht="15.45" thickBot="1">
      <c r="B189" s="840" t="s">
        <v>905</v>
      </c>
      <c r="D189" s="16" t="s">
        <v>113</v>
      </c>
      <c r="E189" s="8">
        <f>SUMIFS(제시PL!$C:$C,제시PL!$A:$A,정산표!$B189)</f>
        <v>37603839</v>
      </c>
      <c r="F189" s="2">
        <f>SUMIFS(별도_AJE_26.2Q!$G:$G,별도_AJE_26.2Q!$D:$D,정산표!$B189)</f>
        <v>0</v>
      </c>
      <c r="G189" s="2">
        <f>SUMIFS(별도_AJE_26.2Q!$H:$H,별도_AJE_26.2Q!$D:$D,정산표!$B189)</f>
        <v>0</v>
      </c>
      <c r="H189" s="2">
        <f>E189-F189+G189</f>
        <v>37603839</v>
      </c>
      <c r="J189" s="585">
        <v>3042</v>
      </c>
      <c r="K189" s="582">
        <f>SUMIFS(별도_AJE_25!G:G,별도_AJE_25!$D:$D,정산표!$B189)</f>
        <v>0</v>
      </c>
      <c r="L189" s="582">
        <f>SUMIFS(별도_AJE_25!H:H,별도_AJE_25!$D:$D,정산표!$B189)</f>
        <v>0</v>
      </c>
      <c r="M189" s="582">
        <f>J189-K189+L189</f>
        <v>3042</v>
      </c>
    </row>
    <row r="190" spans="2:13" ht="15.45" thickBot="1">
      <c r="B190" s="840"/>
      <c r="D190" s="628" t="s">
        <v>118</v>
      </c>
      <c r="E190" s="631">
        <f>SUM(E191:E194)</f>
        <v>262057894</v>
      </c>
      <c r="F190" s="625"/>
      <c r="G190" s="625"/>
      <c r="H190" s="625">
        <f>SUM(H191:H194)</f>
        <v>271149913</v>
      </c>
      <c r="I190" s="629"/>
      <c r="J190" s="632">
        <f>SUM(J191:J194)</f>
        <v>141374675</v>
      </c>
      <c r="K190" s="624">
        <f>SUM(K191:K194)</f>
        <v>0</v>
      </c>
      <c r="L190" s="624">
        <f>SUM(L191:L194)</f>
        <v>0</v>
      </c>
      <c r="M190" s="624">
        <f>SUM(M191:M194)</f>
        <v>141374675</v>
      </c>
    </row>
    <row r="191" spans="2:13">
      <c r="B191" s="840" t="s">
        <v>906</v>
      </c>
      <c r="D191" s="16" t="s">
        <v>25</v>
      </c>
      <c r="E191" s="8">
        <f>SUMIFS(제시PL!$C:$C,제시PL!$A:$A,정산표!$B191)</f>
        <v>89862932</v>
      </c>
      <c r="F191" s="2">
        <f>SUMIFS(별도_AJE_26.2Q!$G:$G,별도_AJE_26.2Q!$D:$D,정산표!$B191)</f>
        <v>9092019</v>
      </c>
      <c r="G191" s="2">
        <f>SUMIFS(별도_AJE_26.2Q!$H:$H,별도_AJE_26.2Q!$D:$D,정산표!$B191)</f>
        <v>0</v>
      </c>
      <c r="H191" s="2">
        <f>E191+F191-G191</f>
        <v>98954951</v>
      </c>
      <c r="J191" s="585">
        <v>43244353</v>
      </c>
      <c r="K191" s="582">
        <f>SUMIFS(별도_AJE_25!G:G,별도_AJE_25!$D:$D,정산표!$B191)</f>
        <v>0</v>
      </c>
      <c r="L191" s="582">
        <f>SUMIFS(별도_AJE_25!H:H,별도_AJE_25!$D:$D,정산표!$B191)</f>
        <v>0</v>
      </c>
      <c r="M191" s="582">
        <f>J191+K191-L191</f>
        <v>43244353</v>
      </c>
    </row>
    <row r="192" spans="2:13">
      <c r="B192" s="661" t="s">
        <v>1987</v>
      </c>
      <c r="D192" s="16" t="s">
        <v>1985</v>
      </c>
      <c r="E192" s="8">
        <f>SUMIFS(제시PL!$C:$C,제시PL!$A:$A,정산표!$B192)</f>
        <v>0</v>
      </c>
      <c r="F192" s="2">
        <f>SUMIFS(별도_AJE_26.2Q!$G:$G,별도_AJE_26.2Q!$D:$D,정산표!$B192)</f>
        <v>0</v>
      </c>
      <c r="G192" s="2">
        <f>SUMIFS(별도_AJE_26.2Q!$H:$H,별도_AJE_26.2Q!$D:$D,정산표!$B192)</f>
        <v>0</v>
      </c>
      <c r="H192" s="2">
        <f>E192+F192-G192</f>
        <v>0</v>
      </c>
      <c r="J192" s="585">
        <v>0</v>
      </c>
      <c r="K192" s="582">
        <f>SUMIFS(별도_AJE_25!G:G,별도_AJE_25!$D:$D,정산표!$B192)</f>
        <v>0</v>
      </c>
      <c r="L192" s="582">
        <f>SUMIFS(별도_AJE_25!H:H,별도_AJE_25!$D:$D,정산표!$B192)</f>
        <v>0</v>
      </c>
      <c r="M192" s="582">
        <f>J192+K192-L192</f>
        <v>0</v>
      </c>
    </row>
    <row r="193" spans="2:13">
      <c r="B193" s="840" t="s">
        <v>907</v>
      </c>
      <c r="D193" s="16" t="s">
        <v>115</v>
      </c>
      <c r="E193" s="8">
        <f>SUMIFS(제시PL!$C:$C,제시PL!$A:$A,정산표!$B193)</f>
        <v>172194962</v>
      </c>
      <c r="F193" s="2">
        <f>SUMIFS(별도_AJE_26.2Q!$G:$G,별도_AJE_26.2Q!$D:$D,정산표!$B193)</f>
        <v>0</v>
      </c>
      <c r="G193" s="2">
        <f>SUMIFS(별도_AJE_26.2Q!$H:$H,별도_AJE_26.2Q!$D:$D,정산표!$B193)</f>
        <v>0</v>
      </c>
      <c r="H193" s="2">
        <f>E193+F193-G193</f>
        <v>172194962</v>
      </c>
      <c r="J193" s="585">
        <v>40925617</v>
      </c>
      <c r="K193" s="582">
        <f>SUMIFS(별도_AJE_25!G:G,별도_AJE_25!$D:$D,정산표!$B193)</f>
        <v>0</v>
      </c>
      <c r="L193" s="582">
        <f>SUMIFS(별도_AJE_25!H:H,별도_AJE_25!$D:$D,정산표!$B193)</f>
        <v>0</v>
      </c>
      <c r="M193" s="582">
        <f>J193+K193-L193</f>
        <v>40925617</v>
      </c>
    </row>
    <row r="194" spans="2:13" ht="15.45" thickBot="1">
      <c r="B194" s="840" t="s">
        <v>908</v>
      </c>
      <c r="D194" s="16" t="s">
        <v>116</v>
      </c>
      <c r="E194" s="8">
        <f>SUMIFS(제시PL!$C:$C,제시PL!$A:$A,정산표!$B194)</f>
        <v>0</v>
      </c>
      <c r="F194" s="2">
        <f>SUMIFS(별도_AJE_26.2Q!$G:$G,별도_AJE_26.2Q!$D:$D,정산표!$B194)</f>
        <v>0</v>
      </c>
      <c r="G194" s="2">
        <f>SUMIFS(별도_AJE_26.2Q!$H:$H,별도_AJE_26.2Q!$D:$D,정산표!$B194)</f>
        <v>0</v>
      </c>
      <c r="H194" s="2">
        <f>E194+F194-G194</f>
        <v>0</v>
      </c>
      <c r="J194" s="585">
        <v>57204705</v>
      </c>
      <c r="K194" s="582">
        <f>SUMIFS(별도_AJE_25!G:G,별도_AJE_25!$D:$D,정산표!$B194)</f>
        <v>0</v>
      </c>
      <c r="L194" s="582">
        <f>SUMIFS(별도_AJE_25!H:H,별도_AJE_25!$D:$D,정산표!$B194)</f>
        <v>0</v>
      </c>
      <c r="M194" s="582">
        <f>J194+K194-L194</f>
        <v>57204705</v>
      </c>
    </row>
    <row r="195" spans="2:13" ht="15.45" thickBot="1">
      <c r="B195" s="840"/>
      <c r="D195" s="628" t="s">
        <v>91</v>
      </c>
      <c r="E195" s="631">
        <f>E171+E172-E178+E186-E190</f>
        <v>-779757791</v>
      </c>
      <c r="F195" s="625"/>
      <c r="G195" s="625"/>
      <c r="H195" s="625">
        <f>H171+H172-H178+H186-H190</f>
        <v>-788849810</v>
      </c>
      <c r="I195" s="629"/>
      <c r="J195" s="632">
        <f>J171+J172-J178+J186-J190</f>
        <v>1323632141</v>
      </c>
      <c r="K195" s="624"/>
      <c r="L195" s="624"/>
      <c r="M195" s="624">
        <f>M171+M172-M178+M186-M190</f>
        <v>1323632141</v>
      </c>
    </row>
    <row r="196" spans="2:13" ht="15.45" thickBot="1">
      <c r="B196" s="840" t="s">
        <v>909</v>
      </c>
      <c r="D196" s="2" t="s">
        <v>27</v>
      </c>
      <c r="E196" s="8">
        <f>SUMIFS(제시PL!$C:$C,제시PL!$A:$A,정산표!$B196)</f>
        <v>0</v>
      </c>
      <c r="F196" s="2">
        <f>SUMIFS(별도_AJE_26.2Q!$G:$G,별도_AJE_26.2Q!$D:$D,정산표!$B196)</f>
        <v>0</v>
      </c>
      <c r="G196" s="2">
        <f>SUMIFS(별도_AJE_26.2Q!$H:$H,별도_AJE_26.2Q!$D:$D,정산표!$B196)</f>
        <v>0</v>
      </c>
      <c r="H196" s="2">
        <f>E196+F196-G196</f>
        <v>0</v>
      </c>
      <c r="J196" s="585">
        <v>0</v>
      </c>
      <c r="K196" s="582">
        <f>SUMIFS(별도_AJE_25!G:G,별도_AJE_25!$D:$D,정산표!$B196)</f>
        <v>0</v>
      </c>
      <c r="L196" s="582">
        <f>SUMIFS(별도_AJE_25!H:H,별도_AJE_25!$D:$D,정산표!$B196)</f>
        <v>0</v>
      </c>
      <c r="M196" s="582">
        <f>J196+K196-L196</f>
        <v>0</v>
      </c>
    </row>
    <row r="197" spans="2:13" ht="15.45" thickBot="1">
      <c r="B197" s="840"/>
      <c r="D197" s="628" t="s">
        <v>30</v>
      </c>
      <c r="E197" s="631">
        <f>E195-E196</f>
        <v>-779757791</v>
      </c>
      <c r="F197" s="625"/>
      <c r="G197" s="625"/>
      <c r="H197" s="625">
        <f>H195-H196</f>
        <v>-788849810</v>
      </c>
      <c r="I197" s="629"/>
      <c r="J197" s="632">
        <f>J195-J196</f>
        <v>1323632141</v>
      </c>
      <c r="K197" s="624"/>
      <c r="L197" s="624"/>
      <c r="M197" s="624">
        <f>M195-M196</f>
        <v>1323632141</v>
      </c>
    </row>
    <row r="198" spans="2:13" ht="15.45" thickBot="1">
      <c r="B198" s="840"/>
      <c r="D198" s="628" t="s">
        <v>29</v>
      </c>
      <c r="E198" s="631">
        <f>SUM(E199:E200)</f>
        <v>0</v>
      </c>
      <c r="F198" s="625"/>
      <c r="G198" s="625"/>
      <c r="H198" s="625">
        <f>SUM(H199:H200)</f>
        <v>0</v>
      </c>
      <c r="I198" s="629"/>
      <c r="J198" s="632">
        <f>SUM(J199:J200)</f>
        <v>0</v>
      </c>
      <c r="K198" s="624"/>
      <c r="L198" s="624"/>
      <c r="M198" s="624">
        <f>SUM(M199:M200)</f>
        <v>0</v>
      </c>
    </row>
    <row r="199" spans="2:13">
      <c r="B199" s="661" t="s">
        <v>970</v>
      </c>
      <c r="D199" s="2" t="s">
        <v>36</v>
      </c>
      <c r="E199" s="851">
        <f>제시BS!I90</f>
        <v>0</v>
      </c>
      <c r="F199" s="2">
        <f>SUMIFS(별도_AJE_26.2Q!$G:$G,별도_AJE_26.2Q!$D:$D,정산표!$B199)</f>
        <v>0</v>
      </c>
      <c r="G199" s="2">
        <f>SUMIFS(별도_AJE_26.2Q!$H:$H,별도_AJE_26.2Q!$D:$D,정산표!$B199)</f>
        <v>0</v>
      </c>
      <c r="H199" s="2">
        <f>E199-F199+G199</f>
        <v>0</v>
      </c>
      <c r="J199" s="585">
        <v>0</v>
      </c>
      <c r="K199" s="582">
        <f>SUMIFS(별도_AJE_25!G:G,별도_AJE_25!$D:$D,정산표!$B199)</f>
        <v>0</v>
      </c>
      <c r="L199" s="582">
        <f>SUMIFS(별도_AJE_25!H:H,별도_AJE_25!$D:$D,정산표!$B199)</f>
        <v>0</v>
      </c>
      <c r="M199" s="582">
        <f>J199-K199+L199</f>
        <v>0</v>
      </c>
    </row>
    <row r="200" spans="2:13" ht="15.45" thickBot="1">
      <c r="B200" s="840"/>
      <c r="D200" s="2" t="s">
        <v>101</v>
      </c>
      <c r="E200" s="8">
        <v>0</v>
      </c>
      <c r="F200" s="2">
        <f>SUMIFS(별도_AJE_26.2Q!$G:$G,별도_AJE_26.2Q!$D:$D,정산표!$B200)</f>
        <v>0</v>
      </c>
      <c r="G200" s="2">
        <f>SUMIFS(별도_AJE_26.2Q!$H:$H,별도_AJE_26.2Q!$D:$D,정산표!$B200)</f>
        <v>0</v>
      </c>
      <c r="H200" s="2">
        <f>E200-F200+G200</f>
        <v>0</v>
      </c>
      <c r="J200" s="585">
        <v>0</v>
      </c>
      <c r="K200" s="582">
        <f>SUMIFS(별도_AJE_25!G:G,별도_AJE_25!$D:$D,정산표!$B200)</f>
        <v>0</v>
      </c>
      <c r="L200" s="582">
        <f>SUMIFS(별도_AJE_25!H:H,별도_AJE_25!$D:$D,정산표!$B200)</f>
        <v>0</v>
      </c>
      <c r="M200" s="582">
        <f>J200-K200+L200</f>
        <v>0</v>
      </c>
    </row>
    <row r="201" spans="2:13" ht="15.45" thickBot="1">
      <c r="B201" s="842"/>
      <c r="D201" s="628" t="s">
        <v>92</v>
      </c>
      <c r="E201" s="631">
        <f>E197+E198</f>
        <v>-779757791</v>
      </c>
      <c r="F201" s="625"/>
      <c r="G201" s="625"/>
      <c r="H201" s="625">
        <f>H197+H198</f>
        <v>-788849810</v>
      </c>
      <c r="I201" s="629"/>
      <c r="J201" s="632">
        <f>J197+J198</f>
        <v>1323632141</v>
      </c>
      <c r="K201" s="624"/>
      <c r="L201" s="624"/>
      <c r="M201" s="624">
        <f>M197+M198</f>
        <v>1323632141</v>
      </c>
    </row>
    <row r="202" spans="2:13">
      <c r="E202" s="36" t="b">
        <f>E197=제시PL!D85</f>
        <v>1</v>
      </c>
      <c r="J202" s="2">
        <v>1323632141</v>
      </c>
      <c r="K202" s="39"/>
      <c r="L202" s="39"/>
      <c r="M202" s="39"/>
    </row>
    <row r="203" spans="2:13">
      <c r="D203" s="8"/>
      <c r="E203" s="36"/>
      <c r="F203" s="35"/>
      <c r="J203" s="2" t="b">
        <f>J202=J201</f>
        <v>1</v>
      </c>
    </row>
    <row r="206" spans="2:13" ht="15.45" thickBot="1">
      <c r="E206" s="617">
        <f>E111</f>
        <v>46203</v>
      </c>
      <c r="F206" s="618"/>
      <c r="G206" s="618"/>
      <c r="H206" s="618"/>
      <c r="J206" s="617">
        <f>J111</f>
        <v>45838</v>
      </c>
      <c r="K206" s="618"/>
      <c r="L206" s="618"/>
      <c r="M206" s="618"/>
    </row>
    <row r="207" spans="2:13" ht="15.45" thickBot="1">
      <c r="B207" s="843"/>
      <c r="D207" s="672" t="s">
        <v>0</v>
      </c>
      <c r="E207" s="673" t="s">
        <v>1264</v>
      </c>
      <c r="F207" s="672" t="s">
        <v>1</v>
      </c>
      <c r="G207" s="672" t="s">
        <v>2</v>
      </c>
      <c r="H207" s="673" t="s">
        <v>1265</v>
      </c>
      <c r="J207" s="674" t="s">
        <v>1269</v>
      </c>
      <c r="K207" s="674" t="s">
        <v>1</v>
      </c>
      <c r="L207" s="674" t="s">
        <v>2</v>
      </c>
      <c r="M207" s="674" t="s">
        <v>1270</v>
      </c>
    </row>
    <row r="208" spans="2:13">
      <c r="B208" s="661" t="s">
        <v>1407</v>
      </c>
      <c r="D208" s="675" t="s">
        <v>1411</v>
      </c>
      <c r="E208" s="676">
        <f>E209+E210+E211-E212+E213-E214-E215</f>
        <v>1269271841</v>
      </c>
      <c r="F208" s="676">
        <f>F209+F210+F211-F212+F213-F214-F215</f>
        <v>0</v>
      </c>
      <c r="G208" s="676">
        <f>G209+G210+G211-G212+G213-G214-G215</f>
        <v>0</v>
      </c>
      <c r="H208" s="676">
        <f>H209+H210+H211-H212+H213-H214-H215</f>
        <v>1269271841</v>
      </c>
      <c r="I208" s="677"/>
      <c r="J208" s="676">
        <f>J209+J210+J211-J212+J213-J214-J215</f>
        <v>1561539837</v>
      </c>
      <c r="K208" s="676">
        <f>K209+K210+K211-K212+K213-K214-K215</f>
        <v>0</v>
      </c>
      <c r="L208" s="676">
        <f>L209+L210+L211-L212+L213-L214-L215</f>
        <v>0</v>
      </c>
      <c r="M208" s="676">
        <f>M209+M210+M211-M212+M213-M214-M215</f>
        <v>1561539837</v>
      </c>
    </row>
    <row r="209" spans="2:13">
      <c r="B209" s="661"/>
      <c r="D209" s="16" t="s">
        <v>1393</v>
      </c>
      <c r="E209" s="52">
        <f>원가!C7</f>
        <v>354984836</v>
      </c>
      <c r="F209" s="2">
        <f>SUMIFS(별도_AJE_26.2Q!$G:$G,별도_AJE_26.2Q!$D:$D,정산표!$B209)</f>
        <v>0</v>
      </c>
      <c r="G209" s="2">
        <f>SUMIFS(별도_AJE_26.2Q!$H:$H,별도_AJE_26.2Q!$D:$D,정산표!$B209)</f>
        <v>0</v>
      </c>
      <c r="H209" s="582">
        <f>E209+F209-G209</f>
        <v>354984836</v>
      </c>
      <c r="J209" s="585">
        <v>384811784</v>
      </c>
      <c r="K209" s="582">
        <f>SUMIFS(별도_AJE_25!G:G,별도_AJE_25!$D:$D,정산표!$B209)</f>
        <v>0</v>
      </c>
      <c r="L209" s="582">
        <f>SUMIFS(별도_AJE_25!H:H,별도_AJE_25!$D:$D,정산표!$B209)</f>
        <v>0</v>
      </c>
      <c r="M209" s="582">
        <f>J209+K209-L209</f>
        <v>384811784</v>
      </c>
    </row>
    <row r="210" spans="2:13">
      <c r="B210" s="661"/>
      <c r="D210" s="16" t="s">
        <v>1394</v>
      </c>
      <c r="E210" s="52">
        <f>원가!C8</f>
        <v>1394047472</v>
      </c>
      <c r="F210" s="2">
        <f>SUMIFS(별도_AJE_26.2Q!$G:$G,별도_AJE_26.2Q!$D:$D,정산표!$B210)</f>
        <v>0</v>
      </c>
      <c r="G210" s="2">
        <f>SUMIFS(별도_AJE_26.2Q!$H:$H,별도_AJE_26.2Q!$D:$D,정산표!$B210)</f>
        <v>0</v>
      </c>
      <c r="H210" s="582">
        <f t="shared" ref="H210:H215" si="27">E210+F210-G210</f>
        <v>1394047472</v>
      </c>
      <c r="J210" s="585">
        <v>1582848620</v>
      </c>
      <c r="K210" s="582">
        <f>SUMIFS(별도_AJE_25!G:G,별도_AJE_25!$D:$D,정산표!$B210)</f>
        <v>0</v>
      </c>
      <c r="L210" s="582">
        <f>SUMIFS(별도_AJE_25!H:H,별도_AJE_25!$D:$D,정산표!$B210)</f>
        <v>0</v>
      </c>
      <c r="M210" s="582">
        <f t="shared" ref="M210:M215" si="28">J210+K210-L210</f>
        <v>1582848620</v>
      </c>
    </row>
    <row r="211" spans="2:13">
      <c r="B211" s="661" t="s">
        <v>1573</v>
      </c>
      <c r="D211" s="16" t="s">
        <v>1395</v>
      </c>
      <c r="E211" s="52">
        <f>원가!C9</f>
        <v>189114028</v>
      </c>
      <c r="F211" s="2">
        <f>SUMIFS(별도_AJE_26.2Q!$G:$G,별도_AJE_26.2Q!$D:$D,정산표!$B211)</f>
        <v>0</v>
      </c>
      <c r="G211" s="2">
        <f>SUMIFS(별도_AJE_26.2Q!$H:$H,별도_AJE_26.2Q!$D:$D,정산표!$B211)</f>
        <v>0</v>
      </c>
      <c r="H211" s="582">
        <f t="shared" si="27"/>
        <v>189114028</v>
      </c>
      <c r="J211" s="585">
        <v>5248240</v>
      </c>
      <c r="K211" s="582">
        <f>SUMIFS(별도_AJE_25!G:G,별도_AJE_25!$D:$D,정산표!$B211)</f>
        <v>0</v>
      </c>
      <c r="L211" s="582">
        <f>SUMIFS(별도_AJE_25!H:H,별도_AJE_25!$D:$D,정산표!$B211)</f>
        <v>0</v>
      </c>
      <c r="M211" s="582">
        <f t="shared" si="28"/>
        <v>5248240</v>
      </c>
    </row>
    <row r="212" spans="2:13">
      <c r="B212" s="661"/>
      <c r="D212" s="16" t="s">
        <v>1397</v>
      </c>
      <c r="E212" s="52">
        <f>원가!C10</f>
        <v>214240828</v>
      </c>
      <c r="F212" s="2">
        <f>SUMIFS(별도_AJE_26.2Q!$G:$G,별도_AJE_26.2Q!$D:$D,정산표!$B212)</f>
        <v>0</v>
      </c>
      <c r="G212" s="2">
        <f>SUMIFS(별도_AJE_26.2Q!$H:$H,별도_AJE_26.2Q!$D:$D,정산표!$B212)</f>
        <v>0</v>
      </c>
      <c r="H212" s="582">
        <f t="shared" si="27"/>
        <v>214240828</v>
      </c>
      <c r="J212" s="585">
        <v>26978454</v>
      </c>
      <c r="K212" s="582">
        <f>SUMIFS(별도_AJE_25!G:G,별도_AJE_25!$D:$D,정산표!$B212)</f>
        <v>0</v>
      </c>
      <c r="L212" s="582">
        <f>SUMIFS(별도_AJE_25!H:H,별도_AJE_25!$D:$D,정산표!$B212)</f>
        <v>0</v>
      </c>
      <c r="M212" s="582">
        <f t="shared" si="28"/>
        <v>26978454</v>
      </c>
    </row>
    <row r="213" spans="2:13">
      <c r="B213" s="661"/>
      <c r="D213" s="16" t="s">
        <v>1399</v>
      </c>
      <c r="E213" s="52">
        <f>원가!C11</f>
        <v>10217848</v>
      </c>
      <c r="F213" s="2">
        <f>SUMIFS(별도_AJE_26.2Q!$G:$G,별도_AJE_26.2Q!$D:$D,정산표!$B213)</f>
        <v>0</v>
      </c>
      <c r="G213" s="2">
        <f>SUMIFS(별도_AJE_26.2Q!$H:$H,별도_AJE_26.2Q!$D:$D,정산표!$B213)</f>
        <v>0</v>
      </c>
      <c r="H213" s="582">
        <f t="shared" si="27"/>
        <v>10217848</v>
      </c>
      <c r="J213" s="585">
        <v>4694588</v>
      </c>
      <c r="K213" s="582">
        <f>SUMIFS(별도_AJE_25!G:G,별도_AJE_25!$D:$D,정산표!$B213)</f>
        <v>0</v>
      </c>
      <c r="L213" s="582">
        <f>SUMIFS(별도_AJE_25!H:H,별도_AJE_25!$D:$D,정산표!$B213)</f>
        <v>0</v>
      </c>
      <c r="M213" s="582">
        <f t="shared" si="28"/>
        <v>4694588</v>
      </c>
    </row>
    <row r="214" spans="2:13">
      <c r="B214" s="661"/>
      <c r="D214" s="16" t="s">
        <v>1400</v>
      </c>
      <c r="E214" s="52">
        <f>원가!C12</f>
        <v>0</v>
      </c>
      <c r="F214" s="2">
        <f>SUMIFS(별도_AJE_26.2Q!$G:$G,별도_AJE_26.2Q!$D:$D,정산표!$B214)</f>
        <v>0</v>
      </c>
      <c r="G214" s="2">
        <f>SUMIFS(별도_AJE_26.2Q!$H:$H,별도_AJE_26.2Q!$D:$D,정산표!$B214)</f>
        <v>0</v>
      </c>
      <c r="H214" s="582">
        <f t="shared" si="27"/>
        <v>0</v>
      </c>
      <c r="J214" s="585">
        <v>0</v>
      </c>
      <c r="K214" s="582">
        <f>SUMIFS(별도_AJE_25!G:G,별도_AJE_25!$D:$D,정산표!$B214)</f>
        <v>0</v>
      </c>
      <c r="L214" s="582">
        <f>SUMIFS(별도_AJE_25!H:H,별도_AJE_25!$D:$D,정산표!$B214)</f>
        <v>0</v>
      </c>
      <c r="M214" s="582">
        <f t="shared" si="28"/>
        <v>0</v>
      </c>
    </row>
    <row r="215" spans="2:13">
      <c r="B215" s="661"/>
      <c r="D215" s="16" t="s">
        <v>1401</v>
      </c>
      <c r="E215" s="52">
        <f>원가!C13</f>
        <v>464851515</v>
      </c>
      <c r="F215" s="2">
        <f>SUMIFS(별도_AJE_26.2Q!$G:$G,별도_AJE_26.2Q!$D:$D,정산표!$B215)</f>
        <v>0</v>
      </c>
      <c r="G215" s="2">
        <f>SUMIFS(별도_AJE_26.2Q!$H:$H,별도_AJE_26.2Q!$D:$D,정산표!$B215)</f>
        <v>0</v>
      </c>
      <c r="H215" s="582">
        <f t="shared" si="27"/>
        <v>464851515</v>
      </c>
      <c r="J215" s="585">
        <v>389084941</v>
      </c>
      <c r="K215" s="582">
        <f>SUMIFS(별도_AJE_25!G:G,별도_AJE_25!$D:$D,정산표!$B215)</f>
        <v>0</v>
      </c>
      <c r="L215" s="582">
        <f>SUMIFS(별도_AJE_25!H:H,별도_AJE_25!$D:$D,정산표!$B215)</f>
        <v>0</v>
      </c>
      <c r="M215" s="582">
        <f t="shared" si="28"/>
        <v>389084941</v>
      </c>
    </row>
    <row r="216" spans="2:13">
      <c r="B216" s="661" t="s">
        <v>1409</v>
      </c>
      <c r="D216" s="678" t="s">
        <v>1406</v>
      </c>
      <c r="E216" s="681">
        <f>E217+E218-E219+E220-E221</f>
        <v>41376041</v>
      </c>
      <c r="F216" s="681">
        <f>F217+F218-F219+F220-F221</f>
        <v>0</v>
      </c>
      <c r="G216" s="681">
        <f>G217+G218-G219+G220-G221</f>
        <v>0</v>
      </c>
      <c r="H216" s="681">
        <f>H217+H218-H219+H220-H221</f>
        <v>41376041</v>
      </c>
      <c r="J216" s="681">
        <f>J217+J218-J219+J220-J221</f>
        <v>29173746</v>
      </c>
      <c r="K216" s="681">
        <f>K217+K218-K219+K220-K221</f>
        <v>0</v>
      </c>
      <c r="L216" s="681">
        <f>L217+L218-L219+L220-L221</f>
        <v>0</v>
      </c>
      <c r="M216" s="681">
        <f>M217+M218-M219+M220-M221</f>
        <v>29173746</v>
      </c>
    </row>
    <row r="217" spans="2:13">
      <c r="B217" s="661"/>
      <c r="D217" s="16" t="s">
        <v>1402</v>
      </c>
      <c r="E217" s="52">
        <f>원가!C16</f>
        <v>49267189</v>
      </c>
      <c r="F217" s="2">
        <f>SUMIFS(별도_AJE_26.2Q!$G:$G,별도_AJE_26.2Q!$D:$D,정산표!$B217)</f>
        <v>0</v>
      </c>
      <c r="G217" s="2">
        <f>SUMIFS(별도_AJE_26.2Q!$H:$H,별도_AJE_26.2Q!$D:$D,정산표!$B217)</f>
        <v>0</v>
      </c>
      <c r="H217" s="2">
        <f>E217+F217-G217</f>
        <v>49267189</v>
      </c>
      <c r="J217" s="52">
        <v>29982360</v>
      </c>
      <c r="K217" s="582">
        <f>SUMIFS(별도_AJE_25!G:G,별도_AJE_25!$D:$D,정산표!$B217)</f>
        <v>0</v>
      </c>
      <c r="L217" s="582">
        <f>SUMIFS(별도_AJE_25!H:H,별도_AJE_25!$D:$D,정산표!$B217)</f>
        <v>0</v>
      </c>
      <c r="M217" s="582">
        <f>J217+K217-L217</f>
        <v>29982360</v>
      </c>
    </row>
    <row r="218" spans="2:13">
      <c r="B218" s="661"/>
      <c r="D218" s="16" t="s">
        <v>1403</v>
      </c>
      <c r="E218" s="52">
        <f>원가!C17</f>
        <v>36192605</v>
      </c>
      <c r="F218" s="2">
        <f>SUMIFS(별도_AJE_26.2Q!$G:$G,별도_AJE_26.2Q!$D:$D,정산표!$B218)</f>
        <v>0</v>
      </c>
      <c r="G218" s="2">
        <f>SUMIFS(별도_AJE_26.2Q!$H:$H,별도_AJE_26.2Q!$D:$D,정산표!$B218)</f>
        <v>0</v>
      </c>
      <c r="H218" s="2">
        <f t="shared" ref="H218:H221" si="29">E218+F218-G218</f>
        <v>36192605</v>
      </c>
      <c r="J218" s="52">
        <v>36658923</v>
      </c>
      <c r="K218" s="582">
        <f>SUMIFS(별도_AJE_25!G:G,별도_AJE_25!$D:$D,정산표!$B218)</f>
        <v>0</v>
      </c>
      <c r="L218" s="582">
        <f>SUMIFS(별도_AJE_25!H:H,별도_AJE_25!$D:$D,정산표!$B218)</f>
        <v>0</v>
      </c>
      <c r="M218" s="582">
        <f t="shared" ref="M218:M221" si="30">J218+K218-L218</f>
        <v>36658923</v>
      </c>
    </row>
    <row r="219" spans="2:13">
      <c r="B219" s="661"/>
      <c r="D219" s="16" t="s">
        <v>1396</v>
      </c>
      <c r="E219" s="52">
        <f>원가!C18</f>
        <v>13918317</v>
      </c>
      <c r="F219" s="2">
        <f>SUMIFS(별도_AJE_26.2Q!$G:$G,별도_AJE_26.2Q!$D:$D,정산표!$B219)</f>
        <v>0</v>
      </c>
      <c r="G219" s="2">
        <f>SUMIFS(별도_AJE_26.2Q!$H:$H,별도_AJE_26.2Q!$D:$D,정산표!$B219)</f>
        <v>0</v>
      </c>
      <c r="H219" s="2">
        <f t="shared" si="29"/>
        <v>13918317</v>
      </c>
      <c r="J219" s="52">
        <v>8308063</v>
      </c>
      <c r="K219" s="582">
        <f>SUMIFS(별도_AJE_25!G:G,별도_AJE_25!$D:$D,정산표!$B219)</f>
        <v>0</v>
      </c>
      <c r="L219" s="582">
        <f>SUMIFS(별도_AJE_25!H:H,별도_AJE_25!$D:$D,정산표!$B219)</f>
        <v>0</v>
      </c>
      <c r="M219" s="582">
        <f t="shared" si="30"/>
        <v>8308063</v>
      </c>
    </row>
    <row r="220" spans="2:13">
      <c r="B220" s="661"/>
      <c r="D220" s="16" t="s">
        <v>1398</v>
      </c>
      <c r="E220" s="1059">
        <f>원가!C19-원가!C20</f>
        <v>18239636</v>
      </c>
      <c r="F220" s="2">
        <f>SUMIFS(별도_AJE_26.2Q!$G:$G,별도_AJE_26.2Q!$D:$D,정산표!$B220)</f>
        <v>0</v>
      </c>
      <c r="G220" s="2">
        <f>SUMIFS(별도_AJE_26.2Q!$H:$H,별도_AJE_26.2Q!$D:$D,정산표!$B220)</f>
        <v>0</v>
      </c>
      <c r="H220" s="2">
        <f t="shared" si="29"/>
        <v>18239636</v>
      </c>
      <c r="J220" s="52">
        <v>1897177</v>
      </c>
      <c r="K220" s="582">
        <f>SUMIFS(별도_AJE_25!G:G,별도_AJE_25!$D:$D,정산표!$B220)</f>
        <v>0</v>
      </c>
      <c r="L220" s="582">
        <f>SUMIFS(별도_AJE_25!H:H,별도_AJE_25!$D:$D,정산표!$B220)</f>
        <v>0</v>
      </c>
      <c r="M220" s="582">
        <f t="shared" si="30"/>
        <v>1897177</v>
      </c>
    </row>
    <row r="221" spans="2:13">
      <c r="B221" s="661"/>
      <c r="D221" s="16" t="s">
        <v>1404</v>
      </c>
      <c r="E221" s="52">
        <f>원가!C21</f>
        <v>48405072</v>
      </c>
      <c r="F221" s="2">
        <f>SUMIFS(별도_AJE_26.2Q!$G:$G,별도_AJE_26.2Q!$D:$D,정산표!$B221)</f>
        <v>0</v>
      </c>
      <c r="G221" s="2">
        <f>SUMIFS(별도_AJE_26.2Q!$H:$H,별도_AJE_26.2Q!$D:$D,정산표!$B221)</f>
        <v>0</v>
      </c>
      <c r="H221" s="2">
        <f t="shared" si="29"/>
        <v>48405072</v>
      </c>
      <c r="J221" s="52">
        <v>31056651</v>
      </c>
      <c r="K221" s="582">
        <f>SUMIFS(별도_AJE_25!G:G,별도_AJE_25!$D:$D,정산표!$B221)</f>
        <v>0</v>
      </c>
      <c r="L221" s="582">
        <f>SUMIFS(별도_AJE_25!H:H,별도_AJE_25!$D:$D,정산표!$B221)</f>
        <v>0</v>
      </c>
      <c r="M221" s="582">
        <f t="shared" si="30"/>
        <v>31056651</v>
      </c>
    </row>
    <row r="222" spans="2:13">
      <c r="B222" s="661"/>
      <c r="D222" s="678" t="s">
        <v>1408</v>
      </c>
      <c r="E222" s="681">
        <f>SUM(E223:E226)</f>
        <v>895653615</v>
      </c>
      <c r="F222" s="681">
        <f>SUM(F223:F226)</f>
        <v>0</v>
      </c>
      <c r="G222" s="681">
        <f>SUM(G223:G226)</f>
        <v>0</v>
      </c>
      <c r="H222" s="681">
        <f>SUM(H223:H226)</f>
        <v>895653615</v>
      </c>
      <c r="J222" s="681">
        <f>SUM(J223:J226)</f>
        <v>790610404</v>
      </c>
      <c r="K222" s="681">
        <f>SUM(K223:K226)</f>
        <v>0</v>
      </c>
      <c r="L222" s="681">
        <f>SUM(L223:L226)</f>
        <v>0</v>
      </c>
      <c r="M222" s="681">
        <f>SUM(M223:M226)</f>
        <v>790610404</v>
      </c>
    </row>
    <row r="223" spans="2:13">
      <c r="B223" s="661" t="s">
        <v>923</v>
      </c>
      <c r="D223" s="6" t="s">
        <v>108</v>
      </c>
      <c r="E223" s="52">
        <f>SUMIFS(원가!$C:$C,원가!$A:$A,정산표!B223)</f>
        <v>821715965</v>
      </c>
      <c r="F223" s="2">
        <f>SUMIFS(별도_AJE_26.2Q!$G:$G,별도_AJE_26.2Q!$D:$D,정산표!$B223)</f>
        <v>0</v>
      </c>
      <c r="G223" s="2">
        <f>SUMIFS(별도_AJE_26.2Q!$H:$H,별도_AJE_26.2Q!$D:$D,정산표!$B223)</f>
        <v>0</v>
      </c>
      <c r="H223" s="2">
        <f t="shared" ref="H223:H226" si="31">E223+F223-G223</f>
        <v>821715965</v>
      </c>
      <c r="J223" s="585">
        <v>737718742</v>
      </c>
      <c r="K223" s="582">
        <f>SUMIFS(별도_AJE_25!G:G,별도_AJE_25!$D:$D,정산표!$B223)</f>
        <v>0</v>
      </c>
      <c r="L223" s="582">
        <f>SUMIFS(별도_AJE_25!H:H,별도_AJE_25!$D:$D,정산표!$B223)</f>
        <v>0</v>
      </c>
      <c r="M223" s="2">
        <f t="shared" ref="M223:M226" si="32">J223+K223-L223</f>
        <v>737718742</v>
      </c>
    </row>
    <row r="224" spans="2:13">
      <c r="B224" s="661" t="s">
        <v>924</v>
      </c>
      <c r="D224" s="6" t="s">
        <v>203</v>
      </c>
      <c r="E224" s="52">
        <f>SUMIFS(원가!$C:$C,원가!$A:$A,정산표!B224)</f>
        <v>11650000</v>
      </c>
      <c r="F224" s="2">
        <f>SUMIFS(별도_AJE_26.2Q!$G:$G,별도_AJE_26.2Q!$D:$D,정산표!$B224)</f>
        <v>0</v>
      </c>
      <c r="G224" s="2">
        <f>SUMIFS(별도_AJE_26.2Q!$H:$H,별도_AJE_26.2Q!$D:$D,정산표!$B224)</f>
        <v>0</v>
      </c>
      <c r="H224" s="2">
        <f t="shared" si="31"/>
        <v>11650000</v>
      </c>
      <c r="J224" s="585">
        <v>0</v>
      </c>
      <c r="K224" s="582">
        <f>SUMIFS(별도_AJE_25!G:G,별도_AJE_25!$D:$D,정산표!$B224)</f>
        <v>0</v>
      </c>
      <c r="L224" s="582">
        <f>SUMIFS(별도_AJE_25!H:H,별도_AJE_25!$D:$D,정산표!$B224)</f>
        <v>0</v>
      </c>
      <c r="M224" s="2">
        <f t="shared" si="32"/>
        <v>0</v>
      </c>
    </row>
    <row r="225" spans="2:13">
      <c r="B225" s="51" t="s">
        <v>2045</v>
      </c>
      <c r="D225" s="6" t="s">
        <v>2042</v>
      </c>
      <c r="E225" s="52">
        <f>SUMIFS(원가!$C:$C,원가!$A:$A,정산표!B225)</f>
        <v>2156880</v>
      </c>
      <c r="F225" s="2">
        <f>SUMIFS(별도_AJE_26.2Q!$G:$G,별도_AJE_26.2Q!$D:$D,정산표!$B225)</f>
        <v>0</v>
      </c>
      <c r="G225" s="2">
        <f>SUMIFS(별도_AJE_26.2Q!$H:$H,별도_AJE_26.2Q!$D:$D,정산표!$B225)</f>
        <v>0</v>
      </c>
      <c r="H225" s="2">
        <f t="shared" ref="H225" si="33">E225+F225-G225</f>
        <v>2156880</v>
      </c>
      <c r="J225" s="585">
        <v>0</v>
      </c>
      <c r="K225" s="582"/>
      <c r="L225" s="582"/>
      <c r="M225" s="2">
        <f t="shared" si="32"/>
        <v>0</v>
      </c>
    </row>
    <row r="226" spans="2:13">
      <c r="B226" s="661" t="s">
        <v>925</v>
      </c>
      <c r="D226" s="6" t="s">
        <v>10</v>
      </c>
      <c r="E226" s="52">
        <f>SUMIFS(원가!$C:$C,원가!$A:$A,정산표!B226)</f>
        <v>60130770</v>
      </c>
      <c r="F226" s="2">
        <f>SUMIFS(별도_AJE_26.2Q!$G:$G,별도_AJE_26.2Q!$D:$D,정산표!$B226)</f>
        <v>0</v>
      </c>
      <c r="G226" s="2">
        <f>SUMIFS(별도_AJE_26.2Q!$H:$H,별도_AJE_26.2Q!$D:$D,정산표!$B226)</f>
        <v>0</v>
      </c>
      <c r="H226" s="2">
        <f t="shared" si="31"/>
        <v>60130770</v>
      </c>
      <c r="J226" s="585">
        <v>52891662</v>
      </c>
      <c r="K226" s="582">
        <f>SUMIFS(별도_AJE_25!G:G,별도_AJE_25!$D:$D,정산표!$B226)</f>
        <v>0</v>
      </c>
      <c r="L226" s="582">
        <f>SUMIFS(별도_AJE_25!H:H,별도_AJE_25!$D:$D,정산표!$B226)</f>
        <v>0</v>
      </c>
      <c r="M226" s="2">
        <f t="shared" si="32"/>
        <v>52891662</v>
      </c>
    </row>
    <row r="227" spans="2:13">
      <c r="B227" s="661"/>
      <c r="D227" s="678" t="s">
        <v>1410</v>
      </c>
      <c r="E227" s="681">
        <f>SUM(E228:E249)</f>
        <v>1270499322</v>
      </c>
      <c r="F227" s="681">
        <f>SUM(F228:F249)</f>
        <v>0</v>
      </c>
      <c r="G227" s="681">
        <f>SUM(G228:G249)</f>
        <v>0</v>
      </c>
      <c r="H227" s="681">
        <f>SUM(H228:H249)</f>
        <v>1270499322</v>
      </c>
      <c r="J227" s="681">
        <f>SUM(J228:J249)</f>
        <v>963058195</v>
      </c>
      <c r="K227" s="681">
        <f>SUM(K228:K249)</f>
        <v>0</v>
      </c>
      <c r="L227" s="681">
        <f>SUM(L228:L249)</f>
        <v>0</v>
      </c>
      <c r="M227" s="681">
        <f>SUM(M228:M249)</f>
        <v>963058195</v>
      </c>
    </row>
    <row r="228" spans="2:13">
      <c r="B228" s="659" t="s">
        <v>1576</v>
      </c>
      <c r="D228" s="6" t="s">
        <v>11</v>
      </c>
      <c r="E228" s="52">
        <f>SUMIFS(원가!$C:$C,원가!$A:$A,정산표!B228)</f>
        <v>112120568</v>
      </c>
      <c r="F228" s="2">
        <f>SUMIFS(별도_AJE_26.2Q!$G:$G,별도_AJE_26.2Q!$D:$D,정산표!$B228)</f>
        <v>0</v>
      </c>
      <c r="G228" s="2">
        <f>SUMIFS(별도_AJE_26.2Q!$H:$H,별도_AJE_26.2Q!$D:$D,정산표!$B228)</f>
        <v>0</v>
      </c>
      <c r="H228" s="2">
        <f t="shared" ref="H228" si="34">E228+F228-G228</f>
        <v>112120568</v>
      </c>
      <c r="J228" s="585">
        <v>98219474</v>
      </c>
      <c r="K228" s="582">
        <f>SUMIFS(별도_AJE_25!G:G,별도_AJE_25!$D:$D,정산표!$B228)</f>
        <v>0</v>
      </c>
      <c r="L228" s="582">
        <f>SUMIFS(별도_AJE_25!H:H,별도_AJE_25!$D:$D,정산표!$B228)</f>
        <v>0</v>
      </c>
      <c r="M228" s="2">
        <f t="shared" ref="M228" si="35">J228+K228-L228</f>
        <v>98219474</v>
      </c>
    </row>
    <row r="229" spans="2:13">
      <c r="B229" s="659">
        <v>51200</v>
      </c>
      <c r="D229" s="6" t="s">
        <v>12</v>
      </c>
      <c r="E229" s="52">
        <f>SUMIFS(원가!$C:$C,원가!$A:$A,정산표!B229)</f>
        <v>6914025</v>
      </c>
      <c r="F229" s="2">
        <f>SUMIFS(별도_AJE_26.2Q!$G:$G,별도_AJE_26.2Q!$D:$D,정산표!$B229)</f>
        <v>0</v>
      </c>
      <c r="G229" s="2">
        <f>SUMIFS(별도_AJE_26.2Q!$H:$H,별도_AJE_26.2Q!$D:$D,정산표!$B229)</f>
        <v>0</v>
      </c>
      <c r="H229" s="2">
        <f t="shared" ref="H229:H249" si="36">E229+F229-G229</f>
        <v>6914025</v>
      </c>
      <c r="J229" s="585">
        <v>4577369</v>
      </c>
      <c r="K229" s="582">
        <f>SUMIFS(별도_AJE_25!G:G,별도_AJE_25!$D:$D,정산표!$B229)</f>
        <v>0</v>
      </c>
      <c r="L229" s="582">
        <f>SUMIFS(별도_AJE_25!H:H,별도_AJE_25!$D:$D,정산표!$B229)</f>
        <v>0</v>
      </c>
      <c r="M229" s="2">
        <f t="shared" ref="M229:M248" si="37">J229+K229-L229</f>
        <v>4577369</v>
      </c>
    </row>
    <row r="230" spans="2:13">
      <c r="B230" s="689">
        <v>51300</v>
      </c>
      <c r="D230" s="6" t="s">
        <v>1722</v>
      </c>
      <c r="E230" s="52">
        <f>SUMIFS(원가!$C:$C,원가!$A:$A,정산표!B230)</f>
        <v>0</v>
      </c>
      <c r="F230" s="2">
        <f>SUMIFS(별도_AJE_26.2Q!$G:$G,별도_AJE_26.2Q!$D:$D,정산표!$B230)</f>
        <v>0</v>
      </c>
      <c r="G230" s="2">
        <f>SUMIFS(별도_AJE_26.2Q!$H:$H,별도_AJE_26.2Q!$D:$D,정산표!$B230)</f>
        <v>0</v>
      </c>
      <c r="H230" s="2">
        <f t="shared" ref="H230" si="38">E230+F230-G230</f>
        <v>0</v>
      </c>
      <c r="J230" s="585">
        <v>933750</v>
      </c>
      <c r="K230" s="582"/>
      <c r="L230" s="582"/>
      <c r="M230" s="2">
        <f t="shared" si="37"/>
        <v>933750</v>
      </c>
    </row>
    <row r="231" spans="2:13">
      <c r="B231" s="659">
        <v>51400</v>
      </c>
      <c r="D231" s="6" t="s">
        <v>14</v>
      </c>
      <c r="E231" s="52">
        <f>SUMIFS(원가!$C:$C,원가!$A:$A,정산표!B231)</f>
        <v>2873574</v>
      </c>
      <c r="F231" s="2">
        <f>SUMIFS(별도_AJE_26.2Q!$G:$G,별도_AJE_26.2Q!$D:$D,정산표!$B231)</f>
        <v>0</v>
      </c>
      <c r="G231" s="2">
        <f>SUMIFS(별도_AJE_26.2Q!$H:$H,별도_AJE_26.2Q!$D:$D,정산표!$B231)</f>
        <v>0</v>
      </c>
      <c r="H231" s="2">
        <f t="shared" si="36"/>
        <v>2873574</v>
      </c>
      <c r="J231" s="585">
        <v>3003785</v>
      </c>
      <c r="K231" s="582">
        <f>SUMIFS(별도_AJE_25!G:G,별도_AJE_25!$D:$D,정산표!$B231)</f>
        <v>0</v>
      </c>
      <c r="L231" s="582">
        <f>SUMIFS(별도_AJE_25!H:H,별도_AJE_25!$D:$D,정산표!$B231)</f>
        <v>0</v>
      </c>
      <c r="M231" s="2">
        <f t="shared" si="37"/>
        <v>3003785</v>
      </c>
    </row>
    <row r="232" spans="2:13">
      <c r="B232" s="659">
        <v>51500</v>
      </c>
      <c r="D232" s="6" t="s">
        <v>1405</v>
      </c>
      <c r="E232" s="52">
        <f>SUMIFS(원가!$C:$C,원가!$A:$A,정산표!B232)</f>
        <v>6397944</v>
      </c>
      <c r="F232" s="2">
        <f>SUMIFS(별도_AJE_26.2Q!$G:$G,별도_AJE_26.2Q!$D:$D,정산표!$B232)</f>
        <v>0</v>
      </c>
      <c r="G232" s="2">
        <f>SUMIFS(별도_AJE_26.2Q!$H:$H,별도_AJE_26.2Q!$D:$D,정산표!$B232)</f>
        <v>0</v>
      </c>
      <c r="H232" s="2">
        <f t="shared" si="36"/>
        <v>6397944</v>
      </c>
      <c r="J232" s="585">
        <v>1752653</v>
      </c>
      <c r="K232" s="582">
        <f>SUMIFS(별도_AJE_25!G:G,별도_AJE_25!$D:$D,정산표!$B232)</f>
        <v>0</v>
      </c>
      <c r="L232" s="582">
        <f>SUMIFS(별도_AJE_25!H:H,별도_AJE_25!$D:$D,정산표!$B232)</f>
        <v>0</v>
      </c>
      <c r="M232" s="2">
        <f t="shared" si="37"/>
        <v>1752653</v>
      </c>
    </row>
    <row r="233" spans="2:13">
      <c r="B233" s="659">
        <v>51600</v>
      </c>
      <c r="D233" s="6" t="s">
        <v>930</v>
      </c>
      <c r="E233" s="52">
        <f>SUMIFS(원가!$C:$C,원가!$A:$A,정산표!B233)</f>
        <v>105424362</v>
      </c>
      <c r="F233" s="2">
        <f>SUMIFS(별도_AJE_26.2Q!$G:$G,별도_AJE_26.2Q!$D:$D,정산표!$B233)</f>
        <v>0</v>
      </c>
      <c r="G233" s="2">
        <f>SUMIFS(별도_AJE_26.2Q!$H:$H,별도_AJE_26.2Q!$D:$D,정산표!$B233)</f>
        <v>0</v>
      </c>
      <c r="H233" s="2">
        <f t="shared" si="36"/>
        <v>105424362</v>
      </c>
      <c r="J233" s="585">
        <v>67900453</v>
      </c>
      <c r="K233" s="582">
        <f>SUMIFS(별도_AJE_25!G:G,별도_AJE_25!$D:$D,정산표!$B233)</f>
        <v>0</v>
      </c>
      <c r="L233" s="582">
        <f>SUMIFS(별도_AJE_25!H:H,별도_AJE_25!$D:$D,정산표!$B233)</f>
        <v>0</v>
      </c>
      <c r="M233" s="2">
        <f t="shared" si="37"/>
        <v>67900453</v>
      </c>
    </row>
    <row r="234" spans="2:13">
      <c r="B234" s="659">
        <v>51700</v>
      </c>
      <c r="D234" s="6" t="s">
        <v>351</v>
      </c>
      <c r="E234" s="52">
        <f>SUMIFS(원가!$C:$C,원가!$A:$A,정산표!B234)</f>
        <v>40500</v>
      </c>
      <c r="F234" s="2">
        <f>SUMIFS(별도_AJE_26.2Q!$G:$G,별도_AJE_26.2Q!$D:$D,정산표!$B234)</f>
        <v>0</v>
      </c>
      <c r="G234" s="2">
        <f>SUMIFS(별도_AJE_26.2Q!$H:$H,별도_AJE_26.2Q!$D:$D,정산표!$B234)</f>
        <v>0</v>
      </c>
      <c r="H234" s="2">
        <f t="shared" si="36"/>
        <v>40500</v>
      </c>
      <c r="J234" s="585">
        <v>40500</v>
      </c>
      <c r="K234" s="582">
        <f>SUMIFS(별도_AJE_25!G:G,별도_AJE_25!$D:$D,정산표!$B234)</f>
        <v>0</v>
      </c>
      <c r="L234" s="582">
        <f>SUMIFS(별도_AJE_25!H:H,별도_AJE_25!$D:$D,정산표!$B234)</f>
        <v>0</v>
      </c>
      <c r="M234" s="2">
        <f t="shared" si="37"/>
        <v>40500</v>
      </c>
    </row>
    <row r="235" spans="2:13">
      <c r="B235" s="659">
        <v>51800</v>
      </c>
      <c r="D235" s="6" t="s">
        <v>15</v>
      </c>
      <c r="E235" s="52">
        <f>SUMIFS(원가!$C:$C,원가!$A:$A,정산표!B235)</f>
        <v>394973529</v>
      </c>
      <c r="F235" s="2">
        <f>SUMIFS(별도_AJE_26.2Q!$G:$G,별도_AJE_26.2Q!$D:$D,정산표!$B235)</f>
        <v>0</v>
      </c>
      <c r="G235" s="2">
        <f>SUMIFS(별도_AJE_26.2Q!$H:$H,별도_AJE_26.2Q!$D:$D,정산표!$B235)</f>
        <v>0</v>
      </c>
      <c r="H235" s="2">
        <f t="shared" si="36"/>
        <v>394973529</v>
      </c>
      <c r="J235" s="585">
        <v>248303587</v>
      </c>
      <c r="K235" s="582">
        <f>SUMIFS(별도_AJE_25!G:G,별도_AJE_25!$D:$D,정산표!$B235)</f>
        <v>0</v>
      </c>
      <c r="L235" s="582">
        <f>SUMIFS(별도_AJE_25!H:H,별도_AJE_25!$D:$D,정산표!$B235)</f>
        <v>0</v>
      </c>
      <c r="M235" s="2">
        <f t="shared" si="37"/>
        <v>248303587</v>
      </c>
    </row>
    <row r="236" spans="2:13">
      <c r="B236" s="659">
        <v>51900</v>
      </c>
      <c r="D236" s="6" t="s">
        <v>352</v>
      </c>
      <c r="E236" s="52">
        <f>SUMIFS(원가!$C:$C,원가!$A:$A,정산표!B236)</f>
        <v>0</v>
      </c>
      <c r="F236" s="2">
        <f>SUMIFS(별도_AJE_26.2Q!$G:$G,별도_AJE_26.2Q!$D:$D,정산표!$B236)</f>
        <v>0</v>
      </c>
      <c r="G236" s="2">
        <f>SUMIFS(별도_AJE_26.2Q!$H:$H,별도_AJE_26.2Q!$D:$D,정산표!$B236)</f>
        <v>0</v>
      </c>
      <c r="H236" s="2">
        <f t="shared" si="36"/>
        <v>0</v>
      </c>
      <c r="J236" s="585">
        <v>13900000</v>
      </c>
      <c r="K236" s="582">
        <f>SUMIFS(별도_AJE_25!G:G,별도_AJE_25!$D:$D,정산표!$B236)</f>
        <v>0</v>
      </c>
      <c r="L236" s="582">
        <f>SUMIFS(별도_AJE_25!H:H,별도_AJE_25!$D:$D,정산표!$B236)</f>
        <v>0</v>
      </c>
      <c r="M236" s="2">
        <f t="shared" si="37"/>
        <v>13900000</v>
      </c>
    </row>
    <row r="237" spans="2:13">
      <c r="B237" s="659">
        <v>52000</v>
      </c>
      <c r="D237" s="6" t="s">
        <v>16</v>
      </c>
      <c r="E237" s="52">
        <f>SUMIFS(원가!$C:$C,원가!$A:$A,정산표!B237)</f>
        <v>24369000</v>
      </c>
      <c r="F237" s="2">
        <f>SUMIFS(별도_AJE_26.2Q!$G:$G,별도_AJE_26.2Q!$D:$D,정산표!$B237)</f>
        <v>0</v>
      </c>
      <c r="G237" s="2">
        <f>SUMIFS(별도_AJE_26.2Q!$H:$H,별도_AJE_26.2Q!$D:$D,정산표!$B237)</f>
        <v>0</v>
      </c>
      <c r="H237" s="2">
        <f t="shared" si="36"/>
        <v>24369000</v>
      </c>
      <c r="J237" s="585">
        <v>8239909</v>
      </c>
      <c r="K237" s="582">
        <f>SUMIFS(별도_AJE_25!G:G,별도_AJE_25!$D:$D,정산표!$B237)</f>
        <v>0</v>
      </c>
      <c r="L237" s="582">
        <f>SUMIFS(별도_AJE_25!H:H,별도_AJE_25!$D:$D,정산표!$B237)</f>
        <v>0</v>
      </c>
      <c r="M237" s="2">
        <f t="shared" si="37"/>
        <v>8239909</v>
      </c>
    </row>
    <row r="238" spans="2:13">
      <c r="B238" s="659">
        <v>52100</v>
      </c>
      <c r="D238" s="6" t="s">
        <v>17</v>
      </c>
      <c r="E238" s="52">
        <f>SUMIFS(원가!$C:$C,원가!$A:$A,정산표!B238)</f>
        <v>11211332</v>
      </c>
      <c r="F238" s="2">
        <f>SUMIFS(별도_AJE_26.2Q!$G:$G,별도_AJE_26.2Q!$D:$D,정산표!$B238)</f>
        <v>0</v>
      </c>
      <c r="G238" s="2">
        <f>SUMIFS(별도_AJE_26.2Q!$H:$H,별도_AJE_26.2Q!$D:$D,정산표!$B238)</f>
        <v>0</v>
      </c>
      <c r="H238" s="2">
        <f t="shared" si="36"/>
        <v>11211332</v>
      </c>
      <c r="J238" s="585">
        <v>5389950</v>
      </c>
      <c r="K238" s="582">
        <f>SUMIFS(별도_AJE_25!G:G,별도_AJE_25!$D:$D,정산표!$B238)</f>
        <v>0</v>
      </c>
      <c r="L238" s="582">
        <f>SUMIFS(별도_AJE_25!H:H,별도_AJE_25!$D:$D,정산표!$B238)</f>
        <v>0</v>
      </c>
      <c r="M238" s="2">
        <f t="shared" si="37"/>
        <v>5389950</v>
      </c>
    </row>
    <row r="239" spans="2:13">
      <c r="B239" s="659">
        <v>52200</v>
      </c>
      <c r="D239" s="6" t="s">
        <v>18</v>
      </c>
      <c r="E239" s="52">
        <f>SUMIFS(원가!$C:$C,원가!$A:$A,정산표!B239)</f>
        <v>562830</v>
      </c>
      <c r="F239" s="2">
        <f>SUMIFS(별도_AJE_26.2Q!$G:$G,별도_AJE_26.2Q!$D:$D,정산표!$B239)</f>
        <v>0</v>
      </c>
      <c r="G239" s="2">
        <f>SUMIFS(별도_AJE_26.2Q!$H:$H,별도_AJE_26.2Q!$D:$D,정산표!$B239)</f>
        <v>0</v>
      </c>
      <c r="H239" s="2">
        <f t="shared" si="36"/>
        <v>562830</v>
      </c>
      <c r="J239" s="585">
        <v>196300</v>
      </c>
      <c r="K239" s="582">
        <f>SUMIFS(별도_AJE_25!G:G,별도_AJE_25!$D:$D,정산표!$B239)</f>
        <v>0</v>
      </c>
      <c r="L239" s="582">
        <f>SUMIFS(별도_AJE_25!H:H,별도_AJE_25!$D:$D,정산표!$B239)</f>
        <v>0</v>
      </c>
      <c r="M239" s="2">
        <f t="shared" si="37"/>
        <v>196300</v>
      </c>
    </row>
    <row r="240" spans="2:13">
      <c r="B240" s="659">
        <v>52400</v>
      </c>
      <c r="D240" s="6" t="s">
        <v>19</v>
      </c>
      <c r="E240" s="52">
        <f>SUMIFS(원가!$C:$C,원가!$A:$A,정산표!B240)</f>
        <v>37225103</v>
      </c>
      <c r="F240" s="2">
        <f>SUMIFS(별도_AJE_26.2Q!$G:$G,별도_AJE_26.2Q!$D:$D,정산표!$B240)</f>
        <v>0</v>
      </c>
      <c r="G240" s="2">
        <f>SUMIFS(별도_AJE_26.2Q!$H:$H,별도_AJE_26.2Q!$D:$D,정산표!$B240)</f>
        <v>0</v>
      </c>
      <c r="H240" s="2">
        <f t="shared" si="36"/>
        <v>37225103</v>
      </c>
      <c r="J240" s="585">
        <v>36598553</v>
      </c>
      <c r="K240" s="582">
        <f>SUMIFS(별도_AJE_25!G:G,별도_AJE_25!$D:$D,정산표!$B240)</f>
        <v>0</v>
      </c>
      <c r="L240" s="582">
        <f>SUMIFS(별도_AJE_25!H:H,별도_AJE_25!$D:$D,정산표!$B240)</f>
        <v>0</v>
      </c>
      <c r="M240" s="2">
        <f t="shared" si="37"/>
        <v>36598553</v>
      </c>
    </row>
    <row r="241" spans="2:14">
      <c r="B241" s="659">
        <v>52500</v>
      </c>
      <c r="D241" s="6" t="s">
        <v>75</v>
      </c>
      <c r="E241" s="52">
        <f>SUMIFS(원가!$C:$C,원가!$A:$A,정산표!B241)</f>
        <v>655000</v>
      </c>
      <c r="F241" s="2">
        <f>SUMIFS(별도_AJE_26.2Q!$G:$G,별도_AJE_26.2Q!$D:$D,정산표!$B241)</f>
        <v>0</v>
      </c>
      <c r="G241" s="2">
        <f>SUMIFS(별도_AJE_26.2Q!$H:$H,별도_AJE_26.2Q!$D:$D,정산표!$B241)</f>
        <v>0</v>
      </c>
      <c r="H241" s="2">
        <f t="shared" si="36"/>
        <v>655000</v>
      </c>
      <c r="J241" s="585">
        <v>578000</v>
      </c>
      <c r="K241" s="582">
        <f>SUMIFS(별도_AJE_25!G:G,별도_AJE_25!$D:$D,정산표!$B241)</f>
        <v>0</v>
      </c>
      <c r="L241" s="582">
        <f>SUMIFS(별도_AJE_25!H:H,별도_AJE_25!$D:$D,정산표!$B241)</f>
        <v>0</v>
      </c>
      <c r="M241" s="2">
        <f t="shared" si="37"/>
        <v>578000</v>
      </c>
    </row>
    <row r="242" spans="2:14">
      <c r="B242" s="659">
        <v>52600</v>
      </c>
      <c r="D242" s="6" t="s">
        <v>20</v>
      </c>
      <c r="E242" s="52">
        <f>SUMIFS(원가!$C:$C,원가!$A:$A,정산표!B242)</f>
        <v>199000</v>
      </c>
      <c r="F242" s="2">
        <f>SUMIFS(별도_AJE_26.2Q!$G:$G,별도_AJE_26.2Q!$D:$D,정산표!$B242)</f>
        <v>0</v>
      </c>
      <c r="G242" s="2">
        <f>SUMIFS(별도_AJE_26.2Q!$H:$H,별도_AJE_26.2Q!$D:$D,정산표!$B242)</f>
        <v>0</v>
      </c>
      <c r="H242" s="2">
        <f t="shared" si="36"/>
        <v>199000</v>
      </c>
      <c r="J242" s="585">
        <v>1024364</v>
      </c>
      <c r="K242" s="582">
        <f>SUMIFS(별도_AJE_25!G:G,별도_AJE_25!$D:$D,정산표!$B242)</f>
        <v>0</v>
      </c>
      <c r="L242" s="582">
        <f>SUMIFS(별도_AJE_25!H:H,별도_AJE_25!$D:$D,정산표!$B242)</f>
        <v>0</v>
      </c>
      <c r="M242" s="2">
        <f t="shared" si="37"/>
        <v>1024364</v>
      </c>
    </row>
    <row r="243" spans="2:14">
      <c r="B243" s="659">
        <v>52900</v>
      </c>
      <c r="D243" s="6" t="s">
        <v>205</v>
      </c>
      <c r="E243" s="52">
        <f>SUMIFS(원가!$C:$C,원가!$A:$A,정산표!B243)</f>
        <v>104843</v>
      </c>
      <c r="F243" s="2">
        <f>SUMIFS(별도_AJE_26.2Q!$G:$G,별도_AJE_26.2Q!$D:$D,정산표!$B243)</f>
        <v>0</v>
      </c>
      <c r="G243" s="2">
        <f>SUMIFS(별도_AJE_26.2Q!$H:$H,별도_AJE_26.2Q!$D:$D,정산표!$B243)</f>
        <v>0</v>
      </c>
      <c r="H243" s="2">
        <f t="shared" si="36"/>
        <v>104843</v>
      </c>
      <c r="J243" s="585">
        <v>605072</v>
      </c>
      <c r="K243" s="582">
        <f>SUMIFS(별도_AJE_25!G:G,별도_AJE_25!$D:$D,정산표!$B243)</f>
        <v>0</v>
      </c>
      <c r="L243" s="582">
        <f>SUMIFS(별도_AJE_25!H:H,별도_AJE_25!$D:$D,정산표!$B243)</f>
        <v>0</v>
      </c>
      <c r="M243" s="2">
        <f t="shared" si="37"/>
        <v>605072</v>
      </c>
    </row>
    <row r="244" spans="2:14">
      <c r="B244" s="659">
        <v>53000</v>
      </c>
      <c r="D244" s="6" t="s">
        <v>21</v>
      </c>
      <c r="E244" s="52">
        <f>SUMIFS(원가!$C:$C,원가!$A:$A,정산표!B244)</f>
        <v>149978542</v>
      </c>
      <c r="F244" s="2">
        <f>SUMIFS(별도_AJE_26.2Q!$G:$G,별도_AJE_26.2Q!$D:$D,정산표!$B244)</f>
        <v>0</v>
      </c>
      <c r="G244" s="2">
        <f>SUMIFS(별도_AJE_26.2Q!$H:$H,별도_AJE_26.2Q!$D:$D,정산표!$B244)</f>
        <v>0</v>
      </c>
      <c r="H244" s="2">
        <f t="shared" si="36"/>
        <v>149978542</v>
      </c>
      <c r="J244" s="585">
        <v>63633408</v>
      </c>
      <c r="K244" s="582">
        <f>SUMIFS(별도_AJE_25!G:G,별도_AJE_25!$D:$D,정산표!$B244)</f>
        <v>0</v>
      </c>
      <c r="L244" s="582">
        <f>SUMIFS(별도_AJE_25!H:H,별도_AJE_25!$D:$D,정산표!$B244)</f>
        <v>0</v>
      </c>
      <c r="M244" s="2">
        <f t="shared" si="37"/>
        <v>63633408</v>
      </c>
    </row>
    <row r="245" spans="2:14">
      <c r="B245" s="659">
        <v>53100</v>
      </c>
      <c r="D245" s="6" t="s">
        <v>22</v>
      </c>
      <c r="E245" s="52">
        <f>SUMIFS(원가!$C:$C,원가!$A:$A,정산표!B245)</f>
        <v>223641137</v>
      </c>
      <c r="F245" s="2">
        <f>SUMIFS(별도_AJE_26.2Q!$G:$G,별도_AJE_26.2Q!$D:$D,정산표!$B245)</f>
        <v>0</v>
      </c>
      <c r="G245" s="2">
        <f>SUMIFS(별도_AJE_26.2Q!$H:$H,별도_AJE_26.2Q!$D:$D,정산표!$B245)</f>
        <v>0</v>
      </c>
      <c r="H245" s="2">
        <f t="shared" si="36"/>
        <v>223641137</v>
      </c>
      <c r="J245" s="585">
        <v>99133121</v>
      </c>
      <c r="K245" s="582">
        <f>SUMIFS(별도_AJE_25!G:G,별도_AJE_25!$D:$D,정산표!$B245)</f>
        <v>0</v>
      </c>
      <c r="L245" s="582">
        <f>SUMIFS(별도_AJE_25!H:H,별도_AJE_25!$D:$D,정산표!$B245)</f>
        <v>0</v>
      </c>
      <c r="M245" s="2">
        <f t="shared" si="37"/>
        <v>99133121</v>
      </c>
    </row>
    <row r="246" spans="2:14">
      <c r="B246" s="659">
        <v>53300</v>
      </c>
      <c r="D246" s="6" t="s">
        <v>943</v>
      </c>
      <c r="E246" s="52">
        <f>SUMIFS(원가!$C:$C,원가!$A:$A,정산표!B246)</f>
        <v>152649406</v>
      </c>
      <c r="F246" s="2">
        <f>SUMIFS(별도_AJE_26.2Q!$G:$G,별도_AJE_26.2Q!$D:$D,정산표!$B246)</f>
        <v>0</v>
      </c>
      <c r="G246" s="2">
        <f>SUMIFS(별도_AJE_26.2Q!$H:$H,별도_AJE_26.2Q!$D:$D,정산표!$B246)</f>
        <v>0</v>
      </c>
      <c r="H246" s="2">
        <f t="shared" si="36"/>
        <v>152649406</v>
      </c>
      <c r="J246" s="585">
        <v>149658810</v>
      </c>
      <c r="K246" s="582">
        <f>SUMIFS(별도_AJE_25!G:G,별도_AJE_25!$D:$D,정산표!$B246)</f>
        <v>0</v>
      </c>
      <c r="L246" s="582">
        <f>SUMIFS(별도_AJE_25!H:H,별도_AJE_25!$D:$D,정산표!$B246)</f>
        <v>0</v>
      </c>
      <c r="M246" s="2">
        <f t="shared" si="37"/>
        <v>149658810</v>
      </c>
    </row>
    <row r="247" spans="2:14">
      <c r="B247" s="659">
        <v>53700</v>
      </c>
      <c r="D247" s="6" t="s">
        <v>355</v>
      </c>
      <c r="E247" s="52">
        <f>SUMIFS(원가!$C:$C,원가!$A:$A,정산표!B247)</f>
        <v>41158627</v>
      </c>
      <c r="F247" s="2">
        <f>SUMIFS(별도_AJE_26.2Q!$G:$G,별도_AJE_26.2Q!$D:$D,정산표!$B247)</f>
        <v>0</v>
      </c>
      <c r="G247" s="2">
        <f>SUMIFS(별도_AJE_26.2Q!$H:$H,별도_AJE_26.2Q!$D:$D,정산표!$B247)</f>
        <v>0</v>
      </c>
      <c r="H247" s="2">
        <f t="shared" si="36"/>
        <v>41158627</v>
      </c>
      <c r="J247" s="585">
        <v>33742343</v>
      </c>
      <c r="K247" s="582">
        <f>SUMIFS(별도_AJE_25!G:G,별도_AJE_25!$D:$D,정산표!$B247)</f>
        <v>0</v>
      </c>
      <c r="L247" s="582">
        <f>SUMIFS(별도_AJE_25!H:H,별도_AJE_25!$D:$D,정산표!$B247)</f>
        <v>0</v>
      </c>
      <c r="M247" s="2">
        <f t="shared" si="37"/>
        <v>33742343</v>
      </c>
    </row>
    <row r="248" spans="2:14">
      <c r="B248" s="659">
        <v>54000</v>
      </c>
      <c r="D248" s="6" t="s">
        <v>207</v>
      </c>
      <c r="E248" s="52">
        <f>SUMIFS(원가!$C:$C,원가!$A:$A,정산표!B248)</f>
        <v>0</v>
      </c>
      <c r="F248" s="2">
        <f>SUMIFS(별도_AJE_26.2Q!$G:$G,별도_AJE_26.2Q!$D:$D,정산표!$B248)</f>
        <v>0</v>
      </c>
      <c r="G248" s="2">
        <f>SUMIFS(별도_AJE_26.2Q!$H:$H,별도_AJE_26.2Q!$D:$D,정산표!$B248)</f>
        <v>0</v>
      </c>
      <c r="H248" s="2">
        <f t="shared" si="36"/>
        <v>0</v>
      </c>
      <c r="J248" s="585">
        <v>125626794</v>
      </c>
      <c r="K248" s="582">
        <f>SUMIFS(별도_AJE_25!G:G,별도_AJE_25!$D:$D,정산표!$B248)</f>
        <v>0</v>
      </c>
      <c r="L248" s="582">
        <f>SUMIFS(별도_AJE_25!H:H,별도_AJE_25!$D:$D,정산표!$B248)</f>
        <v>0</v>
      </c>
      <c r="M248" s="2">
        <f t="shared" si="37"/>
        <v>125626794</v>
      </c>
    </row>
    <row r="249" spans="2:14">
      <c r="B249" s="659">
        <v>55000</v>
      </c>
      <c r="D249" s="6" t="s">
        <v>1422</v>
      </c>
      <c r="E249" s="52">
        <f>SUMIFS(원가!$C:$C,원가!$A:$A,정산표!B249)</f>
        <v>0</v>
      </c>
      <c r="H249" s="2">
        <f t="shared" si="36"/>
        <v>0</v>
      </c>
      <c r="J249" s="585">
        <v>0</v>
      </c>
      <c r="K249" s="582">
        <f>SUMIFS(별도_AJE_25!G:G,별도_AJE_25!$D:$D,정산표!$B249)</f>
        <v>0</v>
      </c>
      <c r="L249" s="582">
        <f>SUMIFS(별도_AJE_25!H:H,별도_AJE_25!$D:$D,정산표!$B249)</f>
        <v>0</v>
      </c>
      <c r="M249" s="2">
        <f t="shared" ref="M249" si="39">J249+K249-L249</f>
        <v>0</v>
      </c>
      <c r="N249" s="688"/>
    </row>
    <row r="250" spans="2:14">
      <c r="B250" s="661"/>
      <c r="D250" s="678" t="s">
        <v>1412</v>
      </c>
      <c r="E250" s="681">
        <f>E208+E216+E222+E227</f>
        <v>3476800819</v>
      </c>
      <c r="F250" s="681">
        <f>F208+F216+F222+F227</f>
        <v>0</v>
      </c>
      <c r="G250" s="681">
        <f>G208+G216+G222+G227</f>
        <v>0</v>
      </c>
      <c r="H250" s="681">
        <f>H208+H216+H222+H227</f>
        <v>3476800819</v>
      </c>
      <c r="I250" s="39"/>
      <c r="J250" s="681">
        <f>J208+J216+J222+J227</f>
        <v>3344382182</v>
      </c>
      <c r="K250" s="681">
        <f>K208+K216+K222+K227</f>
        <v>0</v>
      </c>
      <c r="L250" s="681">
        <f>L208+L216+L222+L227</f>
        <v>0</v>
      </c>
      <c r="M250" s="681">
        <f>M208+M216+M222+M227</f>
        <v>3344382182</v>
      </c>
    </row>
    <row r="251" spans="2:14">
      <c r="B251" s="661"/>
      <c r="D251" s="678" t="s">
        <v>1413</v>
      </c>
      <c r="E251" s="679">
        <v>0</v>
      </c>
      <c r="F251" s="680"/>
      <c r="G251" s="680"/>
      <c r="H251" s="679">
        <f>E251+F251-G251</f>
        <v>0</v>
      </c>
      <c r="J251" s="679">
        <v>0</v>
      </c>
      <c r="K251" s="679">
        <v>0</v>
      </c>
      <c r="L251" s="679">
        <v>0</v>
      </c>
      <c r="M251" s="679">
        <f>J251+K251-L251</f>
        <v>0</v>
      </c>
    </row>
    <row r="252" spans="2:14">
      <c r="B252" s="661"/>
      <c r="D252" s="678" t="s">
        <v>1414</v>
      </c>
      <c r="E252" s="679"/>
      <c r="F252" s="680"/>
      <c r="G252" s="680"/>
      <c r="H252" s="679"/>
      <c r="J252" s="679"/>
      <c r="K252" s="679"/>
      <c r="L252" s="679"/>
      <c r="M252" s="679"/>
    </row>
    <row r="253" spans="2:14">
      <c r="B253" s="661"/>
      <c r="D253" s="678" t="s">
        <v>1415</v>
      </c>
      <c r="E253" s="681">
        <f>SUM(E250:E252)</f>
        <v>3476800819</v>
      </c>
      <c r="F253" s="681">
        <f>SUM(F250:F252)</f>
        <v>0</v>
      </c>
      <c r="G253" s="681">
        <f>SUM(G250:G252)</f>
        <v>0</v>
      </c>
      <c r="H253" s="681">
        <f>SUM(H250:H252)</f>
        <v>3476800819</v>
      </c>
      <c r="I253" s="39"/>
      <c r="J253" s="681">
        <f>SUM(J250:J252)</f>
        <v>3344382182</v>
      </c>
      <c r="K253" s="681">
        <f>SUM(K250:K252)</f>
        <v>0</v>
      </c>
      <c r="L253" s="681">
        <f>SUM(L250:L252)</f>
        <v>0</v>
      </c>
      <c r="M253" s="681">
        <f>SUM(M250:M252)</f>
        <v>3344382182</v>
      </c>
    </row>
    <row r="254" spans="2:14">
      <c r="B254" s="661"/>
      <c r="D254" s="678" t="s">
        <v>1416</v>
      </c>
      <c r="E254" s="679"/>
      <c r="F254" s="680"/>
      <c r="G254" s="680"/>
      <c r="H254" s="679"/>
      <c r="J254" s="679"/>
      <c r="K254" s="679"/>
      <c r="L254" s="679"/>
      <c r="M254" s="679"/>
    </row>
    <row r="255" spans="2:14">
      <c r="B255" s="661"/>
      <c r="D255" s="678" t="s">
        <v>1417</v>
      </c>
      <c r="E255" s="679"/>
      <c r="F255" s="680"/>
      <c r="G255" s="680"/>
      <c r="H255" s="679"/>
      <c r="J255" s="679"/>
      <c r="K255" s="679"/>
      <c r="L255" s="679"/>
      <c r="M255" s="679"/>
    </row>
    <row r="256" spans="2:14" ht="15.45" thickBot="1">
      <c r="B256" s="844"/>
      <c r="D256" s="678" t="s">
        <v>1418</v>
      </c>
      <c r="E256" s="681">
        <f>E253+E254-E255</f>
        <v>3476800819</v>
      </c>
      <c r="F256" s="681">
        <f>F253+F254-F255</f>
        <v>0</v>
      </c>
      <c r="G256" s="681">
        <f>G253+G254-G255</f>
        <v>0</v>
      </c>
      <c r="H256" s="681">
        <f>H253+H254-H255</f>
        <v>3476800819</v>
      </c>
      <c r="I256" s="39"/>
      <c r="J256" s="681">
        <f>J253+J254-J255</f>
        <v>3344382182</v>
      </c>
      <c r="K256" s="681">
        <f>K253+K254-K255</f>
        <v>0</v>
      </c>
      <c r="L256" s="681">
        <f>L253+L254-L255</f>
        <v>0</v>
      </c>
      <c r="M256" s="681">
        <f>M253+M254-M255</f>
        <v>3344382182</v>
      </c>
    </row>
    <row r="257" spans="5:13">
      <c r="E257" s="2" t="b">
        <f>E256=E120</f>
        <v>1</v>
      </c>
      <c r="H257" s="2" t="b">
        <f>H256=H120</f>
        <v>1</v>
      </c>
      <c r="J257" s="2" t="b">
        <f>J256=J120</f>
        <v>1</v>
      </c>
      <c r="M257" s="2" t="b">
        <f>M256=M120</f>
        <v>1</v>
      </c>
    </row>
    <row r="258" spans="5:13">
      <c r="E258" s="2" t="b">
        <f>E256=원가!D55</f>
        <v>1</v>
      </c>
      <c r="J258" s="2" t="b">
        <f>J256=J260</f>
        <v>1</v>
      </c>
    </row>
    <row r="260" spans="5:13">
      <c r="J260" s="2">
        <v>3344382182</v>
      </c>
    </row>
  </sheetData>
  <phoneticPr fontId="6" type="noConversion"/>
  <conditionalFormatting sqref="B1:B1048576">
    <cfRule type="duplicateValues" dxfId="164" priority="2"/>
  </conditionalFormatting>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0793198E-9E81-4C2C-BFA7-C42F49A2141A}">
            <xm:f>NOT(ISERROR(SEARCH("true",A1)))</xm:f>
            <xm:f>"true"</xm:f>
            <x14:dxf>
              <font>
                <color theme="0"/>
              </font>
              <fill>
                <patternFill>
                  <bgColor theme="3"/>
                </patternFill>
              </fill>
            </x14:dxf>
          </x14:cfRule>
          <x14:cfRule type="containsText" priority="3" operator="containsText" id="{ACC2AE91-AF54-444C-81D5-3639BF42D219}">
            <xm:f>NOT(ISERROR(SEARCH("False",A1)))</xm:f>
            <xm:f>"False"</xm:f>
            <x14:dxf>
              <fill>
                <patternFill>
                  <bgColor rgb="FFFF0000"/>
                </patternFill>
              </fill>
            </x14:dxf>
          </x14:cfRule>
          <xm:sqref>A1:XFD1048576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9" tint="0.79998168889431442"/>
  </sheetPr>
  <dimension ref="B1:M167"/>
  <sheetViews>
    <sheetView showGridLines="0" zoomScale="70" zoomScaleNormal="70" workbookViewId="0">
      <pane xSplit="3" ySplit="5" topLeftCell="D6" activePane="bottomRight" state="frozen"/>
      <selection activeCell="F159" sqref="F159"/>
      <selection pane="topRight" activeCell="F159" sqref="F159"/>
      <selection pane="bottomLeft" activeCell="F159" sqref="F159"/>
      <selection pane="bottomRight" activeCell="I138" sqref="I138"/>
    </sheetView>
  </sheetViews>
  <sheetFormatPr defaultColWidth="9" defaultRowHeight="15" outlineLevelRow="1"/>
  <cols>
    <col min="1" max="1" width="9" style="591"/>
    <col min="2" max="2" width="36.5703125" style="591" customWidth="1"/>
    <col min="3" max="3" width="23" style="590" customWidth="1"/>
    <col min="4" max="4" width="23" style="592" customWidth="1"/>
    <col min="5" max="5" width="20.640625" style="590" customWidth="1"/>
    <col min="6" max="6" width="22.35546875" style="590" customWidth="1"/>
    <col min="7" max="8" width="15.0703125" style="590" customWidth="1"/>
    <col min="9" max="9" width="14" style="590" customWidth="1"/>
    <col min="10" max="11" width="13.5703125" style="590" customWidth="1"/>
    <col min="12" max="12" width="45" style="590" customWidth="1"/>
    <col min="13" max="13" width="11.140625" style="591" bestFit="1" customWidth="1"/>
    <col min="14" max="16384" width="9" style="591"/>
  </cols>
  <sheetData>
    <row r="1" spans="2:12">
      <c r="B1" s="587" t="s">
        <v>1272</v>
      </c>
      <c r="C1" s="588">
        <v>46203</v>
      </c>
      <c r="D1" s="589"/>
    </row>
    <row r="2" spans="2:12">
      <c r="E2" s="593"/>
    </row>
    <row r="3" spans="2:12">
      <c r="E3" s="593"/>
    </row>
    <row r="4" spans="2:12">
      <c r="B4" s="1228" t="s">
        <v>1273</v>
      </c>
      <c r="C4" s="1228" t="s">
        <v>1274</v>
      </c>
      <c r="D4" s="1228" t="s">
        <v>1275</v>
      </c>
      <c r="E4" s="594" t="s">
        <v>1276</v>
      </c>
      <c r="F4" s="595"/>
      <c r="G4" s="594" t="s">
        <v>1277</v>
      </c>
      <c r="H4" s="595"/>
      <c r="I4" s="596" t="s">
        <v>1278</v>
      </c>
      <c r="J4" s="596" t="s">
        <v>1278</v>
      </c>
      <c r="K4" s="596" t="s">
        <v>1278</v>
      </c>
      <c r="L4" s="1230" t="s">
        <v>1279</v>
      </c>
    </row>
    <row r="5" spans="2:12">
      <c r="B5" s="1229"/>
      <c r="C5" s="1229"/>
      <c r="D5" s="1229"/>
      <c r="E5" s="597" t="s">
        <v>1280</v>
      </c>
      <c r="F5" s="597" t="s">
        <v>1281</v>
      </c>
      <c r="G5" s="597" t="s">
        <v>1280</v>
      </c>
      <c r="H5" s="597" t="s">
        <v>1281</v>
      </c>
      <c r="I5" s="597" t="s">
        <v>1282</v>
      </c>
      <c r="J5" s="597" t="s">
        <v>1283</v>
      </c>
      <c r="K5" s="597" t="s">
        <v>1284</v>
      </c>
      <c r="L5" s="1230"/>
    </row>
    <row r="6" spans="2:12">
      <c r="B6" s="598"/>
      <c r="C6" s="598"/>
      <c r="D6" s="598"/>
      <c r="E6" s="599"/>
      <c r="F6" s="600"/>
      <c r="G6" s="601"/>
      <c r="H6" s="601"/>
      <c r="I6" s="601"/>
      <c r="J6" s="601"/>
      <c r="K6" s="601"/>
      <c r="L6" s="602"/>
    </row>
    <row r="7" spans="2:12" hidden="1" outlineLevel="1">
      <c r="B7" s="603" t="s">
        <v>1285</v>
      </c>
      <c r="C7" s="604"/>
      <c r="D7" s="604"/>
      <c r="E7" s="605"/>
      <c r="F7" s="606"/>
      <c r="G7" s="607"/>
      <c r="H7" s="607"/>
      <c r="I7" s="607"/>
      <c r="J7" s="607"/>
      <c r="K7" s="607"/>
      <c r="L7" s="608"/>
    </row>
    <row r="8" spans="2:12" hidden="1" outlineLevel="1">
      <c r="B8" s="604"/>
      <c r="C8" s="604"/>
      <c r="D8" s="604"/>
      <c r="E8" s="605"/>
      <c r="F8" s="606"/>
      <c r="G8" s="607"/>
      <c r="H8" s="607"/>
      <c r="I8" s="607"/>
      <c r="J8" s="607"/>
      <c r="K8" s="607"/>
      <c r="L8" s="608"/>
    </row>
    <row r="9" spans="2:12" hidden="1" outlineLevel="1">
      <c r="B9" s="604"/>
      <c r="C9" s="604"/>
      <c r="D9" s="604" t="s">
        <v>864</v>
      </c>
      <c r="E9" s="605" t="s">
        <v>70</v>
      </c>
      <c r="F9" s="606"/>
      <c r="G9" s="607"/>
      <c r="H9" s="607"/>
      <c r="I9" s="607"/>
      <c r="J9" s="607"/>
      <c r="K9" s="607"/>
      <c r="L9" s="819"/>
    </row>
    <row r="10" spans="2:12" hidden="1" outlineLevel="1">
      <c r="B10" s="604"/>
      <c r="C10" s="604"/>
      <c r="D10" s="604" t="s">
        <v>857</v>
      </c>
      <c r="E10" s="605"/>
      <c r="F10" s="606" t="s">
        <v>100</v>
      </c>
      <c r="G10" s="607"/>
      <c r="H10" s="607"/>
      <c r="I10" s="607"/>
      <c r="J10" s="607"/>
      <c r="K10" s="607"/>
      <c r="L10" s="608"/>
    </row>
    <row r="11" spans="2:12" hidden="1" outlineLevel="1">
      <c r="B11" s="604"/>
      <c r="C11" s="604"/>
      <c r="D11" s="604" t="s">
        <v>864</v>
      </c>
      <c r="E11" s="820" t="s">
        <v>70</v>
      </c>
      <c r="F11" s="606"/>
      <c r="G11" s="607"/>
      <c r="H11" s="607"/>
      <c r="I11" s="607">
        <v>0</v>
      </c>
      <c r="J11" s="607"/>
      <c r="K11" s="607"/>
      <c r="L11" s="608"/>
    </row>
    <row r="12" spans="2:12" hidden="1" outlineLevel="1">
      <c r="B12" s="604"/>
      <c r="C12" s="604"/>
      <c r="D12" s="604" t="s">
        <v>857</v>
      </c>
      <c r="E12" s="605"/>
      <c r="F12" s="606" t="s">
        <v>100</v>
      </c>
      <c r="G12" s="607"/>
      <c r="H12" s="607"/>
      <c r="I12" s="607"/>
      <c r="J12" s="607"/>
      <c r="K12" s="607"/>
      <c r="L12" s="608"/>
    </row>
    <row r="13" spans="2:12" hidden="1" outlineLevel="1">
      <c r="B13" s="808"/>
      <c r="C13" s="808"/>
      <c r="D13" s="808"/>
      <c r="E13" s="810"/>
      <c r="F13" s="821"/>
      <c r="G13" s="811"/>
      <c r="H13" s="811"/>
      <c r="I13" s="811"/>
      <c r="J13" s="811"/>
      <c r="K13" s="811"/>
      <c r="L13" s="812"/>
    </row>
    <row r="14" spans="2:12" hidden="1" outlineLevel="1">
      <c r="B14" s="808"/>
      <c r="C14" s="808"/>
      <c r="D14" s="813"/>
      <c r="E14" s="815"/>
      <c r="F14" s="822"/>
      <c r="G14" s="816"/>
      <c r="H14" s="816"/>
      <c r="I14" s="816"/>
      <c r="J14" s="816"/>
      <c r="K14" s="816"/>
      <c r="L14" s="817"/>
    </row>
    <row r="15" spans="2:12" hidden="1" outlineLevel="1">
      <c r="B15" s="808"/>
      <c r="C15" s="808"/>
      <c r="D15" s="808"/>
      <c r="E15" s="810"/>
      <c r="F15" s="821"/>
      <c r="G15" s="811"/>
      <c r="H15" s="811"/>
      <c r="I15" s="811"/>
      <c r="J15" s="811"/>
      <c r="K15" s="811"/>
      <c r="L15" s="812"/>
    </row>
    <row r="16" spans="2:12" hidden="1" outlineLevel="1">
      <c r="B16" s="808"/>
      <c r="C16" s="808"/>
      <c r="D16" s="808" t="s">
        <v>872</v>
      </c>
      <c r="E16" s="810" t="s">
        <v>1442</v>
      </c>
      <c r="F16" s="821"/>
      <c r="G16" s="811"/>
      <c r="H16" s="811"/>
      <c r="I16" s="811">
        <f>-G16</f>
        <v>0</v>
      </c>
      <c r="J16" s="811"/>
      <c r="K16" s="811"/>
      <c r="L16" s="812"/>
    </row>
    <row r="17" spans="2:12" hidden="1" outlineLevel="1">
      <c r="B17" s="808"/>
      <c r="C17" s="808"/>
      <c r="D17" s="808" t="s">
        <v>857</v>
      </c>
      <c r="E17" s="810"/>
      <c r="F17" s="821" t="s">
        <v>100</v>
      </c>
      <c r="G17" s="811"/>
      <c r="H17" s="811"/>
      <c r="I17" s="811"/>
      <c r="J17" s="811"/>
      <c r="K17" s="811"/>
      <c r="L17" s="812"/>
    </row>
    <row r="18" spans="2:12" hidden="1" outlineLevel="1">
      <c r="B18" s="808"/>
      <c r="C18" s="808"/>
      <c r="D18" s="808"/>
      <c r="E18" s="810"/>
      <c r="F18" s="821"/>
      <c r="G18" s="811"/>
      <c r="H18" s="811"/>
      <c r="I18" s="811"/>
      <c r="J18" s="811"/>
      <c r="K18" s="811"/>
      <c r="L18" s="812"/>
    </row>
    <row r="19" spans="2:12" hidden="1" outlineLevel="1">
      <c r="B19" s="598"/>
      <c r="C19" s="598"/>
      <c r="D19" s="598"/>
      <c r="E19" s="599"/>
      <c r="F19" s="600"/>
      <c r="G19" s="601"/>
      <c r="H19" s="601"/>
      <c r="I19" s="601"/>
      <c r="J19" s="601"/>
      <c r="K19" s="601"/>
      <c r="L19" s="602"/>
    </row>
    <row r="20" spans="2:12" hidden="1" outlineLevel="1">
      <c r="B20" s="603"/>
      <c r="C20" s="604"/>
      <c r="D20" s="604"/>
      <c r="E20" s="605"/>
      <c r="F20" s="606"/>
      <c r="G20" s="607"/>
      <c r="H20" s="607"/>
      <c r="I20" s="607"/>
      <c r="J20" s="607"/>
      <c r="K20" s="607"/>
      <c r="L20" s="608"/>
    </row>
    <row r="21" spans="2:12" hidden="1" outlineLevel="1">
      <c r="B21" s="603" t="s">
        <v>1286</v>
      </c>
      <c r="C21" s="604"/>
      <c r="D21" s="604" t="s">
        <v>864</v>
      </c>
      <c r="E21" s="605" t="s">
        <v>70</v>
      </c>
      <c r="F21" s="606"/>
      <c r="G21" s="607"/>
      <c r="H21" s="607"/>
      <c r="I21" s="607"/>
      <c r="J21" s="607"/>
      <c r="K21" s="607"/>
      <c r="L21" s="608"/>
    </row>
    <row r="22" spans="2:12" hidden="1" outlineLevel="1">
      <c r="B22" s="604"/>
      <c r="C22" s="604"/>
      <c r="D22" s="604" t="s">
        <v>837</v>
      </c>
      <c r="E22" s="605"/>
      <c r="F22" s="606" t="s">
        <v>97</v>
      </c>
      <c r="G22" s="607"/>
      <c r="H22" s="607"/>
      <c r="I22" s="607"/>
      <c r="J22" s="607"/>
      <c r="K22" s="607"/>
      <c r="L22" s="819"/>
    </row>
    <row r="23" spans="2:12" hidden="1" outlineLevel="1">
      <c r="B23" s="604"/>
      <c r="C23" s="604"/>
      <c r="D23" s="604" t="s">
        <v>864</v>
      </c>
      <c r="E23" s="820" t="s">
        <v>70</v>
      </c>
      <c r="F23" s="606"/>
      <c r="G23" s="607"/>
      <c r="H23" s="607"/>
      <c r="I23" s="607"/>
      <c r="J23" s="607"/>
      <c r="K23" s="607"/>
      <c r="L23" s="608"/>
    </row>
    <row r="24" spans="2:12" hidden="1" outlineLevel="1">
      <c r="B24" s="604"/>
      <c r="C24" s="604"/>
      <c r="D24" s="604" t="s">
        <v>864</v>
      </c>
      <c r="E24" s="820" t="s">
        <v>70</v>
      </c>
      <c r="F24" s="606"/>
      <c r="G24" s="607"/>
      <c r="H24" s="607"/>
      <c r="I24" s="607"/>
      <c r="J24" s="607"/>
      <c r="K24" s="607"/>
      <c r="L24" s="608"/>
    </row>
    <row r="25" spans="2:12" hidden="1" outlineLevel="1">
      <c r="B25" s="604"/>
      <c r="C25" s="604"/>
      <c r="D25" s="604" t="s">
        <v>837</v>
      </c>
      <c r="E25" s="605"/>
      <c r="F25" s="606" t="s">
        <v>97</v>
      </c>
      <c r="G25" s="607"/>
      <c r="H25" s="607"/>
      <c r="I25" s="607"/>
      <c r="J25" s="607"/>
      <c r="K25" s="607"/>
      <c r="L25" s="608"/>
    </row>
    <row r="26" spans="2:12" hidden="1" outlineLevel="1">
      <c r="B26" s="604"/>
      <c r="C26" s="813"/>
      <c r="D26" s="823"/>
      <c r="E26" s="815"/>
      <c r="F26" s="822"/>
      <c r="G26" s="816"/>
      <c r="H26" s="816"/>
      <c r="I26" s="816"/>
      <c r="J26" s="816"/>
      <c r="K26" s="816"/>
      <c r="L26" s="817"/>
    </row>
    <row r="27" spans="2:12" hidden="1" outlineLevel="1">
      <c r="B27" s="604"/>
      <c r="C27" s="604"/>
      <c r="D27" s="824"/>
      <c r="E27" s="605"/>
      <c r="F27" s="606"/>
      <c r="G27" s="607"/>
      <c r="H27" s="607"/>
      <c r="I27" s="607"/>
      <c r="J27" s="607"/>
      <c r="K27" s="607"/>
      <c r="L27" s="608"/>
    </row>
    <row r="28" spans="2:12" hidden="1" outlineLevel="1">
      <c r="B28" s="604"/>
      <c r="C28" s="604"/>
      <c r="D28" s="824"/>
      <c r="E28" s="605"/>
      <c r="F28" s="606"/>
      <c r="G28" s="607"/>
      <c r="H28" s="607"/>
      <c r="I28" s="607"/>
      <c r="J28" s="607"/>
      <c r="K28" s="607"/>
      <c r="L28" s="608"/>
    </row>
    <row r="29" spans="2:12" hidden="1" outlineLevel="1">
      <c r="B29" s="604"/>
      <c r="C29" s="604"/>
      <c r="D29" s="824" t="s">
        <v>870</v>
      </c>
      <c r="E29" s="605" t="s">
        <v>1266</v>
      </c>
      <c r="F29" s="606"/>
      <c r="G29" s="607"/>
      <c r="H29" s="607"/>
      <c r="I29" s="607">
        <f>-G29</f>
        <v>0</v>
      </c>
      <c r="J29" s="607"/>
      <c r="K29" s="607"/>
      <c r="L29" s="608"/>
    </row>
    <row r="30" spans="2:12" hidden="1" outlineLevel="1">
      <c r="B30" s="604"/>
      <c r="C30" s="604"/>
      <c r="D30" s="824" t="s">
        <v>923</v>
      </c>
      <c r="E30" s="605" t="s">
        <v>1267</v>
      </c>
      <c r="F30" s="606"/>
      <c r="G30" s="607"/>
      <c r="H30" s="607"/>
      <c r="I30" s="607">
        <f t="shared" ref="I30:I31" si="0">-G30</f>
        <v>0</v>
      </c>
      <c r="J30" s="607"/>
      <c r="K30" s="607"/>
      <c r="L30" s="608"/>
    </row>
    <row r="31" spans="2:12" hidden="1" outlineLevel="1">
      <c r="B31" s="604"/>
      <c r="C31" s="604"/>
      <c r="D31" s="824" t="s">
        <v>884</v>
      </c>
      <c r="E31" s="605" t="s">
        <v>1355</v>
      </c>
      <c r="F31" s="606"/>
      <c r="G31" s="607"/>
      <c r="H31" s="607"/>
      <c r="I31" s="607">
        <f t="shared" si="0"/>
        <v>0</v>
      </c>
      <c r="J31" s="607"/>
      <c r="K31" s="607"/>
      <c r="L31" s="608"/>
    </row>
    <row r="32" spans="2:12" hidden="1" outlineLevel="1">
      <c r="B32" s="604"/>
      <c r="C32" s="604"/>
      <c r="D32" s="824" t="s">
        <v>837</v>
      </c>
      <c r="E32" s="605"/>
      <c r="F32" s="606" t="s">
        <v>97</v>
      </c>
      <c r="G32" s="607"/>
      <c r="H32" s="607"/>
      <c r="I32" s="607"/>
      <c r="J32" s="607"/>
      <c r="K32" s="607"/>
      <c r="L32" s="608"/>
    </row>
    <row r="33" spans="2:12" hidden="1" outlineLevel="1">
      <c r="B33" s="604"/>
      <c r="C33" s="604"/>
      <c r="D33" s="824"/>
      <c r="E33" s="605"/>
      <c r="F33" s="606"/>
      <c r="G33" s="607"/>
      <c r="H33" s="607"/>
      <c r="I33" s="607"/>
      <c r="J33" s="607"/>
      <c r="K33" s="607"/>
      <c r="L33" s="608"/>
    </row>
    <row r="34" spans="2:12" hidden="1" outlineLevel="1">
      <c r="B34" s="604"/>
      <c r="C34" s="604"/>
      <c r="D34" s="824"/>
      <c r="E34" s="606"/>
      <c r="F34" s="606"/>
      <c r="G34" s="607"/>
      <c r="H34" s="607"/>
      <c r="I34" s="607"/>
      <c r="J34" s="607"/>
      <c r="K34" s="607"/>
      <c r="L34" s="608"/>
    </row>
    <row r="35" spans="2:12" hidden="1" outlineLevel="1">
      <c r="B35" s="598"/>
      <c r="C35" s="598"/>
      <c r="D35" s="825"/>
      <c r="E35" s="599"/>
      <c r="F35" s="807"/>
      <c r="G35" s="601"/>
      <c r="H35" s="601"/>
      <c r="I35" s="601"/>
      <c r="J35" s="601"/>
      <c r="K35" s="601"/>
      <c r="L35" s="602"/>
    </row>
    <row r="36" spans="2:12" hidden="1" outlineLevel="1">
      <c r="B36" s="604"/>
      <c r="C36" s="604"/>
      <c r="D36" s="826"/>
      <c r="E36" s="605"/>
      <c r="F36" s="609"/>
      <c r="G36" s="607"/>
      <c r="H36" s="607"/>
      <c r="I36" s="607"/>
      <c r="J36" s="607"/>
      <c r="K36" s="607"/>
      <c r="L36" s="608"/>
    </row>
    <row r="37" spans="2:12" hidden="1" outlineLevel="1">
      <c r="B37" s="603" t="s">
        <v>1426</v>
      </c>
      <c r="C37" s="604"/>
      <c r="D37" s="826" t="s">
        <v>864</v>
      </c>
      <c r="E37" s="820" t="s">
        <v>70</v>
      </c>
      <c r="F37" s="609"/>
      <c r="G37" s="607"/>
      <c r="H37" s="607"/>
      <c r="I37" s="607"/>
      <c r="J37" s="607"/>
      <c r="K37" s="607"/>
      <c r="L37" s="819"/>
    </row>
    <row r="38" spans="2:12" hidden="1" outlineLevel="1">
      <c r="B38" s="603" t="s">
        <v>1295</v>
      </c>
      <c r="C38" s="604"/>
      <c r="D38" s="826" t="s">
        <v>1313</v>
      </c>
      <c r="E38" s="605"/>
      <c r="F38" s="609" t="s">
        <v>1294</v>
      </c>
      <c r="G38" s="607"/>
      <c r="H38" s="607"/>
      <c r="I38" s="607"/>
      <c r="J38" s="607"/>
      <c r="K38" s="607"/>
      <c r="L38" s="608"/>
    </row>
    <row r="39" spans="2:12" hidden="1" outlineLevel="1">
      <c r="B39" s="604"/>
      <c r="C39" s="604"/>
      <c r="D39" s="826" t="s">
        <v>864</v>
      </c>
      <c r="E39" s="605" t="s">
        <v>70</v>
      </c>
      <c r="F39" s="609"/>
      <c r="G39" s="607"/>
      <c r="H39" s="607"/>
      <c r="I39" s="607"/>
      <c r="J39" s="607"/>
      <c r="K39" s="607"/>
      <c r="L39" s="608"/>
    </row>
    <row r="40" spans="2:12" hidden="1" outlineLevel="1">
      <c r="B40" s="604"/>
      <c r="C40" s="604"/>
      <c r="D40" s="823"/>
      <c r="E40" s="815"/>
      <c r="F40" s="827"/>
      <c r="G40" s="816"/>
      <c r="H40" s="816"/>
      <c r="I40" s="816"/>
      <c r="J40" s="816"/>
      <c r="K40" s="816"/>
      <c r="L40" s="817"/>
    </row>
    <row r="41" spans="2:12" hidden="1" outlineLevel="1">
      <c r="B41" s="604"/>
      <c r="C41" s="604"/>
      <c r="D41" s="826"/>
      <c r="E41" s="605"/>
      <c r="F41" s="609"/>
      <c r="G41" s="607"/>
      <c r="H41" s="607"/>
      <c r="I41" s="607"/>
      <c r="J41" s="607"/>
      <c r="K41" s="607"/>
      <c r="L41" s="608"/>
    </row>
    <row r="42" spans="2:12" hidden="1" outlineLevel="1">
      <c r="B42" s="808"/>
      <c r="C42" s="808"/>
      <c r="D42" s="828" t="s">
        <v>860</v>
      </c>
      <c r="E42" s="810"/>
      <c r="F42" s="609" t="s">
        <v>1424</v>
      </c>
      <c r="G42" s="811"/>
      <c r="H42" s="811"/>
      <c r="I42" s="811"/>
      <c r="J42" s="811"/>
      <c r="K42" s="811">
        <f>H42</f>
        <v>0</v>
      </c>
      <c r="L42" s="812"/>
    </row>
    <row r="43" spans="2:12" hidden="1" outlineLevel="1">
      <c r="B43" s="808"/>
      <c r="C43" s="808"/>
      <c r="D43" s="828" t="s">
        <v>909</v>
      </c>
      <c r="E43" s="810" t="s">
        <v>1425</v>
      </c>
      <c r="F43" s="609"/>
      <c r="G43" s="811"/>
      <c r="H43" s="811"/>
      <c r="I43" s="811">
        <f>-G43</f>
        <v>0</v>
      </c>
      <c r="J43" s="811"/>
      <c r="K43" s="811"/>
      <c r="L43" s="812"/>
    </row>
    <row r="44" spans="2:12" hidden="1" outlineLevel="1">
      <c r="B44" s="808"/>
      <c r="C44" s="808"/>
      <c r="D44" s="828"/>
      <c r="E44" s="810"/>
      <c r="F44" s="609"/>
      <c r="G44" s="811"/>
      <c r="H44" s="811"/>
      <c r="I44" s="811"/>
      <c r="J44" s="811"/>
      <c r="K44" s="811"/>
      <c r="L44" s="812"/>
    </row>
    <row r="45" spans="2:12" hidden="1" outlineLevel="1">
      <c r="B45" s="808"/>
      <c r="C45" s="808"/>
      <c r="D45" s="828"/>
      <c r="E45" s="810"/>
      <c r="F45" s="609"/>
      <c r="G45" s="811"/>
      <c r="H45" s="811"/>
      <c r="I45" s="811"/>
      <c r="J45" s="811"/>
      <c r="K45" s="811"/>
      <c r="L45" s="812"/>
    </row>
    <row r="46" spans="2:12" hidden="1" outlineLevel="1">
      <c r="B46" s="808"/>
      <c r="C46" s="808"/>
      <c r="D46" s="828" t="s">
        <v>1313</v>
      </c>
      <c r="E46" s="810"/>
      <c r="F46" s="609" t="s">
        <v>1294</v>
      </c>
      <c r="G46" s="811"/>
      <c r="H46" s="811"/>
      <c r="I46" s="811"/>
      <c r="J46" s="811"/>
      <c r="K46" s="811"/>
      <c r="L46" s="812"/>
    </row>
    <row r="47" spans="2:12" hidden="1" outlineLevel="1">
      <c r="B47" s="808"/>
      <c r="C47" s="808"/>
      <c r="D47" s="828" t="s">
        <v>864</v>
      </c>
      <c r="E47" s="810" t="s">
        <v>1268</v>
      </c>
      <c r="F47" s="609"/>
      <c r="G47" s="811"/>
      <c r="H47" s="811"/>
      <c r="I47" s="811"/>
      <c r="J47" s="811"/>
      <c r="K47" s="811"/>
      <c r="L47" s="812"/>
    </row>
    <row r="48" spans="2:12" hidden="1" outlineLevel="1">
      <c r="B48" s="808"/>
      <c r="C48" s="808"/>
      <c r="D48" s="828"/>
      <c r="E48" s="810"/>
      <c r="F48" s="609"/>
      <c r="G48" s="811"/>
      <c r="H48" s="811"/>
      <c r="I48" s="811"/>
      <c r="J48" s="811"/>
      <c r="K48" s="811"/>
      <c r="L48" s="812"/>
    </row>
    <row r="49" spans="2:12" hidden="1" outlineLevel="1">
      <c r="B49" s="808"/>
      <c r="C49" s="808"/>
      <c r="D49" s="828" t="s">
        <v>1313</v>
      </c>
      <c r="E49" s="810" t="s">
        <v>1294</v>
      </c>
      <c r="F49" s="609"/>
      <c r="G49" s="811"/>
      <c r="H49" s="811"/>
      <c r="I49" s="811"/>
      <c r="J49" s="811"/>
      <c r="K49" s="811"/>
      <c r="L49" s="812"/>
    </row>
    <row r="50" spans="2:12" hidden="1" outlineLevel="1">
      <c r="B50" s="808"/>
      <c r="C50" s="808"/>
      <c r="D50" s="828" t="s">
        <v>870</v>
      </c>
      <c r="E50" s="810"/>
      <c r="F50" s="609" t="s">
        <v>108</v>
      </c>
      <c r="G50" s="811"/>
      <c r="H50" s="811"/>
      <c r="I50" s="811">
        <f>H50</f>
        <v>0</v>
      </c>
      <c r="J50" s="811"/>
      <c r="K50" s="811"/>
      <c r="L50" s="812"/>
    </row>
    <row r="51" spans="2:12" hidden="1" outlineLevel="1">
      <c r="B51" s="808"/>
      <c r="C51" s="808"/>
      <c r="D51" s="828"/>
      <c r="E51" s="810"/>
      <c r="F51" s="609"/>
      <c r="G51" s="811"/>
      <c r="H51" s="811"/>
      <c r="I51" s="811"/>
      <c r="J51" s="811"/>
      <c r="K51" s="811"/>
      <c r="L51" s="812"/>
    </row>
    <row r="52" spans="2:12" hidden="1" outlineLevel="1">
      <c r="B52" s="604"/>
      <c r="C52" s="604"/>
      <c r="D52" s="826"/>
      <c r="E52" s="605"/>
      <c r="F52" s="609"/>
      <c r="G52" s="607"/>
      <c r="H52" s="607"/>
      <c r="I52" s="607"/>
      <c r="J52" s="607"/>
      <c r="K52" s="607"/>
      <c r="L52" s="608"/>
    </row>
    <row r="53" spans="2:12" hidden="1" outlineLevel="1">
      <c r="B53" s="598"/>
      <c r="C53" s="598"/>
      <c r="D53" s="825"/>
      <c r="E53" s="599"/>
      <c r="F53" s="807"/>
      <c r="G53" s="601"/>
      <c r="H53" s="601"/>
      <c r="I53" s="601"/>
      <c r="J53" s="601"/>
      <c r="K53" s="601"/>
      <c r="L53" s="602"/>
    </row>
    <row r="54" spans="2:12" hidden="1" outlineLevel="1">
      <c r="B54" s="604"/>
      <c r="C54" s="604"/>
      <c r="D54" s="604"/>
      <c r="E54" s="605"/>
      <c r="F54" s="609"/>
      <c r="G54" s="607"/>
      <c r="H54" s="607"/>
      <c r="I54" s="607"/>
      <c r="J54" s="607"/>
      <c r="K54" s="607"/>
      <c r="L54" s="608"/>
    </row>
    <row r="55" spans="2:12" hidden="1" outlineLevel="1">
      <c r="B55" s="603" t="s">
        <v>1288</v>
      </c>
      <c r="C55" s="604"/>
      <c r="D55" s="604" t="s">
        <v>864</v>
      </c>
      <c r="E55" s="820" t="s">
        <v>70</v>
      </c>
      <c r="F55" s="609"/>
      <c r="G55" s="607"/>
      <c r="H55" s="607"/>
      <c r="I55" s="607"/>
      <c r="J55" s="607"/>
      <c r="K55" s="607"/>
      <c r="L55" s="819"/>
    </row>
    <row r="56" spans="2:12" hidden="1" outlineLevel="1">
      <c r="B56" s="604"/>
      <c r="C56" s="604"/>
      <c r="D56" s="604" t="s">
        <v>864</v>
      </c>
      <c r="E56" s="820" t="s">
        <v>70</v>
      </c>
      <c r="F56" s="609"/>
      <c r="G56" s="607"/>
      <c r="H56" s="607"/>
      <c r="I56" s="607"/>
      <c r="J56" s="607"/>
      <c r="K56" s="607"/>
      <c r="L56" s="608"/>
    </row>
    <row r="57" spans="2:12" hidden="1" outlineLevel="1">
      <c r="B57" s="604"/>
      <c r="C57" s="604"/>
      <c r="D57" s="604" t="s">
        <v>864</v>
      </c>
      <c r="E57" s="605"/>
      <c r="F57" s="820" t="s">
        <v>70</v>
      </c>
      <c r="G57" s="607"/>
      <c r="H57" s="607"/>
      <c r="I57" s="607"/>
      <c r="J57" s="607"/>
      <c r="K57" s="607"/>
      <c r="L57" s="608"/>
    </row>
    <row r="58" spans="2:12" hidden="1" outlineLevel="1">
      <c r="B58" s="604"/>
      <c r="C58" s="604"/>
      <c r="D58" s="604"/>
      <c r="E58" s="605"/>
      <c r="F58" s="609"/>
      <c r="G58" s="607"/>
      <c r="H58" s="607"/>
      <c r="I58" s="607"/>
      <c r="J58" s="607"/>
      <c r="K58" s="607"/>
      <c r="L58" s="608"/>
    </row>
    <row r="59" spans="2:12" hidden="1" outlineLevel="1">
      <c r="B59" s="604"/>
      <c r="C59" s="604"/>
      <c r="D59" s="604"/>
      <c r="E59" s="605"/>
      <c r="F59" s="609"/>
      <c r="G59" s="607"/>
      <c r="H59" s="607"/>
      <c r="I59" s="607"/>
      <c r="J59" s="607"/>
      <c r="K59" s="607"/>
      <c r="L59" s="608"/>
    </row>
    <row r="60" spans="2:12" hidden="1" outlineLevel="1">
      <c r="B60" s="604"/>
      <c r="C60" s="604"/>
      <c r="D60" s="604"/>
      <c r="E60" s="605"/>
      <c r="F60" s="609"/>
      <c r="G60" s="607"/>
      <c r="H60" s="607"/>
      <c r="I60" s="607"/>
      <c r="J60" s="607"/>
      <c r="K60" s="607"/>
      <c r="L60" s="608"/>
    </row>
    <row r="61" spans="2:12" hidden="1" outlineLevel="1">
      <c r="B61" s="598"/>
      <c r="C61" s="598"/>
      <c r="D61" s="598"/>
      <c r="E61" s="599"/>
      <c r="F61" s="807"/>
      <c r="G61" s="601"/>
      <c r="H61" s="601"/>
      <c r="I61" s="601"/>
      <c r="J61" s="601"/>
      <c r="K61" s="601"/>
      <c r="L61" s="602"/>
    </row>
    <row r="62" spans="2:12" hidden="1" outlineLevel="1">
      <c r="B62" s="604"/>
      <c r="C62" s="604"/>
      <c r="D62" s="604"/>
      <c r="E62" s="605"/>
      <c r="F62" s="609"/>
      <c r="G62" s="607"/>
      <c r="H62" s="607"/>
      <c r="I62" s="607"/>
      <c r="J62" s="607"/>
      <c r="K62" s="607"/>
      <c r="L62" s="608"/>
    </row>
    <row r="63" spans="2:12" hidden="1" outlineLevel="1">
      <c r="B63" s="603" t="s">
        <v>1289</v>
      </c>
      <c r="C63" s="604"/>
      <c r="D63" s="604" t="s">
        <v>864</v>
      </c>
      <c r="E63" s="820" t="s">
        <v>70</v>
      </c>
      <c r="F63" s="609"/>
      <c r="G63" s="607"/>
      <c r="H63" s="607"/>
      <c r="I63" s="607"/>
      <c r="J63" s="607"/>
      <c r="K63" s="607"/>
      <c r="L63" s="819"/>
    </row>
    <row r="64" spans="2:12" hidden="1" outlineLevel="1">
      <c r="B64" s="808"/>
      <c r="C64" s="808"/>
      <c r="D64" s="604" t="s">
        <v>864</v>
      </c>
      <c r="E64" s="820" t="s">
        <v>70</v>
      </c>
      <c r="F64" s="609"/>
      <c r="G64" s="607"/>
      <c r="H64" s="811"/>
      <c r="I64" s="811"/>
      <c r="J64" s="811"/>
      <c r="K64" s="811"/>
      <c r="L64" s="819"/>
    </row>
    <row r="65" spans="2:12" hidden="1" outlineLevel="1">
      <c r="B65" s="808"/>
      <c r="C65" s="808"/>
      <c r="D65" s="604" t="s">
        <v>864</v>
      </c>
      <c r="E65" s="820" t="s">
        <v>70</v>
      </c>
      <c r="F65" s="609"/>
      <c r="G65" s="607"/>
      <c r="H65" s="811"/>
      <c r="I65" s="811"/>
      <c r="J65" s="811"/>
      <c r="K65" s="811"/>
      <c r="L65" s="812"/>
    </row>
    <row r="66" spans="2:12" hidden="1" outlineLevel="1">
      <c r="B66" s="604"/>
      <c r="C66" s="604"/>
      <c r="D66" s="604" t="s">
        <v>864</v>
      </c>
      <c r="E66" s="820" t="s">
        <v>70</v>
      </c>
      <c r="F66" s="609"/>
      <c r="G66" s="607"/>
      <c r="H66" s="607"/>
      <c r="I66" s="607"/>
      <c r="J66" s="607"/>
      <c r="K66" s="607"/>
      <c r="L66" s="608"/>
    </row>
    <row r="67" spans="2:12" hidden="1" outlineLevel="1">
      <c r="B67" s="604"/>
      <c r="C67" s="604"/>
      <c r="D67" s="604" t="s">
        <v>864</v>
      </c>
      <c r="E67" s="605"/>
      <c r="F67" s="820" t="s">
        <v>70</v>
      </c>
      <c r="G67" s="607"/>
      <c r="H67" s="607"/>
      <c r="I67" s="607"/>
      <c r="J67" s="607"/>
      <c r="K67" s="607"/>
      <c r="L67" s="608"/>
    </row>
    <row r="68" spans="2:12" hidden="1" outlineLevel="1">
      <c r="B68" s="808"/>
      <c r="C68" s="813"/>
      <c r="D68" s="813"/>
      <c r="E68" s="815"/>
      <c r="F68" s="827"/>
      <c r="G68" s="816"/>
      <c r="H68" s="816"/>
      <c r="I68" s="816"/>
      <c r="J68" s="816"/>
      <c r="K68" s="816"/>
      <c r="L68" s="817"/>
    </row>
    <row r="69" spans="2:12" hidden="1" outlineLevel="1">
      <c r="B69" s="808"/>
      <c r="C69" s="808"/>
      <c r="D69" s="808"/>
      <c r="E69" s="810"/>
      <c r="F69" s="609"/>
      <c r="G69" s="811"/>
      <c r="H69" s="811"/>
      <c r="I69" s="811"/>
      <c r="J69" s="811"/>
      <c r="K69" s="811"/>
      <c r="L69" s="608"/>
    </row>
    <row r="70" spans="2:12" hidden="1" outlineLevel="1">
      <c r="B70" s="808"/>
      <c r="C70" s="808"/>
      <c r="D70" s="808" t="s">
        <v>818</v>
      </c>
      <c r="E70" s="810" t="s">
        <v>359</v>
      </c>
      <c r="F70" s="609"/>
      <c r="G70" s="811"/>
      <c r="H70" s="811"/>
      <c r="I70" s="811"/>
      <c r="J70" s="811"/>
      <c r="K70" s="811"/>
      <c r="L70" s="812"/>
    </row>
    <row r="71" spans="2:12" hidden="1" outlineLevel="1">
      <c r="B71" s="808"/>
      <c r="C71" s="808"/>
      <c r="D71" s="808" t="s">
        <v>819</v>
      </c>
      <c r="E71" s="810" t="s">
        <v>1290</v>
      </c>
      <c r="F71" s="609"/>
      <c r="G71" s="811"/>
      <c r="H71" s="811"/>
      <c r="I71" s="811"/>
      <c r="J71" s="811"/>
      <c r="K71" s="811"/>
      <c r="L71" s="812"/>
    </row>
    <row r="72" spans="2:12" hidden="1" outlineLevel="1">
      <c r="B72" s="808"/>
      <c r="C72" s="808"/>
      <c r="D72" s="808" t="s">
        <v>1351</v>
      </c>
      <c r="E72" s="810" t="s">
        <v>1352</v>
      </c>
      <c r="F72" s="609"/>
      <c r="G72" s="811"/>
      <c r="H72" s="811"/>
      <c r="I72" s="811"/>
      <c r="J72" s="811"/>
      <c r="K72" s="811"/>
      <c r="L72" s="812"/>
    </row>
    <row r="73" spans="2:12" hidden="1" outlineLevel="1">
      <c r="B73" s="808"/>
      <c r="C73" s="808"/>
      <c r="D73" s="808" t="s">
        <v>841</v>
      </c>
      <c r="E73" s="810"/>
      <c r="F73" s="609" t="s">
        <v>638</v>
      </c>
      <c r="G73" s="811"/>
      <c r="H73" s="811"/>
      <c r="I73" s="811"/>
      <c r="J73" s="811"/>
      <c r="K73" s="811"/>
      <c r="L73" s="812"/>
    </row>
    <row r="74" spans="2:12" hidden="1" outlineLevel="1">
      <c r="B74" s="808"/>
      <c r="C74" s="808"/>
      <c r="D74" s="808" t="s">
        <v>851</v>
      </c>
      <c r="E74" s="810"/>
      <c r="F74" s="609" t="s">
        <v>437</v>
      </c>
      <c r="G74" s="811"/>
      <c r="H74" s="811"/>
      <c r="I74" s="811"/>
      <c r="J74" s="811"/>
      <c r="K74" s="811"/>
      <c r="L74" s="812"/>
    </row>
    <row r="75" spans="2:12" hidden="1" outlineLevel="1">
      <c r="B75" s="808"/>
      <c r="C75" s="808"/>
      <c r="D75" s="808"/>
      <c r="E75" s="810"/>
      <c r="F75" s="609"/>
      <c r="G75" s="811"/>
      <c r="H75" s="811"/>
      <c r="I75" s="811"/>
      <c r="J75" s="811"/>
      <c r="K75" s="811"/>
      <c r="L75" s="812"/>
    </row>
    <row r="76" spans="2:12" hidden="1" outlineLevel="1">
      <c r="B76" s="808"/>
      <c r="C76" s="808"/>
      <c r="D76" s="808" t="s">
        <v>879</v>
      </c>
      <c r="E76" s="810" t="s">
        <v>1419</v>
      </c>
      <c r="F76" s="609"/>
      <c r="G76" s="811"/>
      <c r="H76" s="811"/>
      <c r="I76" s="811">
        <f>-G76</f>
        <v>0</v>
      </c>
      <c r="J76" s="811"/>
      <c r="K76" s="811"/>
      <c r="L76" s="812"/>
    </row>
    <row r="77" spans="2:12" hidden="1" outlineLevel="1">
      <c r="B77" s="808"/>
      <c r="C77" s="808"/>
      <c r="D77" s="808">
        <v>51800</v>
      </c>
      <c r="E77" s="810" t="s">
        <v>1420</v>
      </c>
      <c r="F77" s="609"/>
      <c r="G77" s="811"/>
      <c r="H77" s="811"/>
      <c r="I77" s="811">
        <f t="shared" ref="I77:I79" si="1">-G77</f>
        <v>0</v>
      </c>
      <c r="J77" s="811"/>
      <c r="K77" s="811"/>
      <c r="L77" s="812"/>
    </row>
    <row r="78" spans="2:12" hidden="1" outlineLevel="1">
      <c r="B78" s="808"/>
      <c r="C78" s="808"/>
      <c r="D78" s="808" t="s">
        <v>884</v>
      </c>
      <c r="E78" s="810" t="s">
        <v>1421</v>
      </c>
      <c r="F78" s="609"/>
      <c r="G78" s="811"/>
      <c r="H78" s="811"/>
      <c r="I78" s="811">
        <f t="shared" si="1"/>
        <v>0</v>
      </c>
      <c r="J78" s="811"/>
      <c r="K78" s="811"/>
      <c r="L78" s="812"/>
    </row>
    <row r="79" spans="2:12" hidden="1" outlineLevel="1">
      <c r="B79" s="604"/>
      <c r="C79" s="604"/>
      <c r="D79" s="604" t="s">
        <v>906</v>
      </c>
      <c r="E79" s="605" t="s">
        <v>25</v>
      </c>
      <c r="F79" s="609"/>
      <c r="G79" s="607"/>
      <c r="H79" s="607"/>
      <c r="I79" s="811">
        <f t="shared" si="1"/>
        <v>0</v>
      </c>
      <c r="J79" s="607"/>
      <c r="K79" s="607"/>
      <c r="L79" s="608"/>
    </row>
    <row r="80" spans="2:12" hidden="1" outlineLevel="1">
      <c r="B80" s="604"/>
      <c r="C80" s="604"/>
      <c r="D80" s="604" t="s">
        <v>903</v>
      </c>
      <c r="E80" s="605"/>
      <c r="F80" s="609" t="s">
        <v>208</v>
      </c>
      <c r="G80" s="607"/>
      <c r="H80" s="607"/>
      <c r="I80" s="607">
        <f>H80</f>
        <v>0</v>
      </c>
      <c r="J80" s="607"/>
      <c r="K80" s="607"/>
      <c r="L80" s="608"/>
    </row>
    <row r="81" spans="2:12" hidden="1" outlineLevel="1">
      <c r="B81" s="808"/>
      <c r="C81" s="808"/>
      <c r="D81" s="808"/>
      <c r="E81" s="810"/>
      <c r="F81" s="609"/>
      <c r="G81" s="811"/>
      <c r="H81" s="811"/>
      <c r="I81" s="811"/>
      <c r="J81" s="811"/>
      <c r="K81" s="811"/>
      <c r="L81" s="812"/>
    </row>
    <row r="82" spans="2:12" hidden="1" outlineLevel="1">
      <c r="B82" s="808"/>
      <c r="C82" s="808"/>
      <c r="D82" s="808" t="s">
        <v>880</v>
      </c>
      <c r="E82" s="810" t="s">
        <v>352</v>
      </c>
      <c r="F82" s="609"/>
      <c r="G82" s="811"/>
      <c r="H82" s="811"/>
      <c r="I82" s="607">
        <f>-G82</f>
        <v>0</v>
      </c>
      <c r="J82" s="811"/>
      <c r="K82" s="811"/>
      <c r="L82" s="812"/>
    </row>
    <row r="83" spans="2:12" hidden="1" outlineLevel="1">
      <c r="B83" s="808"/>
      <c r="C83" s="808"/>
      <c r="D83" s="808" t="s">
        <v>961</v>
      </c>
      <c r="E83" s="810" t="s">
        <v>1440</v>
      </c>
      <c r="F83" s="609"/>
      <c r="G83" s="811"/>
      <c r="H83" s="811"/>
      <c r="I83" s="607">
        <f>-G83</f>
        <v>0</v>
      </c>
      <c r="J83" s="811"/>
      <c r="K83" s="811"/>
      <c r="L83" s="812"/>
    </row>
    <row r="84" spans="2:12" hidden="1" outlineLevel="1">
      <c r="B84" s="808"/>
      <c r="C84" s="808"/>
      <c r="D84" s="604" t="s">
        <v>864</v>
      </c>
      <c r="E84" s="605" t="s">
        <v>70</v>
      </c>
      <c r="F84" s="609"/>
      <c r="G84" s="811"/>
      <c r="H84" s="811"/>
      <c r="I84" s="811"/>
      <c r="J84" s="811"/>
      <c r="K84" s="811"/>
      <c r="L84" s="812"/>
    </row>
    <row r="85" spans="2:12" hidden="1" outlineLevel="1">
      <c r="B85" s="598"/>
      <c r="C85" s="598"/>
      <c r="D85" s="598"/>
      <c r="E85" s="599"/>
      <c r="F85" s="807"/>
      <c r="G85" s="601"/>
      <c r="H85" s="601"/>
      <c r="I85" s="601"/>
      <c r="J85" s="601"/>
      <c r="K85" s="601"/>
      <c r="L85" s="602"/>
    </row>
    <row r="86" spans="2:12" hidden="1" outlineLevel="1">
      <c r="B86" s="604"/>
      <c r="C86" s="604"/>
      <c r="D86" s="604"/>
      <c r="E86" s="605"/>
      <c r="F86" s="609"/>
      <c r="G86" s="607"/>
      <c r="H86" s="607"/>
      <c r="I86" s="607"/>
      <c r="J86" s="607"/>
      <c r="K86" s="607"/>
      <c r="L86" s="608"/>
    </row>
    <row r="87" spans="2:12" hidden="1" outlineLevel="1">
      <c r="B87" s="603" t="s">
        <v>1291</v>
      </c>
      <c r="C87" s="604"/>
      <c r="D87" s="604" t="s">
        <v>864</v>
      </c>
      <c r="E87" s="820" t="s">
        <v>70</v>
      </c>
      <c r="F87" s="609"/>
      <c r="G87" s="607"/>
      <c r="H87" s="607"/>
      <c r="I87" s="607"/>
      <c r="J87" s="607"/>
      <c r="K87" s="607"/>
      <c r="L87" s="819"/>
    </row>
    <row r="88" spans="2:12" hidden="1" outlineLevel="1">
      <c r="B88" s="604"/>
      <c r="C88" s="604"/>
      <c r="D88" s="604" t="s">
        <v>864</v>
      </c>
      <c r="E88" s="605" t="s">
        <v>70</v>
      </c>
      <c r="F88" s="609"/>
      <c r="G88" s="607"/>
      <c r="H88" s="607"/>
      <c r="I88" s="607"/>
      <c r="J88" s="607"/>
      <c r="K88" s="607"/>
      <c r="L88" s="608"/>
    </row>
    <row r="89" spans="2:12" hidden="1" outlineLevel="1">
      <c r="B89" s="604"/>
      <c r="C89" s="604"/>
      <c r="D89" s="604" t="s">
        <v>864</v>
      </c>
      <c r="E89" s="820" t="s">
        <v>70</v>
      </c>
      <c r="F89" s="609"/>
      <c r="G89" s="607"/>
      <c r="H89" s="607"/>
      <c r="I89" s="607"/>
      <c r="J89" s="607"/>
      <c r="K89" s="607"/>
      <c r="L89" s="608"/>
    </row>
    <row r="90" spans="2:12" hidden="1" outlineLevel="1">
      <c r="B90" s="604"/>
      <c r="C90" s="604"/>
      <c r="D90" s="604" t="s">
        <v>864</v>
      </c>
      <c r="E90" s="820" t="s">
        <v>70</v>
      </c>
      <c r="F90" s="609"/>
      <c r="G90" s="607"/>
      <c r="H90" s="607"/>
      <c r="I90" s="607"/>
      <c r="J90" s="607"/>
      <c r="K90" s="607"/>
      <c r="L90" s="608"/>
    </row>
    <row r="91" spans="2:12" hidden="1" outlineLevel="1">
      <c r="B91" s="604"/>
      <c r="C91" s="604"/>
      <c r="D91" s="604" t="s">
        <v>864</v>
      </c>
      <c r="E91" s="820" t="s">
        <v>70</v>
      </c>
      <c r="F91" s="609"/>
      <c r="G91" s="607"/>
      <c r="H91" s="607"/>
      <c r="I91" s="607"/>
      <c r="J91" s="607"/>
      <c r="K91" s="607"/>
      <c r="L91" s="608"/>
    </row>
    <row r="92" spans="2:12" hidden="1" outlineLevel="1">
      <c r="B92" s="604"/>
      <c r="C92" s="604"/>
      <c r="D92" s="604" t="s">
        <v>864</v>
      </c>
      <c r="E92" s="820" t="s">
        <v>70</v>
      </c>
      <c r="F92" s="609"/>
      <c r="G92" s="607"/>
      <c r="H92" s="607"/>
      <c r="I92" s="607"/>
      <c r="J92" s="607"/>
      <c r="K92" s="607"/>
      <c r="L92" s="608"/>
    </row>
    <row r="93" spans="2:12" hidden="1" outlineLevel="1">
      <c r="B93" s="604"/>
      <c r="C93" s="604"/>
      <c r="D93" s="604" t="s">
        <v>767</v>
      </c>
      <c r="E93" s="605" t="s">
        <v>60</v>
      </c>
      <c r="F93" s="609"/>
      <c r="G93" s="607"/>
      <c r="H93" s="607"/>
      <c r="I93" s="607"/>
      <c r="J93" s="607"/>
      <c r="K93" s="607"/>
      <c r="L93" s="608"/>
    </row>
    <row r="94" spans="2:12" hidden="1" outlineLevel="1">
      <c r="B94" s="604"/>
      <c r="C94" s="604"/>
      <c r="D94" s="604" t="s">
        <v>864</v>
      </c>
      <c r="E94" s="820" t="s">
        <v>70</v>
      </c>
      <c r="F94" s="609"/>
      <c r="G94" s="607"/>
      <c r="H94" s="607"/>
      <c r="I94" s="607"/>
      <c r="J94" s="607"/>
      <c r="K94" s="607"/>
      <c r="L94" s="608"/>
    </row>
    <row r="95" spans="2:12" hidden="1" outlineLevel="1">
      <c r="B95" s="808"/>
      <c r="C95" s="808"/>
      <c r="D95" s="808" t="s">
        <v>835</v>
      </c>
      <c r="E95" s="829" t="s">
        <v>7</v>
      </c>
      <c r="F95" s="609"/>
      <c r="G95" s="811"/>
      <c r="H95" s="811"/>
      <c r="I95" s="811"/>
      <c r="J95" s="811"/>
      <c r="K95" s="811"/>
      <c r="L95" s="812"/>
    </row>
    <row r="96" spans="2:12" hidden="1" outlineLevel="1">
      <c r="B96" s="808"/>
      <c r="C96" s="808"/>
      <c r="D96" s="808" t="s">
        <v>864</v>
      </c>
      <c r="E96" s="829"/>
      <c r="F96" s="609" t="s">
        <v>70</v>
      </c>
      <c r="G96" s="811"/>
      <c r="H96" s="811"/>
      <c r="I96" s="811"/>
      <c r="J96" s="811"/>
      <c r="K96" s="811"/>
      <c r="L96" s="812"/>
    </row>
    <row r="97" spans="2:12" hidden="1" outlineLevel="1">
      <c r="B97" s="604"/>
      <c r="C97" s="604"/>
      <c r="D97" s="604" t="s">
        <v>835</v>
      </c>
      <c r="E97" s="605"/>
      <c r="F97" s="609" t="s">
        <v>1271</v>
      </c>
      <c r="G97" s="607"/>
      <c r="H97" s="607"/>
      <c r="I97" s="607"/>
      <c r="J97" s="607"/>
      <c r="K97" s="607"/>
      <c r="L97" s="608"/>
    </row>
    <row r="98" spans="2:12" hidden="1" outlineLevel="1">
      <c r="B98" s="604"/>
      <c r="C98" s="604"/>
      <c r="D98" s="604" t="s">
        <v>864</v>
      </c>
      <c r="E98" s="605"/>
      <c r="F98" s="820" t="s">
        <v>70</v>
      </c>
      <c r="G98" s="607"/>
      <c r="H98" s="607"/>
      <c r="I98" s="607"/>
      <c r="J98" s="607"/>
      <c r="K98" s="607"/>
      <c r="L98" s="608"/>
    </row>
    <row r="99" spans="2:12" hidden="1" outlineLevel="1">
      <c r="B99" s="604"/>
      <c r="C99" s="604"/>
      <c r="D99" s="604" t="s">
        <v>864</v>
      </c>
      <c r="E99" s="605"/>
      <c r="F99" s="820" t="s">
        <v>70</v>
      </c>
      <c r="G99" s="607"/>
      <c r="H99" s="607"/>
      <c r="I99" s="607"/>
      <c r="J99" s="607"/>
      <c r="K99" s="607"/>
      <c r="L99" s="608"/>
    </row>
    <row r="100" spans="2:12" hidden="1" outlineLevel="1">
      <c r="B100" s="604"/>
      <c r="C100" s="604"/>
      <c r="D100" s="604" t="s">
        <v>864</v>
      </c>
      <c r="E100" s="605"/>
      <c r="F100" s="820" t="s">
        <v>70</v>
      </c>
      <c r="G100" s="607"/>
      <c r="H100" s="607"/>
      <c r="I100" s="607"/>
      <c r="J100" s="607"/>
      <c r="K100" s="607"/>
      <c r="L100" s="608"/>
    </row>
    <row r="101" spans="2:12" hidden="1" outlineLevel="1">
      <c r="B101" s="604"/>
      <c r="C101" s="604"/>
      <c r="D101" s="604" t="s">
        <v>864</v>
      </c>
      <c r="E101" s="605"/>
      <c r="F101" s="820" t="s">
        <v>70</v>
      </c>
      <c r="G101" s="607"/>
      <c r="H101" s="607"/>
      <c r="I101" s="607"/>
      <c r="J101" s="607"/>
      <c r="K101" s="607"/>
      <c r="L101" s="608"/>
    </row>
    <row r="102" spans="2:12" hidden="1" outlineLevel="1">
      <c r="B102" s="604"/>
      <c r="C102" s="604"/>
      <c r="D102" s="604" t="s">
        <v>864</v>
      </c>
      <c r="E102" s="605"/>
      <c r="F102" s="820" t="s">
        <v>70</v>
      </c>
      <c r="G102" s="607"/>
      <c r="H102" s="607"/>
      <c r="I102" s="607"/>
      <c r="J102" s="607"/>
      <c r="K102" s="607"/>
      <c r="L102" s="608"/>
    </row>
    <row r="103" spans="2:12" hidden="1" outlineLevel="1">
      <c r="B103" s="604"/>
      <c r="C103" s="604"/>
      <c r="D103" s="604" t="s">
        <v>864</v>
      </c>
      <c r="E103" s="605"/>
      <c r="F103" s="820" t="s">
        <v>70</v>
      </c>
      <c r="G103" s="607"/>
      <c r="H103" s="607"/>
      <c r="I103" s="607"/>
      <c r="J103" s="607"/>
      <c r="K103" s="607"/>
      <c r="L103" s="608"/>
    </row>
    <row r="104" spans="2:12" hidden="1" outlineLevel="1">
      <c r="B104" s="604"/>
      <c r="C104" s="604"/>
      <c r="D104" s="604" t="s">
        <v>1319</v>
      </c>
      <c r="E104" s="605"/>
      <c r="F104" s="609" t="s">
        <v>1423</v>
      </c>
      <c r="G104" s="607"/>
      <c r="H104" s="607"/>
      <c r="I104" s="607">
        <f>H104</f>
        <v>0</v>
      </c>
      <c r="J104" s="607"/>
      <c r="K104" s="607"/>
      <c r="L104" s="608"/>
    </row>
    <row r="105" spans="2:12" hidden="1" outlineLevel="1">
      <c r="B105" s="604"/>
      <c r="C105" s="604"/>
      <c r="D105" s="604"/>
      <c r="E105" s="605"/>
      <c r="F105" s="609"/>
      <c r="G105" s="607"/>
      <c r="H105" s="607"/>
      <c r="I105" s="607"/>
      <c r="J105" s="607"/>
      <c r="K105" s="607"/>
      <c r="L105" s="608"/>
    </row>
    <row r="106" spans="2:12" hidden="1" outlineLevel="1">
      <c r="B106" s="604"/>
      <c r="C106" s="604"/>
      <c r="D106" s="604" t="s">
        <v>767</v>
      </c>
      <c r="E106" s="605"/>
      <c r="F106" s="609" t="s">
        <v>60</v>
      </c>
      <c r="G106" s="607"/>
      <c r="H106" s="607"/>
      <c r="I106" s="607"/>
      <c r="J106" s="607"/>
      <c r="K106" s="607"/>
      <c r="L106" s="608"/>
    </row>
    <row r="107" spans="2:12" hidden="1" outlineLevel="1">
      <c r="B107" s="604"/>
      <c r="C107" s="604"/>
      <c r="D107" s="604" t="s">
        <v>867</v>
      </c>
      <c r="E107" s="605" t="s">
        <v>1526</v>
      </c>
      <c r="F107" s="609"/>
      <c r="G107" s="607"/>
      <c r="H107" s="607"/>
      <c r="I107" s="607">
        <f>-G107</f>
        <v>0</v>
      </c>
      <c r="J107" s="607"/>
      <c r="K107" s="607"/>
      <c r="L107" s="608"/>
    </row>
    <row r="108" spans="2:12" hidden="1" outlineLevel="1">
      <c r="B108" s="598"/>
      <c r="C108" s="598"/>
      <c r="D108" s="598"/>
      <c r="E108" s="599"/>
      <c r="F108" s="807"/>
      <c r="G108" s="601"/>
      <c r="H108" s="601"/>
      <c r="I108" s="601"/>
      <c r="J108" s="601"/>
      <c r="K108" s="601"/>
      <c r="L108" s="602"/>
    </row>
    <row r="109" spans="2:12" hidden="1" outlineLevel="1">
      <c r="B109" s="604"/>
      <c r="C109" s="604"/>
      <c r="D109" s="604"/>
      <c r="E109" s="605"/>
      <c r="F109" s="609"/>
      <c r="G109" s="607"/>
      <c r="H109" s="607"/>
      <c r="I109" s="607"/>
      <c r="J109" s="607"/>
      <c r="K109" s="607"/>
      <c r="L109" s="608"/>
    </row>
    <row r="110" spans="2:12" hidden="1" outlineLevel="1">
      <c r="B110" s="603" t="s">
        <v>1292</v>
      </c>
      <c r="C110" s="604"/>
      <c r="D110" s="604"/>
      <c r="E110" s="605"/>
      <c r="F110" s="609"/>
      <c r="G110" s="607"/>
      <c r="H110" s="607"/>
      <c r="I110" s="607"/>
      <c r="J110" s="607"/>
      <c r="K110" s="607"/>
      <c r="L110" s="819"/>
    </row>
    <row r="111" spans="2:12" hidden="1" outlineLevel="1">
      <c r="B111" s="604"/>
      <c r="C111" s="604"/>
      <c r="D111" s="604" t="s">
        <v>864</v>
      </c>
      <c r="E111" s="820" t="s">
        <v>70</v>
      </c>
      <c r="F111" s="609"/>
      <c r="G111" s="607"/>
      <c r="H111" s="607"/>
      <c r="I111" s="607"/>
      <c r="J111" s="607"/>
      <c r="K111" s="607"/>
      <c r="L111" s="608"/>
    </row>
    <row r="112" spans="2:12" hidden="1" outlineLevel="1">
      <c r="B112" s="604"/>
      <c r="C112" s="604"/>
      <c r="D112" s="604" t="s">
        <v>768</v>
      </c>
      <c r="E112" s="605"/>
      <c r="F112" s="609" t="s">
        <v>417</v>
      </c>
      <c r="G112" s="607"/>
      <c r="H112" s="607"/>
      <c r="I112" s="607"/>
      <c r="J112" s="607"/>
      <c r="K112" s="607"/>
      <c r="L112" s="608"/>
    </row>
    <row r="113" spans="2:12" hidden="1" outlineLevel="1">
      <c r="B113" s="604"/>
      <c r="C113" s="604"/>
      <c r="D113" s="604"/>
      <c r="E113" s="605"/>
      <c r="F113" s="609"/>
      <c r="G113" s="607"/>
      <c r="H113" s="607"/>
      <c r="I113" s="607"/>
      <c r="J113" s="607"/>
      <c r="K113" s="607"/>
      <c r="L113" s="608"/>
    </row>
    <row r="114" spans="2:12" hidden="1" outlineLevel="1">
      <c r="B114" s="604"/>
      <c r="C114" s="604"/>
      <c r="D114" s="813"/>
      <c r="E114" s="815"/>
      <c r="F114" s="827"/>
      <c r="G114" s="816"/>
      <c r="H114" s="816"/>
      <c r="I114" s="816"/>
      <c r="J114" s="816"/>
      <c r="K114" s="816"/>
      <c r="L114" s="817"/>
    </row>
    <row r="115" spans="2:12" hidden="1" outlineLevel="1">
      <c r="B115" s="604"/>
      <c r="C115" s="604"/>
      <c r="D115" s="604"/>
      <c r="E115" s="605"/>
      <c r="F115" s="609"/>
      <c r="G115" s="607"/>
      <c r="H115" s="607"/>
      <c r="I115" s="607"/>
      <c r="J115" s="607"/>
      <c r="K115" s="607"/>
      <c r="L115" s="608"/>
    </row>
    <row r="116" spans="2:12" hidden="1" outlineLevel="1">
      <c r="B116" s="604"/>
      <c r="C116" s="604"/>
      <c r="D116" s="604" t="s">
        <v>893</v>
      </c>
      <c r="E116" s="605" t="s">
        <v>109</v>
      </c>
      <c r="F116" s="609"/>
      <c r="G116" s="607"/>
      <c r="H116" s="607"/>
      <c r="I116" s="607">
        <f>-G116</f>
        <v>0</v>
      </c>
      <c r="J116" s="607"/>
      <c r="K116" s="607"/>
      <c r="L116" s="608"/>
    </row>
    <row r="117" spans="2:12" hidden="1" outlineLevel="1">
      <c r="B117" s="604"/>
      <c r="C117" s="604"/>
      <c r="D117" s="604" t="s">
        <v>768</v>
      </c>
      <c r="E117" s="605"/>
      <c r="F117" s="609" t="s">
        <v>417</v>
      </c>
      <c r="G117" s="607"/>
      <c r="H117" s="607"/>
      <c r="I117" s="607"/>
      <c r="J117" s="607"/>
      <c r="K117" s="607"/>
      <c r="L117" s="608"/>
    </row>
    <row r="118" spans="2:12" hidden="1" outlineLevel="1">
      <c r="B118" s="604"/>
      <c r="C118" s="604"/>
      <c r="D118" s="604"/>
      <c r="E118" s="605"/>
      <c r="F118" s="609"/>
      <c r="G118" s="607"/>
      <c r="H118" s="607"/>
      <c r="I118" s="607"/>
      <c r="J118" s="607"/>
      <c r="K118" s="607"/>
      <c r="L118" s="608"/>
    </row>
    <row r="119" spans="2:12" hidden="1" outlineLevel="1">
      <c r="B119" s="813"/>
      <c r="C119" s="813"/>
      <c r="D119" s="813"/>
      <c r="E119" s="815"/>
      <c r="F119" s="827"/>
      <c r="G119" s="816"/>
      <c r="H119" s="816"/>
      <c r="I119" s="816"/>
      <c r="J119" s="816"/>
      <c r="K119" s="816"/>
      <c r="L119" s="817"/>
    </row>
    <row r="120" spans="2:12" hidden="1" outlineLevel="1">
      <c r="B120" s="604"/>
      <c r="C120" s="604"/>
      <c r="D120" s="604"/>
      <c r="E120" s="605"/>
      <c r="F120" s="609"/>
      <c r="G120" s="607"/>
      <c r="H120" s="607"/>
      <c r="I120" s="607"/>
      <c r="J120" s="607"/>
      <c r="K120" s="607"/>
      <c r="L120" s="608"/>
    </row>
    <row r="121" spans="2:12" hidden="1" outlineLevel="1">
      <c r="B121" s="603" t="s">
        <v>1427</v>
      </c>
      <c r="C121" s="604"/>
      <c r="D121" s="604" t="s">
        <v>1299</v>
      </c>
      <c r="E121" s="605" t="s">
        <v>1428</v>
      </c>
      <c r="F121" s="609"/>
      <c r="G121" s="607"/>
      <c r="H121" s="607"/>
      <c r="I121" s="607"/>
      <c r="J121" s="607"/>
      <c r="K121" s="607"/>
      <c r="L121" s="608"/>
    </row>
    <row r="122" spans="2:12" hidden="1" outlineLevel="1">
      <c r="B122" s="604"/>
      <c r="C122" s="604"/>
      <c r="D122" s="830" t="s">
        <v>1435</v>
      </c>
      <c r="E122" s="605"/>
      <c r="F122" s="609" t="s">
        <v>1429</v>
      </c>
      <c r="G122" s="607"/>
      <c r="H122" s="607"/>
      <c r="I122" s="607"/>
      <c r="J122" s="607"/>
      <c r="K122" s="607"/>
      <c r="L122" s="608"/>
    </row>
    <row r="123" spans="2:12" hidden="1" outlineLevel="1">
      <c r="B123" s="604"/>
      <c r="C123" s="604"/>
      <c r="D123" s="604" t="s">
        <v>1438</v>
      </c>
      <c r="E123" s="605" t="s">
        <v>1436</v>
      </c>
      <c r="F123" s="609"/>
      <c r="G123" s="607"/>
      <c r="H123" s="607"/>
      <c r="I123" s="607">
        <f>-G123</f>
        <v>0</v>
      </c>
      <c r="J123" s="607"/>
      <c r="K123" s="607"/>
      <c r="L123" s="608"/>
    </row>
    <row r="124" spans="2:12" hidden="1" outlineLevel="1">
      <c r="B124" s="604"/>
      <c r="C124" s="604"/>
      <c r="D124" s="604"/>
      <c r="E124" s="605"/>
      <c r="F124" s="609"/>
      <c r="G124" s="607"/>
      <c r="H124" s="607"/>
      <c r="I124" s="607"/>
      <c r="J124" s="607"/>
      <c r="K124" s="607"/>
      <c r="L124" s="608"/>
    </row>
    <row r="125" spans="2:12" hidden="1" outlineLevel="1">
      <c r="B125" s="813"/>
      <c r="C125" s="813"/>
      <c r="D125" s="813"/>
      <c r="E125" s="815"/>
      <c r="F125" s="827"/>
      <c r="G125" s="816"/>
      <c r="H125" s="816"/>
      <c r="I125" s="816"/>
      <c r="J125" s="816"/>
      <c r="K125" s="816"/>
      <c r="L125" s="817"/>
    </row>
    <row r="126" spans="2:12" hidden="1" outlineLevel="1">
      <c r="B126" s="808"/>
      <c r="C126" s="808"/>
      <c r="D126" s="808"/>
      <c r="E126" s="810"/>
      <c r="F126" s="609"/>
      <c r="G126" s="811"/>
      <c r="H126" s="811"/>
      <c r="I126" s="811"/>
      <c r="J126" s="811"/>
      <c r="K126" s="811"/>
      <c r="L126" s="812"/>
    </row>
    <row r="127" spans="2:12" hidden="1" outlineLevel="1">
      <c r="B127" s="603" t="s">
        <v>1446</v>
      </c>
      <c r="C127" s="808"/>
      <c r="D127" s="808" t="s">
        <v>909</v>
      </c>
      <c r="E127" s="810"/>
      <c r="F127" s="609" t="s">
        <v>27</v>
      </c>
      <c r="G127" s="811"/>
      <c r="H127" s="811"/>
      <c r="I127" s="811">
        <f>H127</f>
        <v>0</v>
      </c>
      <c r="J127" s="811"/>
      <c r="K127" s="811"/>
      <c r="L127" s="812"/>
    </row>
    <row r="128" spans="2:12" hidden="1" outlineLevel="1">
      <c r="B128" s="808"/>
      <c r="C128" s="808"/>
      <c r="D128" s="808" t="s">
        <v>1448</v>
      </c>
      <c r="E128" s="810" t="s">
        <v>1447</v>
      </c>
      <c r="F128" s="609"/>
      <c r="G128" s="811"/>
      <c r="H128" s="811"/>
      <c r="I128" s="811"/>
      <c r="J128" s="811"/>
      <c r="K128" s="811"/>
      <c r="L128" s="812"/>
    </row>
    <row r="129" spans="2:12" hidden="1" outlineLevel="1">
      <c r="B129" s="808"/>
      <c r="C129" s="808"/>
      <c r="D129" s="808"/>
      <c r="E129" s="810"/>
      <c r="F129" s="609"/>
      <c r="G129" s="811"/>
      <c r="H129" s="811"/>
      <c r="I129" s="811"/>
      <c r="J129" s="811"/>
      <c r="K129" s="811"/>
      <c r="L129" s="812"/>
    </row>
    <row r="130" spans="2:12" hidden="1" outlineLevel="1">
      <c r="B130" s="813"/>
      <c r="C130" s="813"/>
      <c r="D130" s="813"/>
      <c r="E130" s="815"/>
      <c r="F130" s="807"/>
      <c r="G130" s="816"/>
      <c r="H130" s="816"/>
      <c r="I130" s="816"/>
      <c r="J130" s="816"/>
      <c r="K130" s="816"/>
      <c r="L130" s="817"/>
    </row>
    <row r="131" spans="2:12" collapsed="1">
      <c r="B131" s="808"/>
      <c r="C131" s="808"/>
      <c r="D131" s="808"/>
      <c r="E131" s="810"/>
      <c r="F131" s="609"/>
      <c r="G131" s="811"/>
      <c r="H131" s="811"/>
      <c r="I131" s="811"/>
      <c r="J131" s="811"/>
      <c r="K131" s="811"/>
      <c r="L131" s="812"/>
    </row>
    <row r="132" spans="2:12">
      <c r="B132" s="818" t="s">
        <v>1984</v>
      </c>
      <c r="C132" s="808"/>
      <c r="D132" s="808" t="s">
        <v>1432</v>
      </c>
      <c r="E132" s="810" t="s">
        <v>2321</v>
      </c>
      <c r="F132" s="609"/>
      <c r="G132" s="811">
        <v>24999999500</v>
      </c>
      <c r="H132" s="811"/>
      <c r="I132" s="811"/>
      <c r="J132" s="811"/>
      <c r="K132" s="811"/>
      <c r="L132" s="812" t="s">
        <v>2323</v>
      </c>
    </row>
    <row r="133" spans="2:12">
      <c r="B133" s="818"/>
      <c r="C133" s="808"/>
      <c r="D133" s="808" t="s">
        <v>1430</v>
      </c>
      <c r="E133" s="810"/>
      <c r="F133" s="609" t="s">
        <v>2322</v>
      </c>
      <c r="G133" s="811"/>
      <c r="H133" s="811">
        <v>24999999500</v>
      </c>
      <c r="I133" s="811"/>
      <c r="J133" s="811"/>
      <c r="K133" s="811"/>
      <c r="L133" s="812"/>
    </row>
    <row r="134" spans="2:12">
      <c r="B134" s="1198"/>
      <c r="C134" s="1198"/>
      <c r="D134" s="1198"/>
      <c r="E134" s="1199"/>
      <c r="F134" s="1200"/>
      <c r="G134" s="1201"/>
      <c r="H134" s="1201"/>
      <c r="I134" s="1201"/>
      <c r="J134" s="1201"/>
      <c r="K134" s="1201"/>
      <c r="L134" s="1202"/>
    </row>
    <row r="135" spans="2:12">
      <c r="B135" s="808"/>
      <c r="C135" s="808"/>
      <c r="D135" s="808"/>
      <c r="E135" s="810"/>
      <c r="F135" s="609"/>
      <c r="G135" s="811"/>
      <c r="H135" s="811"/>
      <c r="I135" s="811"/>
      <c r="J135" s="811"/>
      <c r="K135" s="811"/>
      <c r="L135" s="812"/>
    </row>
    <row r="136" spans="2:12">
      <c r="B136" s="808"/>
      <c r="C136" s="808"/>
      <c r="D136" s="808"/>
      <c r="E136" s="810"/>
      <c r="F136" s="609"/>
      <c r="G136" s="811"/>
      <c r="H136" s="811"/>
      <c r="I136" s="811"/>
      <c r="J136" s="811"/>
      <c r="K136" s="811"/>
      <c r="L136" s="812"/>
    </row>
    <row r="137" spans="2:12">
      <c r="B137" s="818" t="s">
        <v>2382</v>
      </c>
      <c r="C137" s="808"/>
      <c r="D137" s="808" t="s">
        <v>906</v>
      </c>
      <c r="E137" s="810" t="s">
        <v>2384</v>
      </c>
      <c r="F137" s="609"/>
      <c r="G137" s="811">
        <f>H138</f>
        <v>9092019</v>
      </c>
      <c r="H137" s="811"/>
      <c r="I137" s="811">
        <f>-G137</f>
        <v>-9092019</v>
      </c>
      <c r="J137" s="811"/>
      <c r="K137" s="811"/>
      <c r="L137" s="812" t="s">
        <v>2383</v>
      </c>
    </row>
    <row r="138" spans="2:12">
      <c r="B138" s="808"/>
      <c r="C138" s="808"/>
      <c r="D138" s="808" t="s">
        <v>1307</v>
      </c>
      <c r="E138" s="810"/>
      <c r="F138" s="609" t="s">
        <v>1223</v>
      </c>
      <c r="G138" s="811"/>
      <c r="H138" s="811">
        <v>9092019</v>
      </c>
      <c r="I138" s="811"/>
      <c r="J138" s="811"/>
      <c r="K138" s="811"/>
      <c r="L138" s="812"/>
    </row>
    <row r="139" spans="2:12">
      <c r="B139" s="808"/>
      <c r="C139" s="808"/>
      <c r="D139" s="808"/>
      <c r="E139" s="810"/>
      <c r="F139" s="609"/>
      <c r="G139" s="811"/>
      <c r="H139" s="811"/>
      <c r="I139" s="811"/>
      <c r="J139" s="811"/>
      <c r="K139" s="811"/>
      <c r="L139" s="812"/>
    </row>
    <row r="140" spans="2:12">
      <c r="B140" s="808"/>
      <c r="C140" s="808"/>
      <c r="D140" s="808"/>
      <c r="E140" s="810"/>
      <c r="F140" s="609"/>
      <c r="G140" s="811"/>
      <c r="H140" s="811"/>
      <c r="I140" s="811"/>
      <c r="J140" s="811"/>
      <c r="K140" s="811"/>
      <c r="L140" s="812"/>
    </row>
    <row r="141" spans="2:12">
      <c r="B141" s="808"/>
      <c r="C141" s="808"/>
      <c r="D141" s="808"/>
      <c r="E141" s="810"/>
      <c r="F141" s="609"/>
      <c r="G141" s="811"/>
      <c r="H141" s="811"/>
      <c r="I141" s="811"/>
      <c r="J141" s="811"/>
      <c r="K141" s="811"/>
      <c r="L141" s="812"/>
    </row>
    <row r="142" spans="2:12">
      <c r="B142" s="808"/>
      <c r="C142" s="808"/>
      <c r="D142" s="808"/>
      <c r="E142" s="810"/>
      <c r="F142" s="609"/>
      <c r="G142" s="811"/>
      <c r="H142" s="811"/>
      <c r="I142" s="811"/>
      <c r="J142" s="811"/>
      <c r="K142" s="811"/>
      <c r="L142" s="812"/>
    </row>
    <row r="143" spans="2:12">
      <c r="B143" s="808"/>
      <c r="C143" s="808"/>
      <c r="D143" s="808"/>
      <c r="E143" s="810"/>
      <c r="F143" s="609"/>
      <c r="G143" s="811"/>
      <c r="H143" s="811"/>
      <c r="I143" s="811"/>
      <c r="J143" s="811"/>
      <c r="K143" s="811"/>
      <c r="L143" s="812"/>
    </row>
    <row r="144" spans="2:12">
      <c r="B144" s="808"/>
      <c r="C144" s="808"/>
      <c r="D144" s="808"/>
      <c r="E144" s="810"/>
      <c r="F144" s="609"/>
      <c r="G144" s="811"/>
      <c r="H144" s="811"/>
      <c r="I144" s="811"/>
      <c r="J144" s="811"/>
      <c r="K144" s="811"/>
      <c r="L144" s="812"/>
    </row>
    <row r="145" spans="2:12">
      <c r="B145" s="808"/>
      <c r="C145" s="808"/>
      <c r="D145" s="808"/>
      <c r="E145" s="810"/>
      <c r="F145" s="609"/>
      <c r="G145" s="811"/>
      <c r="H145" s="811"/>
      <c r="I145" s="811"/>
      <c r="J145" s="811"/>
      <c r="K145" s="811"/>
      <c r="L145" s="812"/>
    </row>
    <row r="146" spans="2:12">
      <c r="B146" s="808"/>
      <c r="C146" s="808"/>
      <c r="D146" s="808"/>
      <c r="E146" s="810"/>
      <c r="F146" s="609"/>
      <c r="G146" s="811"/>
      <c r="H146" s="811"/>
      <c r="I146" s="811"/>
      <c r="J146" s="811"/>
      <c r="K146" s="811"/>
      <c r="L146" s="812"/>
    </row>
    <row r="147" spans="2:12">
      <c r="B147" s="808"/>
      <c r="C147" s="808"/>
      <c r="D147" s="808"/>
      <c r="E147" s="810"/>
      <c r="F147" s="609"/>
      <c r="G147" s="811"/>
      <c r="H147" s="811"/>
      <c r="I147" s="811"/>
      <c r="J147" s="811"/>
      <c r="K147" s="811"/>
      <c r="L147" s="812"/>
    </row>
    <row r="148" spans="2:12">
      <c r="B148" s="808"/>
      <c r="C148" s="808"/>
      <c r="D148" s="808"/>
      <c r="E148" s="810"/>
      <c r="F148" s="609"/>
      <c r="G148" s="811"/>
      <c r="H148" s="811"/>
      <c r="I148" s="811"/>
      <c r="J148" s="811"/>
      <c r="K148" s="811"/>
      <c r="L148" s="812"/>
    </row>
    <row r="149" spans="2:12">
      <c r="B149" s="808"/>
      <c r="C149" s="808"/>
      <c r="D149" s="808"/>
      <c r="E149" s="810"/>
      <c r="F149" s="609"/>
      <c r="G149" s="811"/>
      <c r="H149" s="811"/>
      <c r="I149" s="811"/>
      <c r="J149" s="811"/>
      <c r="K149" s="811"/>
      <c r="L149" s="812"/>
    </row>
    <row r="150" spans="2:12">
      <c r="B150" s="808"/>
      <c r="C150" s="808"/>
      <c r="D150" s="808"/>
      <c r="E150" s="810"/>
      <c r="F150" s="609"/>
      <c r="G150" s="811"/>
      <c r="H150" s="811"/>
      <c r="I150" s="811"/>
      <c r="J150" s="811"/>
      <c r="K150" s="811"/>
      <c r="L150" s="812"/>
    </row>
    <row r="151" spans="2:12">
      <c r="B151" s="808"/>
      <c r="C151" s="808"/>
      <c r="D151" s="808"/>
      <c r="E151" s="810"/>
      <c r="F151" s="609"/>
      <c r="G151" s="811"/>
      <c r="H151" s="811"/>
      <c r="I151" s="811"/>
      <c r="J151" s="811"/>
      <c r="K151" s="811"/>
      <c r="L151" s="812"/>
    </row>
    <row r="152" spans="2:12">
      <c r="B152" s="808"/>
      <c r="C152" s="808"/>
      <c r="D152" s="808"/>
      <c r="E152" s="810"/>
      <c r="F152" s="609"/>
      <c r="G152" s="811"/>
      <c r="H152" s="811"/>
      <c r="I152" s="811"/>
      <c r="J152" s="811"/>
      <c r="K152" s="811"/>
      <c r="L152" s="812"/>
    </row>
    <row r="153" spans="2:12">
      <c r="B153" s="808"/>
      <c r="C153" s="808"/>
      <c r="D153" s="808"/>
      <c r="E153" s="810"/>
      <c r="F153" s="609"/>
      <c r="G153" s="811"/>
      <c r="H153" s="811"/>
      <c r="I153" s="811"/>
      <c r="J153" s="811"/>
      <c r="K153" s="811"/>
      <c r="L153" s="812"/>
    </row>
    <row r="154" spans="2:12">
      <c r="B154" s="598"/>
      <c r="C154" s="598"/>
      <c r="D154" s="598"/>
      <c r="E154" s="599"/>
      <c r="F154" s="600"/>
      <c r="G154" s="601"/>
      <c r="H154" s="601"/>
      <c r="I154" s="601"/>
      <c r="J154" s="601"/>
      <c r="K154" s="601"/>
      <c r="L154" s="602"/>
    </row>
    <row r="155" spans="2:12">
      <c r="B155" s="610"/>
      <c r="C155" s="610"/>
      <c r="D155" s="611"/>
      <c r="E155" s="610"/>
      <c r="F155" s="610"/>
      <c r="G155" s="612">
        <f>SUM(G6:G154)</f>
        <v>25009091519</v>
      </c>
      <c r="H155" s="612">
        <f>SUM(H6:H154)</f>
        <v>25009091519</v>
      </c>
      <c r="I155" s="612">
        <f>SUM(I6:I154)</f>
        <v>-9092019</v>
      </c>
      <c r="J155" s="612">
        <f>SUM(J6:J154)</f>
        <v>0</v>
      </c>
      <c r="K155" s="612">
        <f>SUM(K6:K154)</f>
        <v>0</v>
      </c>
      <c r="L155" s="610"/>
    </row>
    <row r="156" spans="2:12">
      <c r="H156" s="590" t="b">
        <f>H155=G155</f>
        <v>1</v>
      </c>
    </row>
    <row r="157" spans="2:12">
      <c r="K157" s="613">
        <f>SUM(I155:K155)</f>
        <v>-9092019</v>
      </c>
    </row>
    <row r="158" spans="2:12">
      <c r="G158" s="614"/>
      <c r="H158" s="614"/>
      <c r="I158" s="614">
        <f>H158-G158</f>
        <v>0</v>
      </c>
    </row>
    <row r="165" spans="2:13" s="590" customFormat="1">
      <c r="B165" s="591"/>
      <c r="D165" s="592"/>
      <c r="H165" s="615"/>
      <c r="M165" s="591"/>
    </row>
    <row r="167" spans="2:13" s="590" customFormat="1">
      <c r="B167" s="591"/>
      <c r="D167" s="592"/>
      <c r="H167" s="616"/>
      <c r="M167" s="591"/>
    </row>
  </sheetData>
  <mergeCells count="4">
    <mergeCell ref="B4:B5"/>
    <mergeCell ref="C4:C5"/>
    <mergeCell ref="D4:D5"/>
    <mergeCell ref="L4:L5"/>
  </mergeCells>
  <phoneticPr fontId="232" type="noConversion"/>
  <pageMargins left="0.7" right="0.7" top="0.75" bottom="0.75" header="0.3" footer="0.3"/>
  <pageSetup paperSize="9" orientation="landscape" horizont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1" tint="0.499984740745262"/>
    <outlinePr summaryBelow="0"/>
  </sheetPr>
  <dimension ref="B1:N107"/>
  <sheetViews>
    <sheetView showGridLines="0" zoomScaleNormal="100" zoomScaleSheetLayoutView="100" workbookViewId="0">
      <pane xSplit="4" ySplit="1" topLeftCell="E9" activePane="bottomRight" state="frozen"/>
      <selection activeCell="L46" sqref="L46"/>
      <selection pane="topRight" activeCell="L46" sqref="L46"/>
      <selection pane="bottomLeft" activeCell="L46" sqref="L46"/>
      <selection pane="bottomRight" activeCell="J24" sqref="J24"/>
    </sheetView>
  </sheetViews>
  <sheetFormatPr defaultColWidth="9" defaultRowHeight="15" outlineLevelRow="1"/>
  <cols>
    <col min="1" max="2" width="1.0703125" style="1" customWidth="1"/>
    <col min="3" max="3" width="27.85546875" style="1" bestFit="1" customWidth="1"/>
    <col min="4" max="4" width="9.5703125" style="1" bestFit="1" customWidth="1"/>
    <col min="5" max="6" width="15.5703125" style="2" customWidth="1"/>
    <col min="7" max="7" width="3.0703125" style="1" customWidth="1"/>
    <col min="8" max="8" width="2.85546875" style="1" customWidth="1"/>
    <col min="9" max="9" width="9.0703125" style="1" bestFit="1" customWidth="1"/>
    <col min="10" max="10" width="21.0703125" style="1" customWidth="1"/>
    <col min="11" max="11" width="20.35546875" style="1" customWidth="1"/>
    <col min="12" max="12" width="15.5703125" style="1" customWidth="1"/>
    <col min="13" max="15" width="18.0703125" style="1" customWidth="1"/>
    <col min="16" max="16384" width="9" style="1"/>
  </cols>
  <sheetData>
    <row r="1" spans="2:14" ht="15.45" thickBot="1">
      <c r="C1" s="651" t="s">
        <v>0</v>
      </c>
      <c r="D1" s="651" t="s">
        <v>58</v>
      </c>
      <c r="E1" s="652">
        <v>46203</v>
      </c>
      <c r="F1" s="653">
        <v>46022</v>
      </c>
    </row>
    <row r="2" spans="2:14" ht="15.45" thickBot="1">
      <c r="C2" s="633" t="s">
        <v>31</v>
      </c>
      <c r="D2" s="633"/>
      <c r="E2" s="633"/>
      <c r="F2" s="628"/>
    </row>
    <row r="3" spans="2:14" ht="15.45" thickBot="1">
      <c r="C3" s="633" t="s">
        <v>55</v>
      </c>
      <c r="D3" s="633"/>
      <c r="E3" s="633">
        <f>E4+E6+E7+E14+E24+E30+E33</f>
        <v>16937363250</v>
      </c>
      <c r="F3" s="633">
        <f>F4+F6+F7+F14+F24+F30+F33</f>
        <v>25996495943</v>
      </c>
    </row>
    <row r="4" spans="2:14">
      <c r="C4" s="12" t="str">
        <f>정산표!D7</f>
        <v>현금및현금성자산</v>
      </c>
      <c r="D4" s="12"/>
      <c r="E4" s="14">
        <f>E5</f>
        <v>10968165061</v>
      </c>
      <c r="F4" s="3">
        <f>F5</f>
        <v>19169211185</v>
      </c>
      <c r="J4" s="2">
        <f>F4-E4</f>
        <v>8201046124</v>
      </c>
    </row>
    <row r="5" spans="2:14" outlineLevel="1">
      <c r="B5" s="1" t="s">
        <v>764</v>
      </c>
      <c r="C5" s="34" t="str">
        <f>정산표!D8</f>
        <v>현금및현금성자산</v>
      </c>
      <c r="D5" s="17"/>
      <c r="E5" s="15">
        <f>VLOOKUP($B5,정산표!$B$7:$M$201,7,0)</f>
        <v>10968165061</v>
      </c>
      <c r="F5" s="2">
        <f>VLOOKUP($B5,정산표!$B$7:$M$201,12,0)</f>
        <v>19169211185</v>
      </c>
      <c r="J5" s="2">
        <f t="shared" ref="J5:J86" si="0">F5-E5</f>
        <v>8201046124</v>
      </c>
    </row>
    <row r="6" spans="2:14">
      <c r="B6" s="1" t="s">
        <v>765</v>
      </c>
      <c r="C6" s="12" t="str">
        <f>정산표!D9</f>
        <v>단기금융상품</v>
      </c>
      <c r="D6" s="12"/>
      <c r="E6" s="41">
        <f>VLOOKUP($B6,정산표!$B$7:$M$201,7,0)</f>
        <v>0</v>
      </c>
      <c r="F6" s="39">
        <f>VLOOKUP($B6,정산표!$B$7:$M$201,12,0)</f>
        <v>0</v>
      </c>
      <c r="J6" s="2">
        <f t="shared" si="0"/>
        <v>0</v>
      </c>
    </row>
    <row r="7" spans="2:14">
      <c r="C7" s="12" t="str">
        <f>정산표!D10</f>
        <v>매출채권및기타채권</v>
      </c>
      <c r="D7" s="17"/>
      <c r="E7" s="14">
        <f>SUM(E8:E13)</f>
        <v>1667306010</v>
      </c>
      <c r="F7" s="3">
        <f>SUM(F8:F13)</f>
        <v>2048442985</v>
      </c>
      <c r="J7" s="2">
        <f t="shared" si="0"/>
        <v>381136975</v>
      </c>
    </row>
    <row r="8" spans="2:14" outlineLevel="1">
      <c r="B8" s="1" t="s">
        <v>767</v>
      </c>
      <c r="C8" s="34" t="str">
        <f>정산표!D11</f>
        <v>매출채권</v>
      </c>
      <c r="D8" s="12"/>
      <c r="E8" s="15">
        <f>VLOOKUP($B8,정산표!$B$7:$M$201,7,0)</f>
        <v>1535770100</v>
      </c>
      <c r="F8" s="2">
        <f>VLOOKUP($B8,정산표!$B$7:$M$201,12,0)</f>
        <v>1998788804</v>
      </c>
      <c r="J8" s="2">
        <f t="shared" si="0"/>
        <v>463018704</v>
      </c>
      <c r="M8" s="1">
        <v>1735937300</v>
      </c>
      <c r="N8" s="2">
        <f>M8-E8</f>
        <v>200167200</v>
      </c>
    </row>
    <row r="9" spans="2:14" ht="17.600000000000001" outlineLevel="1">
      <c r="B9" s="1" t="s">
        <v>768</v>
      </c>
      <c r="C9" s="34" t="str">
        <f>정산표!D12</f>
        <v>매출채권대손충당금</v>
      </c>
      <c r="D9" s="17"/>
      <c r="E9" s="15">
        <f>VLOOKUP($B9,정산표!$B$7:$M$201,7,0)</f>
        <v>-105342662</v>
      </c>
      <c r="F9" s="2">
        <f>VLOOKUP($B9,정산표!$B$7:$M$201,12,0)</f>
        <v>-188230079</v>
      </c>
      <c r="J9">
        <f t="shared" si="0"/>
        <v>-82887417</v>
      </c>
      <c r="K9" s="33"/>
      <c r="L9" s="11"/>
      <c r="M9" s="11"/>
      <c r="N9" s="11"/>
    </row>
    <row r="10" spans="2:14" outlineLevel="1">
      <c r="B10" s="1" t="s">
        <v>770</v>
      </c>
      <c r="C10" s="34" t="str">
        <f>정산표!D13</f>
        <v>미수수익</v>
      </c>
      <c r="D10" s="17"/>
      <c r="E10" s="15">
        <f>VLOOKUP($B10,정산표!$B$7:$M$201,7,0)</f>
        <v>0</v>
      </c>
      <c r="F10" s="2">
        <f>VLOOKUP($B10,정산표!$B$7:$M$201,12,0)</f>
        <v>0</v>
      </c>
      <c r="J10" s="2">
        <f t="shared" si="0"/>
        <v>0</v>
      </c>
      <c r="K10" s="11"/>
      <c r="L10" s="11"/>
      <c r="M10" s="11"/>
      <c r="N10" s="11"/>
    </row>
    <row r="11" spans="2:14" ht="17.600000000000001" outlineLevel="1">
      <c r="B11" s="1" t="s">
        <v>771</v>
      </c>
      <c r="C11" s="34" t="str">
        <f>정산표!D14</f>
        <v>미수수익대손충당금</v>
      </c>
      <c r="D11" s="17"/>
      <c r="E11" s="15">
        <f>VLOOKUP($B11,정산표!$B$7:$M$201,7,0)</f>
        <v>0</v>
      </c>
      <c r="F11" s="2">
        <f>VLOOKUP($B11,정산표!$B$7:$M$201,12,0)</f>
        <v>0</v>
      </c>
      <c r="J11"/>
      <c r="K11" s="11"/>
      <c r="L11" s="11"/>
      <c r="M11" s="11"/>
      <c r="N11" s="11"/>
    </row>
    <row r="12" spans="2:14" outlineLevel="1">
      <c r="B12" s="1" t="s">
        <v>773</v>
      </c>
      <c r="C12" s="34" t="str">
        <f>정산표!D15</f>
        <v>미수금</v>
      </c>
      <c r="D12" s="17"/>
      <c r="E12" s="15">
        <f>VLOOKUP($B12,정산표!$B$7:$M$201,7,0)</f>
        <v>261017572</v>
      </c>
      <c r="F12" s="2">
        <f>VLOOKUP($B12,정산표!$B$7:$M$201,12,0)</f>
        <v>265023260</v>
      </c>
      <c r="J12" s="2">
        <f t="shared" si="0"/>
        <v>4005688</v>
      </c>
    </row>
    <row r="13" spans="2:14" ht="17.600000000000001" outlineLevel="1">
      <c r="B13" s="1" t="s">
        <v>774</v>
      </c>
      <c r="C13" s="34" t="str">
        <f>정산표!D16</f>
        <v>미수금대손충당금</v>
      </c>
      <c r="D13" s="17"/>
      <c r="E13" s="15">
        <f>VLOOKUP($B13,정산표!$B$7:$M$201,7,0)</f>
        <v>-24139000</v>
      </c>
      <c r="F13" s="2">
        <f>VLOOKUP($B13,정산표!$B$7:$M$201,12,0)</f>
        <v>-27139000</v>
      </c>
      <c r="J13">
        <f t="shared" si="0"/>
        <v>-3000000</v>
      </c>
    </row>
    <row r="14" spans="2:14">
      <c r="C14" s="12" t="str">
        <f>정산표!D17</f>
        <v>재고자산</v>
      </c>
      <c r="D14" s="17"/>
      <c r="E14" s="14">
        <f>SUM(E15:E23)</f>
        <v>2202609621</v>
      </c>
      <c r="F14" s="389">
        <f>SUM(F15:F23)</f>
        <v>2034274672</v>
      </c>
      <c r="J14" s="2">
        <f t="shared" si="0"/>
        <v>-168334949</v>
      </c>
    </row>
    <row r="15" spans="2:14" outlineLevel="1">
      <c r="B15" s="1" t="s">
        <v>788</v>
      </c>
      <c r="C15" s="34" t="str">
        <f>정산표!D18</f>
        <v>상품</v>
      </c>
      <c r="D15" s="12"/>
      <c r="E15" s="15">
        <f>VLOOKUP($B15,정산표!$B$7:$M$201,7,0)</f>
        <v>47852743</v>
      </c>
      <c r="F15" s="2">
        <f>VLOOKUP($B15,정산표!$B$7:$M$201,12,0)</f>
        <v>42227029</v>
      </c>
      <c r="J15" s="2">
        <f t="shared" si="0"/>
        <v>-5625714</v>
      </c>
      <c r="K15" s="2">
        <f t="shared" ref="K15:K22" si="1">F15</f>
        <v>42227029</v>
      </c>
      <c r="L15" s="2"/>
    </row>
    <row r="16" spans="2:14" outlineLevel="1">
      <c r="B16" s="1" t="s">
        <v>786</v>
      </c>
      <c r="C16" s="34" t="str">
        <f>정산표!D19</f>
        <v>상품평가충당금</v>
      </c>
      <c r="D16" s="12"/>
      <c r="E16" s="15">
        <f>VLOOKUP($B16,정산표!$B$7:$M$201,7,0)</f>
        <v>0</v>
      </c>
      <c r="F16" s="2">
        <f>VLOOKUP($B16,정산표!$B$7:$M$201,12,0)</f>
        <v>-14089</v>
      </c>
      <c r="J16" s="2">
        <f t="shared" si="0"/>
        <v>-14089</v>
      </c>
      <c r="K16" s="2">
        <f t="shared" si="1"/>
        <v>-14089</v>
      </c>
      <c r="L16" s="2"/>
    </row>
    <row r="17" spans="2:12" outlineLevel="1">
      <c r="B17" s="1" t="s">
        <v>789</v>
      </c>
      <c r="C17" s="34" t="str">
        <f>정산표!D20</f>
        <v>제품</v>
      </c>
      <c r="D17" s="17"/>
      <c r="E17" s="15">
        <f>VLOOKUP($B17,정산표!$B$7:$M$201,7,0)</f>
        <v>2534717672</v>
      </c>
      <c r="F17" s="2">
        <f>VLOOKUP($B17,정산표!$B$7:$M$201,12,0)</f>
        <v>2349819825</v>
      </c>
      <c r="J17" s="2">
        <f t="shared" si="0"/>
        <v>-184897847</v>
      </c>
      <c r="K17" s="2">
        <f t="shared" si="1"/>
        <v>2349819825</v>
      </c>
      <c r="L17" s="2"/>
    </row>
    <row r="18" spans="2:12" outlineLevel="1">
      <c r="B18" s="1" t="s">
        <v>790</v>
      </c>
      <c r="C18" s="34" t="str">
        <f>정산표!D21</f>
        <v>제품평가충당금</v>
      </c>
      <c r="D18" s="17"/>
      <c r="E18" s="15">
        <f>VLOOKUP($B18,정산표!$B$7:$M$201,7,0)</f>
        <v>-827921741</v>
      </c>
      <c r="F18" s="2">
        <f>VLOOKUP($B18,정산표!$B$7:$M$201,12,0)</f>
        <v>-725171962</v>
      </c>
      <c r="J18" s="2">
        <f t="shared" si="0"/>
        <v>102749779</v>
      </c>
      <c r="K18" s="2">
        <f t="shared" si="1"/>
        <v>-725171962</v>
      </c>
      <c r="L18" s="2"/>
    </row>
    <row r="19" spans="2:12" outlineLevel="1">
      <c r="B19" s="1" t="s">
        <v>792</v>
      </c>
      <c r="C19" s="34" t="str">
        <f>정산표!D22</f>
        <v>원재료</v>
      </c>
      <c r="D19" s="17"/>
      <c r="E19" s="15">
        <f>VLOOKUP($B19,정산표!$B$7:$M$201,7,0)</f>
        <v>464851515</v>
      </c>
      <c r="F19" s="2">
        <f>VLOOKUP($B19,정산표!$B$7:$M$201,12,0)</f>
        <v>354984836</v>
      </c>
      <c r="J19" s="2">
        <f t="shared" si="0"/>
        <v>-109866679</v>
      </c>
      <c r="K19" s="2">
        <f t="shared" si="1"/>
        <v>354984836</v>
      </c>
      <c r="L19" s="2"/>
    </row>
    <row r="20" spans="2:12" outlineLevel="1">
      <c r="B20" s="1" t="s">
        <v>793</v>
      </c>
      <c r="C20" s="34" t="str">
        <f>정산표!D23</f>
        <v>원재료평가충당금</v>
      </c>
      <c r="D20" s="17"/>
      <c r="E20" s="15">
        <f>VLOOKUP($B20,정산표!$B$7:$M$201,7,0)</f>
        <v>-44697318</v>
      </c>
      <c r="F20" s="2">
        <f>VLOOKUP($B20,정산표!$B$7:$M$201,12,0)</f>
        <v>-34479470</v>
      </c>
      <c r="J20" s="2">
        <f t="shared" si="0"/>
        <v>10217848</v>
      </c>
      <c r="K20" s="2">
        <f t="shared" si="1"/>
        <v>-34479470</v>
      </c>
      <c r="L20" s="2"/>
    </row>
    <row r="21" spans="2:12" outlineLevel="1">
      <c r="B21" s="1" t="s">
        <v>1300</v>
      </c>
      <c r="C21" s="34" t="str">
        <f>정산표!D24</f>
        <v>부재료</v>
      </c>
      <c r="D21" s="17"/>
      <c r="E21" s="15">
        <f>VLOOKUP($B21,정산표!$B$7:$M$201,7,0)</f>
        <v>48405072</v>
      </c>
      <c r="F21" s="2">
        <f>VLOOKUP($B21,정산표!$B$7:$M$201,12,0)</f>
        <v>49267189</v>
      </c>
      <c r="J21" s="2">
        <f t="shared" si="0"/>
        <v>862117</v>
      </c>
      <c r="K21" s="2">
        <f t="shared" si="1"/>
        <v>49267189</v>
      </c>
      <c r="L21" s="2"/>
    </row>
    <row r="22" spans="2:12" outlineLevel="1">
      <c r="B22" s="1" t="s">
        <v>1302</v>
      </c>
      <c r="C22" s="34" t="str">
        <f>정산표!D25</f>
        <v>부재료평가충당금</v>
      </c>
      <c r="D22" s="17"/>
      <c r="E22" s="15">
        <f>VLOOKUP($B22,정산표!$B$7:$M$201,7,0)</f>
        <v>-20598322</v>
      </c>
      <c r="F22" s="2">
        <f>VLOOKUP($B22,정산표!$B$7:$M$201,12,0)</f>
        <v>-2358686</v>
      </c>
      <c r="J22" s="2">
        <f t="shared" si="0"/>
        <v>18239636</v>
      </c>
      <c r="K22" s="2">
        <f t="shared" si="1"/>
        <v>-2358686</v>
      </c>
      <c r="L22" s="2"/>
    </row>
    <row r="23" spans="2:12" outlineLevel="1">
      <c r="B23" s="1" t="s">
        <v>799</v>
      </c>
      <c r="C23" s="34" t="s">
        <v>699</v>
      </c>
      <c r="D23" s="17"/>
      <c r="E23" s="15">
        <f>VLOOKUP($B23,정산표!$B$7:$M$201,7,0)</f>
        <v>0</v>
      </c>
      <c r="F23" s="2">
        <f>VLOOKUP($B23,정산표!$B$7:$M$201,12,0)</f>
        <v>0</v>
      </c>
      <c r="J23" s="2"/>
      <c r="K23" s="2">
        <f>SUM(K15:K22)</f>
        <v>2034274672</v>
      </c>
      <c r="L23" s="2"/>
    </row>
    <row r="24" spans="2:12">
      <c r="C24" s="12" t="str">
        <f>정산표!D27</f>
        <v>기타유동자산</v>
      </c>
      <c r="D24" s="17"/>
      <c r="E24" s="14">
        <f>SUM(E25:E29)</f>
        <v>2097128278</v>
      </c>
      <c r="F24" s="389">
        <f>SUM(F25:F29)</f>
        <v>2735837690</v>
      </c>
      <c r="J24" s="2">
        <f t="shared" si="0"/>
        <v>638709412</v>
      </c>
    </row>
    <row r="25" spans="2:12" outlineLevel="1">
      <c r="B25" s="1" t="s">
        <v>776</v>
      </c>
      <c r="C25" s="34" t="str">
        <f>정산표!D28</f>
        <v>선급금</v>
      </c>
      <c r="D25" s="17"/>
      <c r="E25" s="15">
        <f>VLOOKUP($B25,정산표!$B$7:$M$201,7,0)</f>
        <v>394157762</v>
      </c>
      <c r="F25" s="2">
        <f>VLOOKUP($B25,정산표!$B$7:$M$201,12,0)</f>
        <v>2254829529</v>
      </c>
      <c r="J25" s="2">
        <f t="shared" si="0"/>
        <v>1860671767</v>
      </c>
    </row>
    <row r="26" spans="2:12" ht="17.600000000000001" outlineLevel="1">
      <c r="B26" s="1" t="s">
        <v>777</v>
      </c>
      <c r="C26" s="34" t="str">
        <f>정산표!D29</f>
        <v>선급금대손충당금</v>
      </c>
      <c r="D26" s="17"/>
      <c r="E26" s="15">
        <f>VLOOKUP($B26,정산표!$B$7:$M$201,7,0)</f>
        <v>0</v>
      </c>
      <c r="F26" s="2">
        <f>VLOOKUP($B26,정산표!$B$7:$M$201,12,0)</f>
        <v>0</v>
      </c>
      <c r="J26">
        <f t="shared" si="0"/>
        <v>0</v>
      </c>
    </row>
    <row r="27" spans="2:12" outlineLevel="1">
      <c r="B27" s="1" t="s">
        <v>779</v>
      </c>
      <c r="C27" s="34" t="str">
        <f>정산표!D30</f>
        <v>선급비용</v>
      </c>
      <c r="D27" s="17"/>
      <c r="E27" s="15">
        <f>VLOOKUP($B27,정산표!$B$7:$M$201,7,0)</f>
        <v>1698698289</v>
      </c>
      <c r="F27" s="2">
        <f>VLOOKUP($B27,정산표!$B$7:$M$201,12,0)</f>
        <v>473315521</v>
      </c>
      <c r="J27" s="2">
        <f t="shared" si="0"/>
        <v>-1225382768</v>
      </c>
    </row>
    <row r="28" spans="2:12" outlineLevel="1">
      <c r="B28" s="1" t="s">
        <v>1711</v>
      </c>
      <c r="C28" s="34" t="s">
        <v>1571</v>
      </c>
      <c r="D28" s="17"/>
      <c r="E28" s="15">
        <f>VLOOKUP($B28,정산표!$B$7:$M$201,7,0)</f>
        <v>4272227</v>
      </c>
      <c r="F28" s="2">
        <f>VLOOKUP($B28,정산표!$B$7:$M$201,12,0)</f>
        <v>7692640</v>
      </c>
      <c r="J28" s="2"/>
    </row>
    <row r="29" spans="2:12" outlineLevel="1">
      <c r="B29" s="1" t="s">
        <v>782</v>
      </c>
      <c r="C29" s="34" t="str">
        <f>정산표!D32</f>
        <v>부가세대급금</v>
      </c>
      <c r="D29" s="17"/>
      <c r="E29" s="15">
        <f>VLOOKUP($B29,정산표!$B$7:$M$201,7,0)</f>
        <v>0</v>
      </c>
      <c r="F29" s="2">
        <f>VLOOKUP($B29,정산표!$B$7:$M$201,12,0)</f>
        <v>0</v>
      </c>
      <c r="J29" s="2"/>
    </row>
    <row r="30" spans="2:12" outlineLevel="1">
      <c r="C30" s="12" t="s">
        <v>286</v>
      </c>
      <c r="D30" s="17"/>
      <c r="E30" s="14">
        <f>SUM(E31:E32)</f>
        <v>0</v>
      </c>
      <c r="F30" s="389">
        <f>SUM(F31:F32)</f>
        <v>1250001</v>
      </c>
      <c r="J30" s="2"/>
    </row>
    <row r="31" spans="2:12" outlineLevel="1">
      <c r="B31" s="1" t="s">
        <v>1574</v>
      </c>
      <c r="C31" s="34" t="s">
        <v>1012</v>
      </c>
      <c r="D31" s="17"/>
      <c r="E31" s="15">
        <f>VLOOKUP($B31,정산표!$B$7:$M$201,7,0)</f>
        <v>0</v>
      </c>
      <c r="F31" s="2">
        <f>VLOOKUP($B31,정산표!$B$7:$M$201,12,0)</f>
        <v>0</v>
      </c>
      <c r="J31" s="2"/>
    </row>
    <row r="32" spans="2:12" outlineLevel="1">
      <c r="B32" s="1" t="s">
        <v>780</v>
      </c>
      <c r="C32" s="34" t="s">
        <v>719</v>
      </c>
      <c r="D32" s="17"/>
      <c r="E32" s="15">
        <f>VLOOKUP($B32,정산표!$B$7:$M$201,7,0)</f>
        <v>0</v>
      </c>
      <c r="F32" s="2">
        <f>VLOOKUP($B32,정산표!$B$7:$M$201,12,0)</f>
        <v>1250001</v>
      </c>
      <c r="J32" s="2"/>
    </row>
    <row r="33" spans="2:12" ht="15.45" thickBot="1">
      <c r="B33" s="1" t="s">
        <v>784</v>
      </c>
      <c r="C33" s="12" t="str">
        <f>정산표!D36</f>
        <v>당기법인세자산</v>
      </c>
      <c r="D33" s="17"/>
      <c r="E33" s="41">
        <f>VLOOKUP($B33,정산표!$B$7:$M$201,7,0)</f>
        <v>2154280</v>
      </c>
      <c r="F33" s="39">
        <f>VLOOKUP($B33,정산표!$B$7:$M$201,12,0)</f>
        <v>7479410</v>
      </c>
      <c r="J33" s="2">
        <f t="shared" si="0"/>
        <v>5325130</v>
      </c>
    </row>
    <row r="34" spans="2:12" ht="15.45" thickBot="1">
      <c r="C34" s="633" t="s">
        <v>32</v>
      </c>
      <c r="D34" s="633"/>
      <c r="E34" s="633">
        <f>E35+E40+E43+E62+E67+E39</f>
        <v>37605682655</v>
      </c>
      <c r="F34" s="633">
        <f>F35+F40+F43+F62+F67+F39</f>
        <v>29197391461</v>
      </c>
      <c r="J34" s="2">
        <f t="shared" si="0"/>
        <v>-8408291194</v>
      </c>
      <c r="L34" s="10"/>
    </row>
    <row r="35" spans="2:12" s="10" customFormat="1">
      <c r="C35" s="12" t="str">
        <f>정산표!D38</f>
        <v>기타비유동금융자산</v>
      </c>
      <c r="D35" s="12"/>
      <c r="E35" s="14">
        <f>SUM(E36:E38)</f>
        <v>386082376</v>
      </c>
      <c r="F35" s="3">
        <f>SUM(F36:F38)</f>
        <v>388220275</v>
      </c>
      <c r="G35" s="1"/>
      <c r="J35" s="2">
        <f t="shared" si="0"/>
        <v>2137899</v>
      </c>
    </row>
    <row r="36" spans="2:12" outlineLevel="1">
      <c r="B36" s="1" t="s">
        <v>827</v>
      </c>
      <c r="C36" s="34" t="str">
        <f>정산표!D39</f>
        <v>임차보증금</v>
      </c>
      <c r="D36" s="17"/>
      <c r="E36" s="15">
        <f>VLOOKUP($B36,정산표!$B$7:$M$201,7,0)</f>
        <v>403800000</v>
      </c>
      <c r="F36" s="2">
        <f>VLOOKUP($B36,정산표!$B$7:$M$201,12,0)</f>
        <v>413778000</v>
      </c>
      <c r="J36" s="2">
        <f t="shared" si="0"/>
        <v>9978000</v>
      </c>
    </row>
    <row r="37" spans="2:12" outlineLevel="1">
      <c r="B37" s="1" t="s">
        <v>1719</v>
      </c>
      <c r="C37" s="34" t="str">
        <f>정산표!D40</f>
        <v>임차보증금_현재가치할인차금</v>
      </c>
      <c r="D37" s="17"/>
      <c r="E37" s="15">
        <f>VLOOKUP($B37,정산표!$B$7:$M$201,7,0)</f>
        <v>-27853494</v>
      </c>
      <c r="F37" s="2">
        <f>VLOOKUP($B37,정산표!$B$7:$M$201,12,0)</f>
        <v>-35581895</v>
      </c>
      <c r="J37" s="2"/>
    </row>
    <row r="38" spans="2:12" outlineLevel="1">
      <c r="B38" s="1" t="s">
        <v>828</v>
      </c>
      <c r="C38" s="34" t="str">
        <f>정산표!D41</f>
        <v>기타보증금</v>
      </c>
      <c r="D38" s="17"/>
      <c r="E38" s="15">
        <f>VLOOKUP($B38,정산표!$B$7:$M$201,7,0)</f>
        <v>10135870</v>
      </c>
      <c r="F38" s="2">
        <f>VLOOKUP($B38,정산표!$B$7:$M$201,12,0)</f>
        <v>10024170</v>
      </c>
      <c r="J38" s="2">
        <f t="shared" si="0"/>
        <v>-111700</v>
      </c>
    </row>
    <row r="39" spans="2:12" outlineLevel="1">
      <c r="B39" s="1" t="s">
        <v>1717</v>
      </c>
      <c r="C39" s="12" t="str">
        <f>정산표!D42</f>
        <v>당기손익-공정가치금융자산</v>
      </c>
      <c r="D39" s="40"/>
      <c r="E39" s="41">
        <f>VLOOKUP($B39,정산표!$B$7:$M$201,7,0)</f>
        <v>172664940</v>
      </c>
      <c r="F39" s="39">
        <f>VLOOKUP($B39,정산표!$B$7:$M$201,12,0)</f>
        <v>172664940</v>
      </c>
      <c r="J39" s="2"/>
    </row>
    <row r="40" spans="2:12">
      <c r="C40" s="12" t="str">
        <f>정산표!D43</f>
        <v>종속기업및관계기업투자</v>
      </c>
      <c r="D40" s="17"/>
      <c r="E40" s="14">
        <f>SUM(E41:E42)</f>
        <v>25348225181</v>
      </c>
      <c r="F40" s="3">
        <f>SUM(F41:F42)</f>
        <v>17348225181</v>
      </c>
      <c r="J40" s="2">
        <f t="shared" si="0"/>
        <v>-8000000000</v>
      </c>
    </row>
    <row r="41" spans="2:12" outlineLevel="1">
      <c r="B41" s="1" t="s">
        <v>1432</v>
      </c>
      <c r="C41" s="34" t="str">
        <f>정산표!D44</f>
        <v>종속기업투자</v>
      </c>
      <c r="D41" s="34"/>
      <c r="E41" s="15">
        <f>VLOOKUP($B41,정산표!$B$7:$M$201,7,0)</f>
        <v>25348225181</v>
      </c>
      <c r="F41" s="2">
        <f>VLOOKUP($B41,정산표!$B$7:$M$201,12,0)</f>
        <v>348225681</v>
      </c>
      <c r="I41" s="2"/>
      <c r="J41" s="2">
        <f t="shared" si="0"/>
        <v>-24999999500</v>
      </c>
    </row>
    <row r="42" spans="2:12" outlineLevel="1">
      <c r="B42" s="1" t="s">
        <v>1430</v>
      </c>
      <c r="C42" s="34" t="str">
        <f>정산표!D45</f>
        <v>관계기업투자</v>
      </c>
      <c r="D42" s="34"/>
      <c r="E42" s="15">
        <f>VLOOKUP($B42,정산표!$B$7:$M$201,7,0)</f>
        <v>0</v>
      </c>
      <c r="F42" s="2">
        <f>VLOOKUP($B42,정산표!$B$7:$M$201,12,0)</f>
        <v>16999999500</v>
      </c>
      <c r="I42" s="2"/>
      <c r="J42" s="2">
        <f t="shared" si="0"/>
        <v>16999999500</v>
      </c>
    </row>
    <row r="43" spans="2:12">
      <c r="C43" s="12" t="str">
        <f>정산표!D47</f>
        <v>유형자산</v>
      </c>
      <c r="D43" s="17"/>
      <c r="E43" s="14">
        <f>SUM(E44:E61)</f>
        <v>9018883065</v>
      </c>
      <c r="F43" s="3">
        <f>SUM(F44:F61)</f>
        <v>8682807344</v>
      </c>
      <c r="J43" s="2">
        <f t="shared" si="0"/>
        <v>-336075721</v>
      </c>
    </row>
    <row r="44" spans="2:12">
      <c r="B44" s="1" t="s">
        <v>1304</v>
      </c>
      <c r="C44" s="34" t="str">
        <f>정산표!D48</f>
        <v>토지</v>
      </c>
      <c r="D44" s="34"/>
      <c r="E44" s="15">
        <f>VLOOKUP($B44,정산표!$B$7:$M$201,7,0)</f>
        <v>1115280040</v>
      </c>
      <c r="F44" s="2">
        <f>VLOOKUP($B44,정산표!$B$7:$M$201,12,0)</f>
        <v>557640020</v>
      </c>
      <c r="J44" s="2"/>
      <c r="L44" s="2"/>
    </row>
    <row r="45" spans="2:12">
      <c r="B45" s="1">
        <v>20200</v>
      </c>
      <c r="C45" s="852" t="s">
        <v>676</v>
      </c>
      <c r="D45" s="34"/>
      <c r="E45" s="15">
        <f>VLOOKUP($B45,정산표!$B$7:$M$201,7,0)</f>
        <v>2832428420</v>
      </c>
      <c r="F45" s="2">
        <f>VLOOKUP($B45,정산표!$B$7:$M$201,12,0)</f>
        <v>1355889942</v>
      </c>
      <c r="J45" s="2"/>
      <c r="L45" s="2"/>
    </row>
    <row r="46" spans="2:12">
      <c r="B46" s="1">
        <v>20300</v>
      </c>
      <c r="C46" s="852" t="s">
        <v>5</v>
      </c>
      <c r="D46" s="34"/>
      <c r="E46" s="15">
        <f>VLOOKUP($B46,정산표!$B$7:$M$201,7,0)</f>
        <v>-61959374</v>
      </c>
      <c r="F46" s="2">
        <f>VLOOKUP($B46,정산표!$B$7:$M$201,12,0)</f>
        <v>-31072481</v>
      </c>
      <c r="J46" s="2"/>
      <c r="L46" s="2"/>
    </row>
    <row r="47" spans="2:12" outlineLevel="1">
      <c r="B47" s="1" t="s">
        <v>803</v>
      </c>
      <c r="C47" s="34" t="str">
        <f>정산표!D51</f>
        <v>기계장치</v>
      </c>
      <c r="D47" s="34"/>
      <c r="E47" s="15">
        <f>VLOOKUP($B47,정산표!$B$7:$M$201,7,0)</f>
        <v>2674264961</v>
      </c>
      <c r="F47" s="2">
        <f>VLOOKUP($B47,정산표!$B$7:$M$201,12,0)</f>
        <v>1819453967</v>
      </c>
      <c r="J47" s="2">
        <f t="shared" si="0"/>
        <v>-854810994</v>
      </c>
      <c r="L47" s="2"/>
    </row>
    <row r="48" spans="2:12" s="10" customFormat="1" outlineLevel="1">
      <c r="B48" s="10" t="s">
        <v>804</v>
      </c>
      <c r="C48" s="34" t="str">
        <f>정산표!D52</f>
        <v>감가상각누계액</v>
      </c>
      <c r="D48" s="17"/>
      <c r="E48" s="15">
        <f>VLOOKUP($B48,정산표!$B$7:$M$201,7,0)</f>
        <v>-1323604760</v>
      </c>
      <c r="F48" s="2">
        <f>VLOOKUP($B48,정산표!$B$7:$M$201,12,0)</f>
        <v>-1210652849</v>
      </c>
      <c r="J48" s="2">
        <f t="shared" si="0"/>
        <v>112951911</v>
      </c>
      <c r="K48" s="1"/>
      <c r="L48" s="2"/>
    </row>
    <row r="49" spans="2:12" outlineLevel="1">
      <c r="B49" s="1" t="s">
        <v>806</v>
      </c>
      <c r="C49" s="34" t="str">
        <f>정산표!D53</f>
        <v>차량운반구</v>
      </c>
      <c r="D49" s="17"/>
      <c r="E49" s="15">
        <f>VLOOKUP($B49,정산표!$B$7:$M$201,7,0)</f>
        <v>7974819</v>
      </c>
      <c r="F49" s="2">
        <f>VLOOKUP($B49,정산표!$B$7:$M$201,12,0)</f>
        <v>7974819</v>
      </c>
      <c r="J49" s="2">
        <f t="shared" si="0"/>
        <v>0</v>
      </c>
      <c r="L49" s="2"/>
    </row>
    <row r="50" spans="2:12" outlineLevel="1">
      <c r="B50" s="1" t="s">
        <v>807</v>
      </c>
      <c r="C50" s="34" t="str">
        <f>정산표!D54</f>
        <v>감가상각누계액</v>
      </c>
      <c r="D50" s="17"/>
      <c r="E50" s="15">
        <f>VLOOKUP($B50,정산표!$B$7:$M$201,7,0)</f>
        <v>-7972819</v>
      </c>
      <c r="F50" s="2">
        <f>VLOOKUP($B50,정산표!$B$7:$M$201,12,0)</f>
        <v>-7972819</v>
      </c>
      <c r="J50" s="2">
        <f t="shared" si="0"/>
        <v>0</v>
      </c>
      <c r="L50" s="2"/>
    </row>
    <row r="51" spans="2:12" outlineLevel="1">
      <c r="B51" s="1" t="s">
        <v>809</v>
      </c>
      <c r="C51" s="34" t="str">
        <f>정산표!D55</f>
        <v>공구와기구</v>
      </c>
      <c r="D51" s="17"/>
      <c r="E51" s="15">
        <f>VLOOKUP($B51,정산표!$B$7:$M$201,7,0)</f>
        <v>131100000</v>
      </c>
      <c r="F51" s="2">
        <f>VLOOKUP($B51,정산표!$B$7:$M$201,12,0)</f>
        <v>131100000</v>
      </c>
      <c r="J51" s="2">
        <f t="shared" si="0"/>
        <v>0</v>
      </c>
      <c r="L51" s="2"/>
    </row>
    <row r="52" spans="2:12" outlineLevel="1">
      <c r="B52" s="1" t="s">
        <v>810</v>
      </c>
      <c r="C52" s="34" t="str">
        <f>정산표!D56</f>
        <v>감가상각누계액</v>
      </c>
      <c r="D52" s="17"/>
      <c r="E52" s="15">
        <f>VLOOKUP($B52,정산표!$B$7:$M$201,7,0)</f>
        <v>-67838194</v>
      </c>
      <c r="F52" s="2">
        <f>VLOOKUP($B52,정산표!$B$7:$M$201,12,0)</f>
        <v>-58155206</v>
      </c>
      <c r="J52" s="2">
        <f t="shared" si="0"/>
        <v>9682988</v>
      </c>
      <c r="L52" s="2"/>
    </row>
    <row r="53" spans="2:12" outlineLevel="1">
      <c r="B53" s="1" t="s">
        <v>812</v>
      </c>
      <c r="C53" s="34" t="str">
        <f>정산표!D57</f>
        <v>집기비품</v>
      </c>
      <c r="D53" s="17"/>
      <c r="E53" s="15">
        <f>VLOOKUP($B53,정산표!$B$7:$M$201,7,0)</f>
        <v>368187065</v>
      </c>
      <c r="F53" s="2">
        <f>VLOOKUP($B53,정산표!$B$7:$M$201,12,0)</f>
        <v>392461239</v>
      </c>
      <c r="J53" s="2">
        <f t="shared" si="0"/>
        <v>24274174</v>
      </c>
      <c r="L53" s="2"/>
    </row>
    <row r="54" spans="2:12" s="10" customFormat="1" outlineLevel="1">
      <c r="B54" s="10" t="s">
        <v>813</v>
      </c>
      <c r="C54" s="34" t="str">
        <f>정산표!D58</f>
        <v>감가상각누계액</v>
      </c>
      <c r="D54" s="17"/>
      <c r="E54" s="15">
        <f>VLOOKUP($B54,정산표!$B$7:$M$201,7,0)</f>
        <v>-189699106</v>
      </c>
      <c r="F54" s="2">
        <f>VLOOKUP($B54,정산표!$B$7:$M$201,12,0)</f>
        <v>-341221676</v>
      </c>
      <c r="J54" s="2">
        <f t="shared" si="0"/>
        <v>-151522570</v>
      </c>
      <c r="K54" s="1"/>
      <c r="L54" s="2"/>
    </row>
    <row r="55" spans="2:12" s="10" customFormat="1" outlineLevel="1">
      <c r="B55" s="10" t="s">
        <v>1307</v>
      </c>
      <c r="C55" s="34" t="str">
        <f>정산표!D59</f>
        <v>건설중인자산</v>
      </c>
      <c r="D55" s="17"/>
      <c r="E55" s="15">
        <f>VLOOKUP($B55,정산표!$B$7:$M$201,7,0)</f>
        <v>1376213175</v>
      </c>
      <c r="F55" s="2">
        <f>VLOOKUP($B55,정산표!$B$7:$M$201,12,0)</f>
        <v>4039985025</v>
      </c>
      <c r="G55" s="1"/>
      <c r="J55" s="2"/>
      <c r="K55" s="1"/>
      <c r="L55" s="2"/>
    </row>
    <row r="56" spans="2:12" s="10" customFormat="1" outlineLevel="1">
      <c r="B56" s="10" t="s">
        <v>815</v>
      </c>
      <c r="C56" s="34" t="str">
        <f>정산표!D60</f>
        <v>인테리어</v>
      </c>
      <c r="D56" s="17"/>
      <c r="E56" s="15">
        <f>VLOOKUP($B56,정산표!$B$7:$M$201,7,0)</f>
        <v>131819200</v>
      </c>
      <c r="F56" s="2">
        <f>VLOOKUP($B56,정산표!$B$7:$M$201,12,0)</f>
        <v>218118382</v>
      </c>
      <c r="J56" s="2">
        <f t="shared" si="0"/>
        <v>86299182</v>
      </c>
      <c r="K56" s="1"/>
      <c r="L56" s="2"/>
    </row>
    <row r="57" spans="2:12" s="10" customFormat="1" outlineLevel="1">
      <c r="B57" s="10" t="s">
        <v>816</v>
      </c>
      <c r="C57" s="34" t="str">
        <f>정산표!D61</f>
        <v>감가상각누계액</v>
      </c>
      <c r="D57" s="17"/>
      <c r="E57" s="15">
        <f>VLOOKUP($B57,정산표!$B$7:$M$201,7,0)</f>
        <v>-131811200</v>
      </c>
      <c r="F57" s="2">
        <f>VLOOKUP($B57,정산표!$B$7:$M$201,12,0)</f>
        <v>-217473398</v>
      </c>
      <c r="J57" s="2">
        <f t="shared" si="0"/>
        <v>-85662198</v>
      </c>
      <c r="K57" s="1"/>
      <c r="L57" s="2"/>
    </row>
    <row r="58" spans="2:12" s="10" customFormat="1" outlineLevel="1">
      <c r="B58" s="10" t="s">
        <v>1309</v>
      </c>
      <c r="C58" s="34" t="str">
        <f>정산표!D62</f>
        <v>시설장치</v>
      </c>
      <c r="D58" s="17"/>
      <c r="E58" s="15">
        <f>VLOOKUP($B58,정산표!$B$7:$M$201,7,0)</f>
        <v>972487904</v>
      </c>
      <c r="F58" s="2">
        <f>VLOOKUP($B58,정산표!$B$7:$M$201,12,0)</f>
        <v>473450000</v>
      </c>
      <c r="J58" s="2">
        <f t="shared" si="0"/>
        <v>-499037904</v>
      </c>
      <c r="K58" s="1"/>
      <c r="L58" s="2"/>
    </row>
    <row r="59" spans="2:12" s="10" customFormat="1" outlineLevel="1">
      <c r="B59" s="10" t="s">
        <v>1311</v>
      </c>
      <c r="C59" s="34" t="str">
        <f>정산표!D63</f>
        <v>감가상각누계액</v>
      </c>
      <c r="D59" s="17"/>
      <c r="E59" s="15">
        <f>VLOOKUP($B59,정산표!$B$7:$M$201,7,0)</f>
        <v>-169400862</v>
      </c>
      <c r="F59" s="2">
        <f>VLOOKUP($B59,정산표!$B$7:$M$201,12,0)</f>
        <v>-85582504</v>
      </c>
      <c r="J59" s="2">
        <f t="shared" si="0"/>
        <v>83818358</v>
      </c>
      <c r="K59" s="1"/>
      <c r="L59" s="2"/>
    </row>
    <row r="60" spans="2:12" s="10" customFormat="1" outlineLevel="1">
      <c r="B60" s="10" t="s">
        <v>818</v>
      </c>
      <c r="C60" s="34" t="str">
        <f>정산표!D64</f>
        <v>사용권자산</v>
      </c>
      <c r="D60" s="17"/>
      <c r="E60" s="15">
        <f>VLOOKUP($B60,정산표!$B$7:$M$201,7,0)</f>
        <v>1731999794</v>
      </c>
      <c r="F60" s="2">
        <f>VLOOKUP($B60,정산표!$B$7:$M$201,12,0)</f>
        <v>1784674683</v>
      </c>
      <c r="J60" s="2">
        <f t="shared" si="0"/>
        <v>52674889</v>
      </c>
      <c r="K60" s="1"/>
      <c r="L60" s="2"/>
    </row>
    <row r="61" spans="2:12" s="10" customFormat="1" outlineLevel="1">
      <c r="B61" s="10" t="s">
        <v>819</v>
      </c>
      <c r="C61" s="34" t="str">
        <f>정산표!D65</f>
        <v>사용권자산감가상각누계액</v>
      </c>
      <c r="D61" s="17"/>
      <c r="E61" s="15">
        <f>VLOOKUP($B61,정산표!$B$7:$M$201,7,0)</f>
        <v>-370585998</v>
      </c>
      <c r="F61" s="2">
        <f>VLOOKUP($B61,정산표!$B$7:$M$201,12,0)</f>
        <v>-145809800</v>
      </c>
      <c r="J61" s="2">
        <f t="shared" si="0"/>
        <v>224776198</v>
      </c>
      <c r="K61" s="1"/>
      <c r="L61" s="2"/>
    </row>
    <row r="62" spans="2:12" s="10" customFormat="1">
      <c r="C62" s="12" t="str">
        <f>정산표!D66</f>
        <v>무형자산</v>
      </c>
      <c r="D62" s="17"/>
      <c r="E62" s="14">
        <f>SUM(E63:E66)</f>
        <v>124722122</v>
      </c>
      <c r="F62" s="3">
        <f>SUM(F63:F66)</f>
        <v>50368750</v>
      </c>
      <c r="J62" s="2">
        <f>F62-E62</f>
        <v>-74353372</v>
      </c>
    </row>
    <row r="63" spans="2:12" outlineLevel="1">
      <c r="B63" s="1" t="s">
        <v>821</v>
      </c>
      <c r="C63" s="34" t="str">
        <f>정산표!D67</f>
        <v>특허권</v>
      </c>
      <c r="D63" s="17"/>
      <c r="E63" s="15">
        <f>VLOOKUP($B63,정산표!$B$7:$M$201,7,0)</f>
        <v>49108768</v>
      </c>
      <c r="F63" s="2">
        <f>VLOOKUP($B63,정산표!$B$7:$M$201,12,0)</f>
        <v>18182933</v>
      </c>
      <c r="J63" s="2">
        <f t="shared" si="0"/>
        <v>-30925835</v>
      </c>
    </row>
    <row r="64" spans="2:12" s="10" customFormat="1" outlineLevel="1">
      <c r="B64" s="10" t="s">
        <v>822</v>
      </c>
      <c r="C64" s="34" t="str">
        <f>정산표!D68</f>
        <v>상표권</v>
      </c>
      <c r="D64" s="17"/>
      <c r="E64" s="15">
        <f>VLOOKUP($B64,정산표!$B$7:$M$201,7,0)</f>
        <v>23719703</v>
      </c>
      <c r="F64" s="2">
        <f>VLOOKUP($B64,정산표!$B$7:$M$201,12,0)</f>
        <v>19838530</v>
      </c>
      <c r="J64" s="2">
        <f t="shared" si="0"/>
        <v>-3881173</v>
      </c>
    </row>
    <row r="65" spans="2:11" outlineLevel="1">
      <c r="B65" s="1" t="s">
        <v>823</v>
      </c>
      <c r="C65" s="34" t="str">
        <f>정산표!D69</f>
        <v>개발비</v>
      </c>
      <c r="D65" s="17"/>
      <c r="E65" s="15">
        <f>VLOOKUP($B65,정산표!$B$7:$M$201,7,0)</f>
        <v>0</v>
      </c>
      <c r="F65" s="2">
        <f>VLOOKUP($B65,정산표!$B$7:$M$201,12,0)</f>
        <v>0</v>
      </c>
      <c r="J65" s="2">
        <f t="shared" si="0"/>
        <v>0</v>
      </c>
    </row>
    <row r="66" spans="2:11" s="10" customFormat="1" outlineLevel="1">
      <c r="B66" s="10" t="s">
        <v>826</v>
      </c>
      <c r="C66" s="34" t="str">
        <f>정산표!D70</f>
        <v>소프트웨어</v>
      </c>
      <c r="D66" s="17"/>
      <c r="E66" s="15">
        <f>VLOOKUP($B66,정산표!$B$7:$M$201,7,0)</f>
        <v>51893651</v>
      </c>
      <c r="F66" s="2">
        <f>VLOOKUP($B66,정산표!$B$7:$M$201,12,0)</f>
        <v>12347287</v>
      </c>
      <c r="J66" s="2">
        <f t="shared" si="0"/>
        <v>-39546364</v>
      </c>
    </row>
    <row r="67" spans="2:11" ht="15" customHeight="1" thickBot="1">
      <c r="B67" s="1" t="s">
        <v>1715</v>
      </c>
      <c r="C67" s="637" t="str">
        <f>정산표!D71</f>
        <v>이연법인세자산</v>
      </c>
      <c r="D67" s="40"/>
      <c r="E67" s="41">
        <f>VLOOKUP($B67,정산표!$B$7:$M$201,7,0)</f>
        <v>2555104971</v>
      </c>
      <c r="F67" s="39">
        <f>VLOOKUP($B67,정산표!$B$7:$M$201,12,0)</f>
        <v>2555104971</v>
      </c>
      <c r="J67" s="2">
        <f t="shared" si="0"/>
        <v>0</v>
      </c>
    </row>
    <row r="68" spans="2:11" ht="13.75" customHeight="1" thickBot="1">
      <c r="C68" s="633" t="s">
        <v>54</v>
      </c>
      <c r="D68" s="633"/>
      <c r="E68" s="633">
        <f>E34+E3</f>
        <v>54543045905</v>
      </c>
      <c r="F68" s="633">
        <f>F34+F3</f>
        <v>55193887404</v>
      </c>
      <c r="J68" s="2">
        <f t="shared" si="0"/>
        <v>650841499</v>
      </c>
    </row>
    <row r="69" spans="2:11" ht="15.45" thickBot="1">
      <c r="C69" s="633" t="s">
        <v>33</v>
      </c>
      <c r="D69" s="633"/>
      <c r="E69" s="633"/>
      <c r="F69" s="633"/>
      <c r="J69" s="2">
        <f t="shared" si="0"/>
        <v>0</v>
      </c>
    </row>
    <row r="70" spans="2:11">
      <c r="C70" s="634" t="s">
        <v>48</v>
      </c>
      <c r="D70" s="634"/>
      <c r="E70" s="635">
        <f>E71+E76+E77+E79+E78</f>
        <v>7026815912</v>
      </c>
      <c r="F70" s="648">
        <f>F71+F76+F77+F79+F78</f>
        <v>5794685216</v>
      </c>
      <c r="J70" s="2">
        <f t="shared" si="0"/>
        <v>-1232130696</v>
      </c>
    </row>
    <row r="71" spans="2:11" ht="17.600000000000001">
      <c r="C71" s="12" t="str">
        <f>정산표!D75</f>
        <v>매입채무및기타채무</v>
      </c>
      <c r="D71" s="12"/>
      <c r="E71" s="14">
        <f>SUM(E72:E75)</f>
        <v>3144825470</v>
      </c>
      <c r="F71" s="3">
        <f>SUM(F72:F75)</f>
        <v>1584755867</v>
      </c>
      <c r="G71"/>
      <c r="J71" s="2">
        <f t="shared" si="0"/>
        <v>-1560069603</v>
      </c>
    </row>
    <row r="72" spans="2:11" outlineLevel="1">
      <c r="B72" s="1" t="s">
        <v>831</v>
      </c>
      <c r="C72" s="34" t="str">
        <f>정산표!D76</f>
        <v>매입채무</v>
      </c>
      <c r="D72" s="17"/>
      <c r="E72" s="15">
        <f>VLOOKUP($B72,정산표!$B$7:$M$201,7,0)</f>
        <v>299203820</v>
      </c>
      <c r="F72" s="2">
        <f>VLOOKUP($B72,정산표!$B$7:$M$201,12,0)</f>
        <v>545684916</v>
      </c>
      <c r="J72" s="2">
        <f t="shared" si="0"/>
        <v>246481096</v>
      </c>
      <c r="K72" s="33"/>
    </row>
    <row r="73" spans="2:11" outlineLevel="1">
      <c r="B73" s="1" t="s">
        <v>832</v>
      </c>
      <c r="C73" s="34" t="str">
        <f>정산표!D77</f>
        <v>미지급금</v>
      </c>
      <c r="D73" s="17"/>
      <c r="E73" s="15">
        <f>VLOOKUP($B73,정산표!$B$7:$M$201,7,0)</f>
        <v>207639910</v>
      </c>
      <c r="F73" s="2">
        <f>VLOOKUP($B73,정산표!$B$7:$M$201,12,0)</f>
        <v>293009113</v>
      </c>
      <c r="J73" s="2">
        <f t="shared" si="0"/>
        <v>85369203</v>
      </c>
      <c r="K73" s="11"/>
    </row>
    <row r="74" spans="2:11" outlineLevel="1">
      <c r="B74" s="1" t="s">
        <v>833</v>
      </c>
      <c r="C74" s="34" t="s">
        <v>436</v>
      </c>
      <c r="D74" s="17"/>
      <c r="E74" s="15">
        <f>VLOOKUP($B74,정산표!$B$7:$M$201,7,0)</f>
        <v>85200680</v>
      </c>
      <c r="F74" s="2">
        <f>VLOOKUP($B74,정산표!$B$7:$M$201,12,0)</f>
        <v>0</v>
      </c>
      <c r="J74" s="2">
        <f>F74-E74</f>
        <v>-85200680</v>
      </c>
    </row>
    <row r="75" spans="2:11" outlineLevel="1">
      <c r="B75" s="1" t="s">
        <v>837</v>
      </c>
      <c r="C75" s="34" t="str">
        <f>정산표!D79</f>
        <v>미지급비용</v>
      </c>
      <c r="D75" s="17"/>
      <c r="E75" s="15">
        <f>VLOOKUP($B75,정산표!$B$7:$M$201,7,0)</f>
        <v>2552781060</v>
      </c>
      <c r="F75" s="2">
        <f>VLOOKUP($B75,정산표!$B$7:$M$201,12,0)</f>
        <v>746061838</v>
      </c>
      <c r="J75" s="2">
        <f t="shared" si="0"/>
        <v>-1806719222</v>
      </c>
    </row>
    <row r="76" spans="2:11">
      <c r="B76" s="1" t="s">
        <v>836</v>
      </c>
      <c r="C76" s="12" t="str">
        <f>정산표!D80</f>
        <v>단기차입금</v>
      </c>
      <c r="D76" s="12"/>
      <c r="E76" s="41">
        <f>VLOOKUP($B76,정산표!$B$7:$M$201,7,0)</f>
        <v>1120000000</v>
      </c>
      <c r="F76" s="39">
        <f>VLOOKUP($B76,정산표!$B$7:$M$201,12,0)</f>
        <v>1120000000</v>
      </c>
      <c r="J76" s="2">
        <f>F76-E76</f>
        <v>0</v>
      </c>
    </row>
    <row r="77" spans="2:11">
      <c r="B77" s="1" t="s">
        <v>840</v>
      </c>
      <c r="C77" s="12" t="str">
        <f>정산표!D81</f>
        <v>유동성장기차입금</v>
      </c>
      <c r="D77" s="12"/>
      <c r="E77" s="41">
        <f>VLOOKUP($B77,정산표!$B$7:$M$201,7,0)</f>
        <v>0</v>
      </c>
      <c r="F77" s="39">
        <f>VLOOKUP($B77,정산표!$B$7:$M$201,12,0)</f>
        <v>83300000</v>
      </c>
      <c r="J77" s="2">
        <f t="shared" si="0"/>
        <v>83300000</v>
      </c>
    </row>
    <row r="78" spans="2:11">
      <c r="B78" s="1" t="s">
        <v>841</v>
      </c>
      <c r="C78" s="12" t="str">
        <f>정산표!D82</f>
        <v>유동성리스부채</v>
      </c>
      <c r="D78" s="12"/>
      <c r="E78" s="41">
        <f>VLOOKUP($B78,정산표!$B$7:$M$201,7,0)</f>
        <v>537067117</v>
      </c>
      <c r="F78" s="39">
        <f>VLOOKUP($B78,정산표!$B$7:$M$201,12,0)</f>
        <v>545986082</v>
      </c>
      <c r="J78" s="2">
        <f t="shared" si="0"/>
        <v>8918965</v>
      </c>
      <c r="K78" s="1">
        <v>274885376</v>
      </c>
    </row>
    <row r="79" spans="2:11">
      <c r="C79" s="12" t="str">
        <f>정산표!D83</f>
        <v>기타유동부채</v>
      </c>
      <c r="D79" s="12"/>
      <c r="E79" s="14">
        <f>SUM(E80:E81)</f>
        <v>2224923325</v>
      </c>
      <c r="F79" s="3">
        <f>SUM(F80:F81)</f>
        <v>2460643267</v>
      </c>
      <c r="J79" s="2">
        <f t="shared" si="0"/>
        <v>235719942</v>
      </c>
    </row>
    <row r="80" spans="2:11" outlineLevel="1">
      <c r="B80" s="1" t="s">
        <v>835</v>
      </c>
      <c r="C80" s="34" t="str">
        <f>정산표!D84</f>
        <v>선수금</v>
      </c>
      <c r="D80" s="34"/>
      <c r="E80" s="15">
        <f>VLOOKUP($B80,정산표!$B$7:$M$201,7,0)</f>
        <v>2215528322</v>
      </c>
      <c r="F80" s="2">
        <f>VLOOKUP($B80,정산표!$B$7:$M$201,12,0)</f>
        <v>2443300145</v>
      </c>
      <c r="J80" s="2">
        <f t="shared" si="0"/>
        <v>227771823</v>
      </c>
    </row>
    <row r="81" spans="2:14" outlineLevel="1">
      <c r="B81" s="1" t="s">
        <v>839</v>
      </c>
      <c r="C81" s="34" t="str">
        <f>정산표!D85</f>
        <v>환불부채</v>
      </c>
      <c r="D81" s="17"/>
      <c r="E81" s="15">
        <f>VLOOKUP($B81,정산표!$B$7:$M$201,7,0)</f>
        <v>9395003</v>
      </c>
      <c r="F81" s="2">
        <f>VLOOKUP($B81,정산표!$B$7:$M$201,12,0)</f>
        <v>17343122</v>
      </c>
      <c r="J81" s="2">
        <f t="shared" si="0"/>
        <v>7948119</v>
      </c>
      <c r="K81" s="33"/>
    </row>
    <row r="82" spans="2:14">
      <c r="C82" s="634" t="s">
        <v>49</v>
      </c>
      <c r="D82" s="636"/>
      <c r="E82" s="635">
        <f>E83+E85+E87+E90+E86</f>
        <v>5815444698</v>
      </c>
      <c r="F82" s="647">
        <f>F83+F85+F87+F90+F86</f>
        <v>6909567083</v>
      </c>
      <c r="J82" s="2">
        <f t="shared" si="0"/>
        <v>1094122385</v>
      </c>
      <c r="K82" s="11"/>
      <c r="L82" s="11"/>
    </row>
    <row r="83" spans="2:14">
      <c r="C83" s="12" t="str">
        <f>정산표!D87</f>
        <v>기타비유동부채</v>
      </c>
      <c r="D83" s="17"/>
      <c r="E83" s="14">
        <f>E84</f>
        <v>205709924</v>
      </c>
      <c r="F83" s="3">
        <f>F84</f>
        <v>173088026</v>
      </c>
      <c r="J83" s="2">
        <f t="shared" si="0"/>
        <v>-32621898</v>
      </c>
      <c r="L83" s="11"/>
    </row>
    <row r="84" spans="2:14">
      <c r="B84" s="1" t="s">
        <v>1313</v>
      </c>
      <c r="C84" s="34" t="str">
        <f>정산표!D88</f>
        <v>장기종업원급여부채</v>
      </c>
      <c r="D84" s="17"/>
      <c r="E84" s="15">
        <f>VLOOKUP($B84,정산표!$B$7:$M$201,7,0)</f>
        <v>205709924</v>
      </c>
      <c r="F84" s="2">
        <f>VLOOKUP($B84,정산표!$B$7:$M$201,12,0)</f>
        <v>173088026</v>
      </c>
      <c r="J84" s="2">
        <f t="shared" si="0"/>
        <v>-32621898</v>
      </c>
      <c r="L84" s="11"/>
      <c r="M84" s="11"/>
      <c r="N84" s="11"/>
    </row>
    <row r="85" spans="2:14">
      <c r="B85" s="1" t="s">
        <v>843</v>
      </c>
      <c r="C85" s="12" t="str">
        <f>정산표!D89</f>
        <v>장기차입금</v>
      </c>
      <c r="D85" s="17"/>
      <c r="E85" s="41">
        <f>VLOOKUP($B85,정산표!$B$7:$M$201,7,0)</f>
        <v>4100000000</v>
      </c>
      <c r="F85" s="39">
        <f>VLOOKUP($B85,정산표!$B$7:$M$201,12,0)</f>
        <v>4100000000</v>
      </c>
      <c r="J85" s="2">
        <f t="shared" si="0"/>
        <v>0</v>
      </c>
      <c r="K85" s="11"/>
      <c r="L85" s="2"/>
      <c r="M85" s="11"/>
      <c r="N85" s="11"/>
    </row>
    <row r="86" spans="2:14">
      <c r="B86" s="1" t="s">
        <v>851</v>
      </c>
      <c r="C86" s="12" t="str">
        <f>정산표!D90</f>
        <v>리스부채</v>
      </c>
      <c r="D86" s="17"/>
      <c r="E86" s="41">
        <f>VLOOKUP($B86,정산표!$B$7:$M$201,7,0)</f>
        <v>799358124</v>
      </c>
      <c r="F86" s="39">
        <f>VLOOKUP($B86,정산표!$B$7:$M$201,12,0)</f>
        <v>1049272823</v>
      </c>
      <c r="J86" s="2">
        <f t="shared" si="0"/>
        <v>249914699</v>
      </c>
      <c r="K86" s="11"/>
      <c r="L86" s="2"/>
      <c r="M86" s="11"/>
      <c r="N86" s="11"/>
    </row>
    <row r="87" spans="2:14">
      <c r="C87" s="12" t="str">
        <f>정산표!D91</f>
        <v>순확정급여부채</v>
      </c>
      <c r="D87" s="13"/>
      <c r="E87" s="14">
        <f>SUM(E88:E89)</f>
        <v>710376650</v>
      </c>
      <c r="F87" s="3">
        <f>SUM(F88:F89)</f>
        <v>1587206234</v>
      </c>
      <c r="J87" s="2">
        <f t="shared" ref="J87:J102" si="2">F87-E87</f>
        <v>876829584</v>
      </c>
      <c r="K87" s="11"/>
      <c r="L87" s="2"/>
      <c r="M87" s="11"/>
      <c r="N87" s="11"/>
    </row>
    <row r="88" spans="2:14" outlineLevel="1">
      <c r="B88" s="1" t="s">
        <v>844</v>
      </c>
      <c r="C88" s="34" t="str">
        <f>정산표!D92</f>
        <v>퇴직급여충당부채</v>
      </c>
      <c r="D88" s="34"/>
      <c r="E88" s="15">
        <f>VLOOKUP($B88,정산표!$B$7:$M$201,7,0)</f>
        <v>710376650</v>
      </c>
      <c r="F88" s="2">
        <f>VLOOKUP($B88,정산표!$B$7:$M$201,12,0)</f>
        <v>1587206234</v>
      </c>
      <c r="J88" s="2">
        <f t="shared" si="2"/>
        <v>876829584</v>
      </c>
      <c r="K88" s="33"/>
      <c r="L88" s="33"/>
      <c r="M88" s="33"/>
      <c r="N88" s="11"/>
    </row>
    <row r="89" spans="2:14" ht="15.45" outlineLevel="1" thickBot="1">
      <c r="B89" s="1" t="s">
        <v>1315</v>
      </c>
      <c r="C89" s="34" t="str">
        <f>정산표!D93</f>
        <v>퇴직연금운용자산</v>
      </c>
      <c r="D89" s="17"/>
      <c r="E89" s="15">
        <f>VLOOKUP($B89,정산표!$B$7:$M$201,7,0)</f>
        <v>0</v>
      </c>
      <c r="F89" s="2">
        <f>VLOOKUP($B89,정산표!$B$7:$M$201,12,0)</f>
        <v>0</v>
      </c>
      <c r="J89" s="2">
        <f t="shared" si="2"/>
        <v>0</v>
      </c>
      <c r="M89" s="11"/>
      <c r="N89" s="11"/>
    </row>
    <row r="90" spans="2:14" ht="12.65" hidden="1" customHeight="1" thickBot="1">
      <c r="C90" s="12" t="str">
        <f>정산표!D94</f>
        <v>이연법인세부채</v>
      </c>
      <c r="D90" s="17"/>
      <c r="E90" s="14">
        <f>정산표!H94</f>
        <v>0</v>
      </c>
      <c r="F90" s="2">
        <v>0</v>
      </c>
      <c r="J90" s="2">
        <f t="shared" si="2"/>
        <v>0</v>
      </c>
      <c r="L90" s="33"/>
      <c r="M90" s="11"/>
      <c r="N90" s="11"/>
    </row>
    <row r="91" spans="2:14" ht="14.25" customHeight="1" thickBot="1">
      <c r="C91" s="633" t="s">
        <v>51</v>
      </c>
      <c r="D91" s="633"/>
      <c r="E91" s="633">
        <f>E82+E70</f>
        <v>12842260610</v>
      </c>
      <c r="F91" s="633">
        <f>F82+F70</f>
        <v>12704252299</v>
      </c>
      <c r="J91" s="2">
        <f t="shared" si="2"/>
        <v>-138008311</v>
      </c>
    </row>
    <row r="92" spans="2:14">
      <c r="C92" s="13" t="s">
        <v>121</v>
      </c>
      <c r="D92" s="13"/>
      <c r="E92" s="14"/>
      <c r="F92" s="3"/>
      <c r="J92" s="2">
        <f t="shared" si="2"/>
        <v>0</v>
      </c>
    </row>
    <row r="93" spans="2:14">
      <c r="C93" s="12" t="s">
        <v>82</v>
      </c>
      <c r="D93" s="12"/>
      <c r="E93" s="14">
        <f>E94</f>
        <v>5691191500</v>
      </c>
      <c r="F93" s="389">
        <f>F94</f>
        <v>5691191500</v>
      </c>
      <c r="J93" s="2">
        <f t="shared" si="2"/>
        <v>0</v>
      </c>
    </row>
    <row r="94" spans="2:14" outlineLevel="1">
      <c r="B94" s="1" t="s">
        <v>853</v>
      </c>
      <c r="C94" s="17" t="s">
        <v>84</v>
      </c>
      <c r="D94" s="17"/>
      <c r="E94" s="15">
        <f>VLOOKUP($B94,정산표!$B$7:$M$201,7,0)</f>
        <v>5691191500</v>
      </c>
      <c r="F94" s="2">
        <f>VLOOKUP($B94,정산표!$B$7:$M$201,12,0)</f>
        <v>5691191500</v>
      </c>
      <c r="J94" s="2">
        <f t="shared" si="2"/>
        <v>0</v>
      </c>
    </row>
    <row r="95" spans="2:14">
      <c r="C95" s="12" t="s">
        <v>98</v>
      </c>
      <c r="D95" s="12"/>
      <c r="E95" s="14">
        <f>E96</f>
        <v>45157382298</v>
      </c>
      <c r="F95" s="389">
        <f>F96</f>
        <v>45157382298</v>
      </c>
      <c r="J95" s="2">
        <f t="shared" si="2"/>
        <v>0</v>
      </c>
    </row>
    <row r="96" spans="2:14" outlineLevel="1">
      <c r="B96" s="1" t="s">
        <v>855</v>
      </c>
      <c r="C96" s="17" t="s">
        <v>56</v>
      </c>
      <c r="D96" s="17"/>
      <c r="E96" s="15">
        <f>VLOOKUP($B96,정산표!$B$7:$M$201,7,0)</f>
        <v>45157382298</v>
      </c>
      <c r="F96" s="2">
        <f>VLOOKUP($B96,정산표!$B$7:$M$201,12,0)</f>
        <v>45157382298</v>
      </c>
      <c r="J96" s="2">
        <f t="shared" si="2"/>
        <v>0</v>
      </c>
    </row>
    <row r="97" spans="2:10">
      <c r="C97" s="12" t="s">
        <v>99</v>
      </c>
      <c r="D97" s="12"/>
      <c r="E97" s="14">
        <f>E98</f>
        <v>424627793</v>
      </c>
      <c r="F97" s="389">
        <f>F98</f>
        <v>424627793</v>
      </c>
      <c r="J97" s="2">
        <f t="shared" si="2"/>
        <v>0</v>
      </c>
    </row>
    <row r="98" spans="2:10" outlineLevel="1">
      <c r="B98" s="1" t="s">
        <v>857</v>
      </c>
      <c r="C98" s="17" t="s">
        <v>100</v>
      </c>
      <c r="D98" s="17"/>
      <c r="E98" s="15">
        <f>VLOOKUP($B98,정산표!$B$7:$M$201,7,0)</f>
        <v>424627793</v>
      </c>
      <c r="F98" s="2">
        <f>VLOOKUP($B98,정산표!$B$7:$M$201,12,0)</f>
        <v>424627793</v>
      </c>
      <c r="J98" s="2">
        <f t="shared" si="2"/>
        <v>0</v>
      </c>
    </row>
    <row r="99" spans="2:10">
      <c r="C99" s="12" t="s">
        <v>37</v>
      </c>
      <c r="D99" s="12"/>
      <c r="E99" s="14">
        <f>E100</f>
        <v>-9572416296</v>
      </c>
      <c r="F99" s="389">
        <f>F100</f>
        <v>-8783566486</v>
      </c>
      <c r="J99" s="2">
        <f t="shared" si="2"/>
        <v>788849810</v>
      </c>
    </row>
    <row r="100" spans="2:10" ht="15.45" outlineLevel="1" thickBot="1">
      <c r="B100" s="1" t="s">
        <v>864</v>
      </c>
      <c r="C100" s="17" t="s">
        <v>70</v>
      </c>
      <c r="D100" s="17"/>
      <c r="E100" s="15">
        <f>VLOOKUP($B100,정산표!$B$7:$M$201,7,0)</f>
        <v>-9572416296</v>
      </c>
      <c r="F100" s="2">
        <f>VLOOKUP($B100,정산표!$B$7:$M$201,12,0)</f>
        <v>-8783566486</v>
      </c>
      <c r="J100" s="2">
        <f t="shared" si="2"/>
        <v>788849810</v>
      </c>
    </row>
    <row r="101" spans="2:10" ht="15.45" thickBot="1">
      <c r="C101" s="633" t="s">
        <v>122</v>
      </c>
      <c r="D101" s="633"/>
      <c r="E101" s="633">
        <f>E93+E95+E97+E99</f>
        <v>41700785295</v>
      </c>
      <c r="F101" s="633">
        <f>F93+F95+F97+F99</f>
        <v>42489635105</v>
      </c>
      <c r="J101" s="2">
        <f t="shared" si="2"/>
        <v>788849810</v>
      </c>
    </row>
    <row r="102" spans="2:10" ht="15.45" thickBot="1">
      <c r="C102" s="633" t="s">
        <v>123</v>
      </c>
      <c r="D102" s="633"/>
      <c r="E102" s="633">
        <f>E91+E101</f>
        <v>54543045905</v>
      </c>
      <c r="F102" s="633">
        <f>F91+F101</f>
        <v>55193887404</v>
      </c>
      <c r="J102" s="2">
        <f t="shared" si="2"/>
        <v>650841499</v>
      </c>
    </row>
    <row r="103" spans="2:10">
      <c r="C103" s="3"/>
      <c r="D103" s="3"/>
      <c r="E103" s="3"/>
      <c r="F103" s="3"/>
      <c r="J103" s="2"/>
    </row>
    <row r="104" spans="2:10">
      <c r="D104" s="1" t="s">
        <v>127</v>
      </c>
      <c r="E104" s="2" t="b">
        <f>E68=E102</f>
        <v>1</v>
      </c>
      <c r="F104" s="2" t="b">
        <f>F68=F102</f>
        <v>1</v>
      </c>
    </row>
    <row r="105" spans="2:10">
      <c r="D105" s="1" t="s">
        <v>126</v>
      </c>
      <c r="E105" s="2" t="b">
        <f>E102=정산표!H106</f>
        <v>1</v>
      </c>
      <c r="F105" s="2" t="b">
        <f>F102=정산표!M106</f>
        <v>1</v>
      </c>
    </row>
    <row r="107" spans="2:10">
      <c r="D107" s="1" t="s">
        <v>358</v>
      </c>
      <c r="E107" s="2">
        <f>E94/500</f>
        <v>11382383</v>
      </c>
      <c r="F107" s="2">
        <f>F94/500</f>
        <v>11382383</v>
      </c>
    </row>
  </sheetData>
  <phoneticPr fontId="6"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704F7C38-12CD-4B1E-8648-E9010CB17A67}">
            <xm:f>NOT(ISERROR(SEARCH("false",A1)))</xm:f>
            <xm:f>"false"</xm:f>
            <x14:dxf>
              <fill>
                <patternFill>
                  <bgColor rgb="FFC00000"/>
                </patternFill>
              </fill>
            </x14:dxf>
          </x14:cfRule>
          <xm:sqref>A1:XFD1048576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1" tint="0.499984740745262"/>
    <outlinePr summaryBelow="0"/>
  </sheetPr>
  <dimension ref="B1:L114"/>
  <sheetViews>
    <sheetView showGridLines="0" zoomScaleNormal="100" workbookViewId="0">
      <pane xSplit="4" ySplit="1" topLeftCell="E70" activePane="bottomRight" state="frozen"/>
      <selection activeCell="T72" sqref="T72"/>
      <selection pane="topRight" activeCell="T72" sqref="T72"/>
      <selection pane="bottomLeft" activeCell="T72" sqref="T72"/>
      <selection pane="bottomRight" activeCell="H88" sqref="H88"/>
    </sheetView>
  </sheetViews>
  <sheetFormatPr defaultColWidth="9" defaultRowHeight="15" outlineLevelRow="1"/>
  <cols>
    <col min="1" max="1" width="1.85546875" style="1" customWidth="1"/>
    <col min="2" max="2" width="1.35546875" style="1" customWidth="1"/>
    <col min="3" max="3" width="25.0703125" style="1" customWidth="1"/>
    <col min="4" max="4" width="12.5703125" style="1" customWidth="1"/>
    <col min="5" max="6" width="15.5703125" style="1" customWidth="1"/>
    <col min="7" max="7" width="3" style="1" customWidth="1"/>
    <col min="8" max="8" width="12.5" style="1" bestFit="1" customWidth="1"/>
    <col min="9" max="10" width="9" style="1"/>
    <col min="11" max="11" width="10.5703125" style="1" bestFit="1" customWidth="1"/>
    <col min="12" max="16384" width="9" style="1"/>
  </cols>
  <sheetData>
    <row r="1" spans="2:12" s="397" customFormat="1" ht="15.45" thickBot="1">
      <c r="C1" s="395" t="str">
        <f>정산표!D4</f>
        <v>계정과목</v>
      </c>
      <c r="D1" s="395" t="s">
        <v>34</v>
      </c>
      <c r="E1" s="396">
        <f>BS!E1</f>
        <v>46203</v>
      </c>
      <c r="F1" s="423">
        <f>E1-365</f>
        <v>45838</v>
      </c>
      <c r="H1" s="1061" t="s">
        <v>2295</v>
      </c>
      <c r="I1" s="1061" t="s">
        <v>2296</v>
      </c>
    </row>
    <row r="2" spans="2:12" ht="15.45" thickBot="1">
      <c r="C2" s="398" t="s">
        <v>87</v>
      </c>
      <c r="D2" s="398"/>
      <c r="E2" s="398">
        <f>SUM(E3:E5)</f>
        <v>8288170687</v>
      </c>
      <c r="F2" s="43">
        <f>SUM(F3:F5)</f>
        <v>8817426997</v>
      </c>
      <c r="H2" s="399"/>
    </row>
    <row r="3" spans="2:12" outlineLevel="1">
      <c r="B3" s="1" t="s">
        <v>866</v>
      </c>
      <c r="C3" s="34" t="str">
        <f>정산표!D114</f>
        <v>상품매출</v>
      </c>
      <c r="D3" s="34"/>
      <c r="E3" s="15">
        <f>VLOOKUP($B3,정산표!$B$113:$M$201,7,0)</f>
        <v>278070981</v>
      </c>
      <c r="F3" s="2">
        <f>VLOOKUP($B3,정산표!$B$113:$M$201,12,0)</f>
        <v>72357415</v>
      </c>
      <c r="H3" s="399"/>
    </row>
    <row r="4" spans="2:12" outlineLevel="1">
      <c r="B4" s="1" t="s">
        <v>867</v>
      </c>
      <c r="C4" s="34" t="str">
        <f>정산표!D115</f>
        <v>제품매출</v>
      </c>
      <c r="D4" s="34"/>
      <c r="E4" s="15">
        <f>VLOOKUP($B4,정산표!$B$113:$M$201,7,0)</f>
        <v>7974892686</v>
      </c>
      <c r="F4" s="2">
        <f>VLOOKUP($B4,정산표!$B$113:$M$201,12,0)</f>
        <v>8701040737</v>
      </c>
      <c r="H4" s="399"/>
    </row>
    <row r="5" spans="2:12" ht="15.45" outlineLevel="1" thickBot="1">
      <c r="B5" s="1" t="s">
        <v>1338</v>
      </c>
      <c r="C5" s="34" t="str">
        <f>정산표!D116</f>
        <v>식음료매출</v>
      </c>
      <c r="D5" s="34"/>
      <c r="E5" s="15">
        <f>VLOOKUP($B5,정산표!$B$113:$M$201,7,0)</f>
        <v>35207020</v>
      </c>
      <c r="F5" s="2">
        <f>VLOOKUP($B5,정산표!$B$113:$M$201,12,0)</f>
        <v>44028845</v>
      </c>
      <c r="H5" s="399"/>
    </row>
    <row r="6" spans="2:12" ht="15.45" thickBot="1">
      <c r="C6" s="398" t="s">
        <v>88</v>
      </c>
      <c r="D6" s="398"/>
      <c r="E6" s="398">
        <f>E7+E14+E21</f>
        <v>3596633522</v>
      </c>
      <c r="F6" s="43">
        <f>F7+F14+F21</f>
        <v>3527195264</v>
      </c>
      <c r="H6" s="399"/>
    </row>
    <row r="7" spans="2:12" outlineLevel="1">
      <c r="B7" s="1" t="s">
        <v>868</v>
      </c>
      <c r="C7" s="400" t="s">
        <v>93</v>
      </c>
      <c r="D7" s="400"/>
      <c r="E7" s="401">
        <f>E10+E11+E12-E13</f>
        <v>3389356072</v>
      </c>
      <c r="F7" s="44">
        <f>F10+F11+F12-F13</f>
        <v>3467738461</v>
      </c>
      <c r="H7" s="399"/>
    </row>
    <row r="8" spans="2:12" outlineLevel="1">
      <c r="B8" s="1" t="s">
        <v>1319</v>
      </c>
      <c r="C8" s="17" t="s">
        <v>102</v>
      </c>
      <c r="D8" s="17"/>
      <c r="E8" s="655">
        <f>BS!F17</f>
        <v>2349819825</v>
      </c>
      <c r="F8" s="2">
        <f>VLOOKUP($B8,정산표!$B$113:$M$201,12,0)</f>
        <v>2459042471</v>
      </c>
      <c r="H8" s="399"/>
    </row>
    <row r="9" spans="2:12" ht="16.399999999999999" customHeight="1" outlineLevel="1">
      <c r="B9" s="1" t="s">
        <v>1321</v>
      </c>
      <c r="C9" s="17" t="s">
        <v>103</v>
      </c>
      <c r="D9" s="17"/>
      <c r="E9" s="15">
        <f>VLOOKUP($B9,정산표!$B$113:$M$201,7,0)</f>
        <v>3476800819</v>
      </c>
      <c r="F9" s="2">
        <f>VLOOKUP($B9,정산표!$B$113:$M$201,12,0)</f>
        <v>3344382182</v>
      </c>
      <c r="H9" s="399"/>
      <c r="L9" s="2">
        <f>PL!E27+PL!E28</f>
        <v>1302634521</v>
      </c>
    </row>
    <row r="10" spans="2:12" ht="16.399999999999999" customHeight="1" outlineLevel="1">
      <c r="C10" s="17" t="s">
        <v>94</v>
      </c>
      <c r="D10" s="17"/>
      <c r="E10" s="15">
        <f>SUM(E8:E9)</f>
        <v>5826620644</v>
      </c>
      <c r="F10" s="2">
        <f>SUM(F8:F9)</f>
        <v>5803424653</v>
      </c>
      <c r="H10" s="399"/>
    </row>
    <row r="11" spans="2:12" ht="16.399999999999999" customHeight="1" outlineLevel="1">
      <c r="B11" s="1" t="s">
        <v>1323</v>
      </c>
      <c r="C11" s="17" t="s">
        <v>1337</v>
      </c>
      <c r="D11" s="17"/>
      <c r="E11" s="15">
        <f>VLOOKUP($B11,정산표!$B$113:$M$201,7,0)</f>
        <v>-5296679</v>
      </c>
      <c r="F11" s="2">
        <f>VLOOKUP($B11,정산표!$B$113:$M$201,12,0)</f>
        <v>-6471662</v>
      </c>
      <c r="H11" s="399"/>
    </row>
    <row r="12" spans="2:12" ht="16.399999999999999" customHeight="1" outlineLevel="1">
      <c r="B12" s="1" t="s">
        <v>1325</v>
      </c>
      <c r="C12" s="17" t="s">
        <v>1159</v>
      </c>
      <c r="D12" s="17"/>
      <c r="E12" s="15">
        <f>VLOOKUP($B12,정산표!$B$113:$M$201,7,0)</f>
        <v>102749779</v>
      </c>
      <c r="F12" s="2">
        <f>VLOOKUP($B12,정산표!$B$113:$M$201,12,0)</f>
        <v>8624839</v>
      </c>
      <c r="H12" s="399"/>
    </row>
    <row r="13" spans="2:12" ht="16.399999999999999" customHeight="1" outlineLevel="1">
      <c r="B13" s="1" t="s">
        <v>1340</v>
      </c>
      <c r="C13" s="17" t="s">
        <v>105</v>
      </c>
      <c r="D13" s="17"/>
      <c r="E13" s="655">
        <f>BS!E17</f>
        <v>2534717672</v>
      </c>
      <c r="F13" s="656">
        <f>VLOOKUP($B13,정산표!$B$113:$M$201,12,0)</f>
        <v>2337839369</v>
      </c>
      <c r="H13" s="399"/>
    </row>
    <row r="14" spans="2:12" outlineLevel="1">
      <c r="B14" s="1" t="s">
        <v>869</v>
      </c>
      <c r="C14" s="400" t="s">
        <v>106</v>
      </c>
      <c r="D14" s="400"/>
      <c r="E14" s="401">
        <f>E17+E18+E19-E20</f>
        <v>197040606</v>
      </c>
      <c r="F14" s="671">
        <f>F17+F18+F19-F20</f>
        <v>45654258</v>
      </c>
      <c r="H14" s="399"/>
    </row>
    <row r="15" spans="2:12" outlineLevel="1">
      <c r="B15" s="1" t="s">
        <v>1320</v>
      </c>
      <c r="C15" s="17" t="s">
        <v>72</v>
      </c>
      <c r="D15" s="17"/>
      <c r="E15" s="655">
        <f>BS!F15</f>
        <v>42227029</v>
      </c>
      <c r="F15" s="2">
        <f>VLOOKUP($B15,정산표!$B$113:$M$201,12,0)</f>
        <v>32112993</v>
      </c>
      <c r="H15" s="399"/>
    </row>
    <row r="16" spans="2:12" outlineLevel="1">
      <c r="B16" s="1" t="s">
        <v>1327</v>
      </c>
      <c r="C16" s="17" t="s">
        <v>1162</v>
      </c>
      <c r="D16" s="17"/>
      <c r="E16" s="15">
        <f>VLOOKUP($B16,정산표!$B$113:$M$201,7,0)</f>
        <v>202680409</v>
      </c>
      <c r="F16" s="2">
        <f>VLOOKUP($B16,정산표!$B$113:$M$201,12,0)</f>
        <v>87517683</v>
      </c>
      <c r="H16" s="399"/>
    </row>
    <row r="17" spans="2:8" outlineLevel="1">
      <c r="C17" s="17" t="s">
        <v>268</v>
      </c>
      <c r="D17" s="17"/>
      <c r="E17" s="15">
        <f>SUM(E15:E16)</f>
        <v>244907438</v>
      </c>
      <c r="F17" s="2">
        <f>SUM(F15:F16)</f>
        <v>119630676</v>
      </c>
      <c r="H17" s="399"/>
    </row>
    <row r="18" spans="2:8" outlineLevel="1">
      <c r="B18" s="1" t="s">
        <v>1329</v>
      </c>
      <c r="C18" s="17" t="s">
        <v>1163</v>
      </c>
      <c r="D18" s="17"/>
      <c r="E18" s="15">
        <f>VLOOKUP($B18,정산표!$B$113:$M$201,7,0)</f>
        <v>0</v>
      </c>
      <c r="F18" s="2">
        <f>VLOOKUP($B18,정산표!$B$113:$M$201,12,0)</f>
        <v>0</v>
      </c>
      <c r="H18" s="399"/>
    </row>
    <row r="19" spans="2:8" outlineLevel="1">
      <c r="B19" s="1" t="s">
        <v>1330</v>
      </c>
      <c r="C19" s="17" t="s">
        <v>1164</v>
      </c>
      <c r="D19" s="17"/>
      <c r="E19" s="15">
        <f>VLOOKUP($B19,정산표!$B$113:$M$201,7,0)</f>
        <v>-14089</v>
      </c>
      <c r="F19" s="2">
        <f>VLOOKUP($B19,정산표!$B$113:$M$201,12,0)</f>
        <v>0</v>
      </c>
      <c r="H19" s="399"/>
    </row>
    <row r="20" spans="2:8" outlineLevel="1">
      <c r="B20" s="1" t="s">
        <v>1342</v>
      </c>
      <c r="C20" s="17" t="s">
        <v>73</v>
      </c>
      <c r="D20" s="17"/>
      <c r="E20" s="655">
        <f>BS!E15</f>
        <v>47852743</v>
      </c>
      <c r="F20" s="656">
        <f>VLOOKUP($B20,정산표!$B$113:$M$201,12,0)</f>
        <v>73976418</v>
      </c>
      <c r="H20" s="399"/>
    </row>
    <row r="21" spans="2:8" outlineLevel="1">
      <c r="B21" s="1" t="s">
        <v>1318</v>
      </c>
      <c r="C21" s="400" t="s">
        <v>1161</v>
      </c>
      <c r="D21" s="400"/>
      <c r="E21" s="401">
        <f>E22+E23-E24</f>
        <v>10236844</v>
      </c>
      <c r="F21" s="44">
        <f>F22+F23-F24</f>
        <v>13802545</v>
      </c>
      <c r="H21" s="399"/>
    </row>
    <row r="22" spans="2:8" outlineLevel="1">
      <c r="B22" s="1" t="s">
        <v>1331</v>
      </c>
      <c r="C22" s="17" t="s">
        <v>72</v>
      </c>
      <c r="D22" s="17"/>
      <c r="E22" s="655">
        <v>0</v>
      </c>
      <c r="F22" s="2">
        <f>정산표!M133</f>
        <v>0</v>
      </c>
      <c r="H22" s="399"/>
    </row>
    <row r="23" spans="2:8" outlineLevel="1">
      <c r="B23" s="1" t="s">
        <v>1333</v>
      </c>
      <c r="C23" s="17" t="s">
        <v>1162</v>
      </c>
      <c r="D23" s="17"/>
      <c r="E23" s="15">
        <f>정산표!E134</f>
        <v>10236844</v>
      </c>
      <c r="F23" s="2">
        <f>정산표!M134</f>
        <v>13802545</v>
      </c>
      <c r="H23" s="399"/>
    </row>
    <row r="24" spans="2:8" ht="15.45" outlineLevel="1" thickBot="1">
      <c r="B24" s="1" t="s">
        <v>1335</v>
      </c>
      <c r="C24" s="17" t="s">
        <v>73</v>
      </c>
      <c r="D24" s="17"/>
      <c r="E24" s="655">
        <v>0</v>
      </c>
      <c r="F24" s="656">
        <f>정산표!M135</f>
        <v>0</v>
      </c>
      <c r="H24" s="399"/>
    </row>
    <row r="25" spans="2:8" ht="15.45" thickBot="1">
      <c r="C25" s="398" t="s">
        <v>89</v>
      </c>
      <c r="D25" s="398"/>
      <c r="E25" s="398">
        <f>E2-E6</f>
        <v>4691537165</v>
      </c>
      <c r="F25" s="398">
        <f>F2-F6</f>
        <v>5290231733</v>
      </c>
      <c r="H25" s="399"/>
    </row>
    <row r="26" spans="2:8" ht="15.45" thickBot="1">
      <c r="C26" s="398" t="s">
        <v>107</v>
      </c>
      <c r="D26" s="398"/>
      <c r="E26" s="398">
        <f>SUM(E27:E59)</f>
        <v>5378351282</v>
      </c>
      <c r="F26" s="398">
        <f>SUM(F27:F59)</f>
        <v>3878517000</v>
      </c>
      <c r="H26" s="399"/>
    </row>
    <row r="27" spans="2:8" outlineLevel="1">
      <c r="B27" s="1" t="s">
        <v>870</v>
      </c>
      <c r="C27" s="34" t="str">
        <f>정산표!D138</f>
        <v>급여</v>
      </c>
      <c r="D27" s="34"/>
      <c r="E27" s="15">
        <f>VLOOKUP($B27,정산표!$B$113:$M$201,7,0)</f>
        <v>1192275225</v>
      </c>
      <c r="F27" s="2">
        <f>VLOOKUP($B27,정산표!$B$113:$M$201,12,0)</f>
        <v>1310935710</v>
      </c>
    </row>
    <row r="28" spans="2:8" outlineLevel="1">
      <c r="B28" s="1" t="s">
        <v>871</v>
      </c>
      <c r="C28" s="34" t="str">
        <f>정산표!D139</f>
        <v>퇴직급여</v>
      </c>
      <c r="D28" s="34"/>
      <c r="E28" s="15">
        <f>VLOOKUP($B28,정산표!$B$113:$M$201,7,0)</f>
        <v>110359296</v>
      </c>
      <c r="F28" s="2">
        <f>VLOOKUP($B28,정산표!$B$113:$M$201,12,0)</f>
        <v>104651910</v>
      </c>
    </row>
    <row r="29" spans="2:8" outlineLevel="1">
      <c r="B29" s="1" t="s">
        <v>2043</v>
      </c>
      <c r="C29" s="34" t="s">
        <v>2042</v>
      </c>
      <c r="D29" s="34"/>
      <c r="E29" s="15">
        <f>VLOOKUP($B29,정산표!$B$113:$M$201,7,0)</f>
        <v>45930430</v>
      </c>
      <c r="F29" s="2">
        <f>VLOOKUP($B29,정산표!$B$113:$M$201,12,0)</f>
        <v>0</v>
      </c>
    </row>
    <row r="30" spans="2:8" outlineLevel="1">
      <c r="B30" s="1" t="s">
        <v>872</v>
      </c>
      <c r="C30" s="34" t="str">
        <f>정산표!D141</f>
        <v>주식보상비</v>
      </c>
      <c r="D30" s="34"/>
      <c r="E30" s="15">
        <f>VLOOKUP($B30,정산표!$B$113:$M$201,7,0)</f>
        <v>0</v>
      </c>
      <c r="F30" s="2">
        <f>VLOOKUP($B30,정산표!$B$113:$M$201,12,0)</f>
        <v>0</v>
      </c>
    </row>
    <row r="31" spans="2:8" outlineLevel="1">
      <c r="B31" s="1" t="s">
        <v>873</v>
      </c>
      <c r="C31" s="34" t="str">
        <f>정산표!D142</f>
        <v>복리후생비</v>
      </c>
      <c r="D31" s="34"/>
      <c r="E31" s="15">
        <f>VLOOKUP($B31,정산표!$B$113:$M$201,7,0)</f>
        <v>187719099</v>
      </c>
      <c r="F31" s="2">
        <f>VLOOKUP($B31,정산표!$B$113:$M$201,12,0)</f>
        <v>186599937</v>
      </c>
    </row>
    <row r="32" spans="2:8" outlineLevel="1">
      <c r="B32" s="1" t="s">
        <v>874</v>
      </c>
      <c r="C32" s="34" t="str">
        <f>정산표!D143</f>
        <v>여비교통비</v>
      </c>
      <c r="D32" s="34"/>
      <c r="E32" s="15">
        <f>VLOOKUP($B32,정산표!$B$113:$M$201,7,0)</f>
        <v>224812833</v>
      </c>
      <c r="F32" s="2">
        <f>VLOOKUP($B32,정산표!$B$113:$M$201,12,0)</f>
        <v>285932715</v>
      </c>
    </row>
    <row r="33" spans="2:8" outlineLevel="1">
      <c r="B33" s="1" t="s">
        <v>875</v>
      </c>
      <c r="C33" s="34" t="str">
        <f>정산표!D144</f>
        <v>접대비</v>
      </c>
      <c r="D33" s="34"/>
      <c r="E33" s="15">
        <f>VLOOKUP($B33,정산표!$B$113:$M$201,7,0)</f>
        <v>25692474</v>
      </c>
      <c r="F33" s="2">
        <f>VLOOKUP($B33,정산표!$B$113:$M$201,12,0)</f>
        <v>78340966</v>
      </c>
    </row>
    <row r="34" spans="2:8" outlineLevel="1">
      <c r="B34" s="1" t="s">
        <v>876</v>
      </c>
      <c r="C34" s="34" t="str">
        <f>정산표!D145</f>
        <v>통신비</v>
      </c>
      <c r="D34" s="34"/>
      <c r="E34" s="15">
        <f>VLOOKUP($B34,정산표!$B$113:$M$201,7,0)</f>
        <v>8042843</v>
      </c>
      <c r="F34" s="2">
        <f>VLOOKUP($B34,정산표!$B$113:$M$201,12,0)</f>
        <v>7473322</v>
      </c>
    </row>
    <row r="35" spans="2:8" outlineLevel="1">
      <c r="B35" s="1" t="s">
        <v>877</v>
      </c>
      <c r="C35" s="34" t="str">
        <f>정산표!D146</f>
        <v>수도광열비</v>
      </c>
      <c r="D35" s="34"/>
      <c r="E35" s="15">
        <f>VLOOKUP($B35,정산표!$B$113:$M$201,7,0)</f>
        <v>2933840</v>
      </c>
      <c r="F35" s="2">
        <f>VLOOKUP($B35,정산표!$B$113:$M$201,12,0)</f>
        <v>2671110</v>
      </c>
    </row>
    <row r="36" spans="2:8" outlineLevel="1">
      <c r="B36" s="654" t="s">
        <v>1344</v>
      </c>
      <c r="C36" s="34" t="s">
        <v>1165</v>
      </c>
      <c r="D36" s="34"/>
      <c r="E36" s="15">
        <f>VLOOKUP($B36,정산표!$B$113:$M$201,7,0)</f>
        <v>3879022</v>
      </c>
      <c r="F36" s="2">
        <f>VLOOKUP($B36,정산표!$B$113:$M$201,12,0)</f>
        <v>3182290</v>
      </c>
    </row>
    <row r="37" spans="2:8" outlineLevel="1">
      <c r="B37" s="1" t="s">
        <v>878</v>
      </c>
      <c r="C37" s="34" t="str">
        <f>정산표!D148</f>
        <v>세금과공과금</v>
      </c>
      <c r="D37" s="34"/>
      <c r="E37" s="15">
        <f>VLOOKUP($B37,정산표!$B$113:$M$201,7,0)</f>
        <v>8506220</v>
      </c>
      <c r="F37" s="2">
        <f>VLOOKUP($B37,정산표!$B$113:$M$201,12,0)</f>
        <v>9688630</v>
      </c>
    </row>
    <row r="38" spans="2:8" outlineLevel="1">
      <c r="B38" s="1" t="s">
        <v>879</v>
      </c>
      <c r="C38" s="34" t="str">
        <f>정산표!D149</f>
        <v>감가상각비</v>
      </c>
      <c r="D38" s="34"/>
      <c r="E38" s="15">
        <f>VLOOKUP($B38,정산표!$B$113:$M$201,7,0)</f>
        <v>119880341</v>
      </c>
      <c r="F38" s="2">
        <f>VLOOKUP($B38,정산표!$B$113:$M$201,12,0)</f>
        <v>84937975</v>
      </c>
    </row>
    <row r="39" spans="2:8" outlineLevel="1">
      <c r="B39" s="1" t="s">
        <v>880</v>
      </c>
      <c r="C39" s="34" t="str">
        <f>정산표!D150</f>
        <v>지급임차료</v>
      </c>
      <c r="D39" s="34"/>
      <c r="E39" s="15">
        <f>VLOOKUP($B39,정산표!$B$113:$M$201,7,0)</f>
        <v>508414</v>
      </c>
      <c r="F39" s="2">
        <f>VLOOKUP($B39,정산표!$B$113:$M$201,12,0)</f>
        <v>30334814</v>
      </c>
    </row>
    <row r="40" spans="2:8" outlineLevel="1">
      <c r="B40" s="1" t="s">
        <v>881</v>
      </c>
      <c r="C40" s="34" t="str">
        <f>정산표!D151</f>
        <v>수선비</v>
      </c>
      <c r="D40" s="34"/>
      <c r="E40" s="15">
        <f>VLOOKUP($B40,정산표!$B$113:$M$201,7,0)</f>
        <v>1111000</v>
      </c>
      <c r="F40" s="2">
        <f>VLOOKUP($B40,정산표!$B$113:$M$201,12,0)</f>
        <v>93300</v>
      </c>
    </row>
    <row r="41" spans="2:8" outlineLevel="1">
      <c r="B41" s="1" t="s">
        <v>882</v>
      </c>
      <c r="C41" s="34" t="str">
        <f>정산표!D152</f>
        <v>보험료</v>
      </c>
      <c r="D41" s="34"/>
      <c r="E41" s="15">
        <f>VLOOKUP($B41,정산표!$B$113:$M$201,7,0)</f>
        <v>3257116</v>
      </c>
      <c r="F41" s="2">
        <f>VLOOKUP($B41,정산표!$B$113:$M$201,12,0)</f>
        <v>3327218</v>
      </c>
    </row>
    <row r="42" spans="2:8" outlineLevel="1">
      <c r="B42" s="1" t="s">
        <v>883</v>
      </c>
      <c r="C42" s="34" t="str">
        <f>정산표!D153</f>
        <v>차량유지비</v>
      </c>
      <c r="D42" s="34"/>
      <c r="E42" s="15">
        <f>VLOOKUP($B42,정산표!$B$113:$M$201,7,0)</f>
        <v>720800</v>
      </c>
      <c r="F42" s="2">
        <f>VLOOKUP($B42,정산표!$B$113:$M$201,12,0)</f>
        <v>3415144</v>
      </c>
    </row>
    <row r="43" spans="2:8" outlineLevel="1">
      <c r="B43" s="1" t="s">
        <v>884</v>
      </c>
      <c r="C43" s="34" t="str">
        <f>정산표!D154</f>
        <v>경상연구개발비</v>
      </c>
      <c r="D43" s="34"/>
      <c r="E43" s="15">
        <f>VLOOKUP($B43,정산표!$B$113:$M$201,7,0)</f>
        <v>364625079</v>
      </c>
      <c r="F43" s="2">
        <f>VLOOKUP($B43,정산표!$B$113:$M$201,12,0)</f>
        <v>337688016</v>
      </c>
    </row>
    <row r="44" spans="2:8" outlineLevel="1">
      <c r="B44" s="1" t="s">
        <v>885</v>
      </c>
      <c r="C44" s="34" t="str">
        <f>정산표!D155</f>
        <v>운반비</v>
      </c>
      <c r="D44" s="34"/>
      <c r="E44" s="15">
        <f>VLOOKUP($B44,정산표!$B$113:$M$201,7,0)</f>
        <v>9018081</v>
      </c>
      <c r="F44" s="2">
        <f>VLOOKUP($B44,정산표!$B$113:$M$201,12,0)</f>
        <v>10980849</v>
      </c>
    </row>
    <row r="45" spans="2:8" outlineLevel="1">
      <c r="B45" s="1" t="s">
        <v>886</v>
      </c>
      <c r="C45" s="34" t="str">
        <f>정산표!D156</f>
        <v>교육훈련비</v>
      </c>
      <c r="D45" s="34"/>
      <c r="E45" s="15">
        <f>VLOOKUP($B45,정산표!$B$113:$M$201,7,0)</f>
        <v>1066181</v>
      </c>
      <c r="F45" s="2">
        <f>VLOOKUP($B45,정산표!$B$113:$M$201,12,0)</f>
        <v>6814000</v>
      </c>
    </row>
    <row r="46" spans="2:8" outlineLevel="1">
      <c r="B46" s="1" t="s">
        <v>887</v>
      </c>
      <c r="C46" s="34" t="str">
        <f>정산표!D157</f>
        <v>도서인쇄비</v>
      </c>
      <c r="D46" s="34"/>
      <c r="E46" s="15">
        <f>VLOOKUP($B46,정산표!$B$113:$M$201,7,0)</f>
        <v>4820923</v>
      </c>
      <c r="F46" s="2">
        <f>VLOOKUP($B46,정산표!$B$113:$M$201,12,0)</f>
        <v>1418240</v>
      </c>
    </row>
    <row r="47" spans="2:8" outlineLevel="1">
      <c r="B47" s="1" t="s">
        <v>888</v>
      </c>
      <c r="C47" s="34" t="str">
        <f>정산표!D158</f>
        <v>포장비</v>
      </c>
      <c r="D47" s="34"/>
      <c r="E47" s="15">
        <f>VLOOKUP($B47,정산표!$B$113:$M$201,7,0)</f>
        <v>0</v>
      </c>
      <c r="F47" s="2">
        <f>VLOOKUP($B47,정산표!$B$113:$M$201,12,0)</f>
        <v>0</v>
      </c>
    </row>
    <row r="48" spans="2:8" outlineLevel="1">
      <c r="B48" s="1" t="s">
        <v>889</v>
      </c>
      <c r="C48" s="34" t="str">
        <f>정산표!D159</f>
        <v>사무용품비</v>
      </c>
      <c r="D48" s="34"/>
      <c r="E48" s="15">
        <f>VLOOKUP($B48,정산표!$B$113:$M$201,7,0)</f>
        <v>236327</v>
      </c>
      <c r="F48" s="2">
        <f>VLOOKUP($B48,정산표!$B$113:$M$201,12,0)</f>
        <v>2317493</v>
      </c>
      <c r="H48" s="11"/>
    </row>
    <row r="49" spans="2:8" outlineLevel="1">
      <c r="B49" s="1" t="s">
        <v>890</v>
      </c>
      <c r="C49" s="34" t="str">
        <f>정산표!D160</f>
        <v>소모품비</v>
      </c>
      <c r="D49" s="34"/>
      <c r="E49" s="15">
        <f>VLOOKUP($B49,정산표!$B$113:$M$201,7,0)</f>
        <v>19873909</v>
      </c>
      <c r="F49" s="2">
        <f>VLOOKUP($B49,정산표!$B$113:$M$201,12,0)</f>
        <v>17725736</v>
      </c>
    </row>
    <row r="50" spans="2:8" outlineLevel="1">
      <c r="B50" s="1" t="s">
        <v>891</v>
      </c>
      <c r="C50" s="34" t="str">
        <f>정산표!D161</f>
        <v>지급수수료</v>
      </c>
      <c r="D50" s="34"/>
      <c r="E50" s="15">
        <f>VLOOKUP($B50,정산표!$B$113:$M$201,7,0)</f>
        <v>1082143476</v>
      </c>
      <c r="F50" s="2">
        <f>VLOOKUP($B50,정산표!$B$113:$M$201,12,0)</f>
        <v>368147473</v>
      </c>
    </row>
    <row r="51" spans="2:8" outlineLevel="1">
      <c r="B51" s="1" t="s">
        <v>969</v>
      </c>
      <c r="C51" s="34" t="str">
        <f>정산표!D162</f>
        <v>보관료</v>
      </c>
      <c r="D51" s="34"/>
      <c r="E51" s="15">
        <f>VLOOKUP($B51,정산표!$B$113:$M$201,7,0)</f>
        <v>0</v>
      </c>
      <c r="F51" s="2">
        <f>VLOOKUP($B51,정산표!$B$113:$M$201,12,0)</f>
        <v>0</v>
      </c>
    </row>
    <row r="52" spans="2:8" outlineLevel="1">
      <c r="B52" s="1" t="s">
        <v>892</v>
      </c>
      <c r="C52" s="34" t="str">
        <f>정산표!D163</f>
        <v>광고선전비</v>
      </c>
      <c r="D52" s="34"/>
      <c r="E52" s="15">
        <f>VLOOKUP($B52,정산표!$B$113:$M$201,7,0)</f>
        <v>1875294553</v>
      </c>
      <c r="F52" s="2">
        <f>VLOOKUP($B52,정산표!$B$113:$M$201,12,0)</f>
        <v>782157909</v>
      </c>
    </row>
    <row r="53" spans="2:8" s="402" customFormat="1" outlineLevel="1">
      <c r="B53" s="1" t="s">
        <v>893</v>
      </c>
      <c r="C53" s="34" t="str">
        <f>정산표!D164</f>
        <v>대손상각비</v>
      </c>
      <c r="D53" s="34"/>
      <c r="E53" s="15">
        <f>VLOOKUP($B53,정산표!$B$113:$M$201,7,0)</f>
        <v>-82887417</v>
      </c>
      <c r="F53" s="2">
        <f>VLOOKUP($B53,정산표!$B$113:$M$201,12,0)</f>
        <v>56611534</v>
      </c>
    </row>
    <row r="54" spans="2:8" s="402" customFormat="1" outlineLevel="1">
      <c r="B54" s="1" t="s">
        <v>894</v>
      </c>
      <c r="C54" s="34" t="str">
        <f>정산표!D165</f>
        <v>건물관리비</v>
      </c>
      <c r="D54" s="34"/>
      <c r="E54" s="15">
        <f>VLOOKUP($B54,정산표!$B$113:$M$201,7,0)</f>
        <v>16390898</v>
      </c>
      <c r="F54" s="2">
        <f>VLOOKUP($B54,정산표!$B$113:$M$201,12,0)</f>
        <v>19801261</v>
      </c>
    </row>
    <row r="55" spans="2:8" s="402" customFormat="1" outlineLevel="1">
      <c r="B55" s="1" t="s">
        <v>895</v>
      </c>
      <c r="C55" s="34" t="str">
        <f>정산표!D166</f>
        <v>수출제비용</v>
      </c>
      <c r="D55" s="34"/>
      <c r="E55" s="15">
        <f>VLOOKUP($B55,정산표!$B$113:$M$201,7,0)</f>
        <v>33162410</v>
      </c>
      <c r="F55" s="2">
        <f>VLOOKUP($B55,정산표!$B$113:$M$201,12,0)</f>
        <v>33196857</v>
      </c>
    </row>
    <row r="56" spans="2:8" s="402" customFormat="1" outlineLevel="1">
      <c r="B56" s="1" t="s">
        <v>896</v>
      </c>
      <c r="C56" s="34" t="str">
        <f>정산표!D167</f>
        <v>판매수수료</v>
      </c>
      <c r="D56" s="34"/>
      <c r="E56" s="15">
        <f>VLOOKUP($B56,정산표!$B$113:$M$201,7,0)</f>
        <v>96068802</v>
      </c>
      <c r="F56" s="2">
        <f>VLOOKUP($B56,정산표!$B$113:$M$201,12,0)</f>
        <v>109893893</v>
      </c>
    </row>
    <row r="57" spans="2:8" s="402" customFormat="1" outlineLevel="1">
      <c r="B57" s="1" t="s">
        <v>897</v>
      </c>
      <c r="C57" s="34" t="str">
        <f>정산표!D168</f>
        <v>무형고정자산상각</v>
      </c>
      <c r="D57" s="34"/>
      <c r="E57" s="15">
        <f>VLOOKUP($B57,정산표!$B$113:$M$201,7,0)</f>
        <v>21529107</v>
      </c>
      <c r="F57" s="2">
        <f>VLOOKUP($B57,정산표!$B$113:$M$201,12,0)</f>
        <v>18799999</v>
      </c>
    </row>
    <row r="58" spans="2:8" s="402" customFormat="1" outlineLevel="1">
      <c r="B58" s="1" t="s">
        <v>948</v>
      </c>
      <c r="C58" s="34" t="str">
        <f>정산표!D169</f>
        <v>리스비</v>
      </c>
      <c r="D58" s="34"/>
      <c r="E58" s="15">
        <f>VLOOKUP($B58,정산표!$B$113:$M$201,7,0)</f>
        <v>0</v>
      </c>
      <c r="F58" s="2">
        <f>VLOOKUP($B58,정산표!$B$113:$M$201,12,0)</f>
        <v>0</v>
      </c>
    </row>
    <row r="59" spans="2:8" s="402" customFormat="1" ht="15.45" outlineLevel="1" thickBot="1">
      <c r="B59" s="1" t="s">
        <v>898</v>
      </c>
      <c r="C59" s="34" t="str">
        <f>정산표!D170</f>
        <v>인력개발비</v>
      </c>
      <c r="D59" s="34"/>
      <c r="E59" s="15">
        <f>VLOOKUP($B59,정산표!$B$113:$M$201,7,0)</f>
        <v>1380000</v>
      </c>
      <c r="F59" s="2">
        <f>VLOOKUP($B59,정산표!$B$113:$M$201,12,0)</f>
        <v>1378699</v>
      </c>
    </row>
    <row r="60" spans="2:8" ht="15.45" thickBot="1">
      <c r="C60" s="398" t="s">
        <v>90</v>
      </c>
      <c r="D60" s="398"/>
      <c r="E60" s="398">
        <f>E25-E26</f>
        <v>-686814117</v>
      </c>
      <c r="F60" s="398">
        <f>F25-F26</f>
        <v>1411714733</v>
      </c>
      <c r="H60" s="399"/>
    </row>
    <row r="61" spans="2:8" ht="15.45" thickBot="1">
      <c r="C61" s="398" t="s">
        <v>111</v>
      </c>
      <c r="D61" s="398"/>
      <c r="E61" s="398">
        <f>SUM(E62:E66)</f>
        <v>4395999</v>
      </c>
      <c r="F61" s="398">
        <f>SUM(F62:F66)</f>
        <v>7957022</v>
      </c>
      <c r="H61" s="399"/>
    </row>
    <row r="62" spans="2:8" outlineLevel="1">
      <c r="B62" s="1" t="s">
        <v>1729</v>
      </c>
      <c r="C62" s="34" t="str">
        <f>정산표!D173</f>
        <v>기타의대손상각비환입</v>
      </c>
      <c r="D62" s="34"/>
      <c r="E62" s="15">
        <f>VLOOKUP($B62,정산표!$B$113:$M$201,7,0)</f>
        <v>3000000</v>
      </c>
      <c r="F62" s="2">
        <f>VLOOKUP($B62,정산표!$B$113:$M$201,12,0)</f>
        <v>3000000</v>
      </c>
    </row>
    <row r="63" spans="2:8" outlineLevel="1">
      <c r="C63" s="34" t="str">
        <f>정산표!D174</f>
        <v>외화환산손실(기타)</v>
      </c>
      <c r="D63" s="34"/>
      <c r="E63" s="15"/>
      <c r="F63" s="2"/>
    </row>
    <row r="64" spans="2:8" outlineLevel="1">
      <c r="B64" s="1" t="s">
        <v>1730</v>
      </c>
      <c r="C64" s="34" t="str">
        <f>정산표!D175</f>
        <v>유형자산처분이익</v>
      </c>
      <c r="D64" s="34"/>
      <c r="E64" s="15">
        <f>VLOOKUP($B64,정산표!$B$113:$M$201,7,0)</f>
        <v>1202135</v>
      </c>
      <c r="F64" s="2">
        <f>VLOOKUP($B64,정산표!$B$113:$M$201,12,0)</f>
        <v>1054000</v>
      </c>
    </row>
    <row r="65" spans="2:11" outlineLevel="1">
      <c r="C65" s="34" t="str">
        <f>정산표!D176</f>
        <v>종속기업투자주식손상차손환입</v>
      </c>
      <c r="D65" s="34"/>
      <c r="E65" s="15"/>
      <c r="F65" s="2"/>
    </row>
    <row r="66" spans="2:11" ht="15.45" outlineLevel="1" thickBot="1">
      <c r="B66" s="1" t="s">
        <v>899</v>
      </c>
      <c r="C66" s="34" t="str">
        <f>정산표!D177</f>
        <v>잡이익</v>
      </c>
      <c r="D66" s="34"/>
      <c r="E66" s="15">
        <f>VLOOKUP($B66,정산표!$B$113:$M$201,7,0)</f>
        <v>193864</v>
      </c>
      <c r="F66" s="2">
        <f>VLOOKUP($B66,정산표!$B$113:$M$201,12,0)</f>
        <v>3903022</v>
      </c>
    </row>
    <row r="67" spans="2:11" ht="15.45" thickBot="1">
      <c r="C67" s="398" t="s">
        <v>114</v>
      </c>
      <c r="D67" s="398"/>
      <c r="E67" s="398">
        <f>SUM(E68:E74)</f>
        <v>4825612</v>
      </c>
      <c r="F67" s="398">
        <f>SUM(F68:F74)</f>
        <v>3158006</v>
      </c>
      <c r="H67" s="399"/>
    </row>
    <row r="68" spans="2:11" outlineLevel="1">
      <c r="B68" s="1" t="s">
        <v>1656</v>
      </c>
      <c r="C68" s="34" t="str">
        <f>정산표!D179</f>
        <v>기타의대손상각비</v>
      </c>
      <c r="D68" s="34"/>
      <c r="E68" s="15">
        <f>VLOOKUP($B68,정산표!$B$113:$M$201,7,0)</f>
        <v>0</v>
      </c>
      <c r="F68" s="2">
        <f>VLOOKUP($B68,정산표!$B$113:$M$201,12,0)</f>
        <v>0</v>
      </c>
      <c r="G68" s="1" t="s">
        <v>1658</v>
      </c>
    </row>
    <row r="69" spans="2:11" outlineLevel="1">
      <c r="B69" s="1" t="s">
        <v>900</v>
      </c>
      <c r="C69" s="34" t="s">
        <v>706</v>
      </c>
      <c r="D69" s="34"/>
      <c r="E69" s="15">
        <f>VLOOKUP($B69,정산표!$B$113:$M$201,7,0)</f>
        <v>0</v>
      </c>
      <c r="F69" s="2">
        <f>VLOOKUP($B69,정산표!$B$113:$M$201,12,0)</f>
        <v>0</v>
      </c>
    </row>
    <row r="70" spans="2:11" outlineLevel="1">
      <c r="B70" s="1" t="s">
        <v>1438</v>
      </c>
      <c r="C70" s="34" t="str">
        <f>정산표!D181</f>
        <v>관계기업투자주식처분손실</v>
      </c>
      <c r="D70" s="34"/>
      <c r="E70" s="15">
        <f>VLOOKUP($B70,정산표!$B$113:$M$201,7,0)</f>
        <v>0</v>
      </c>
      <c r="F70" s="2">
        <f>VLOOKUP($B70,정산표!$B$113:$M$201,12,0)</f>
        <v>0</v>
      </c>
    </row>
    <row r="71" spans="2:11" outlineLevel="1">
      <c r="B71" s="1" t="s">
        <v>961</v>
      </c>
      <c r="C71" s="34" t="s">
        <v>660</v>
      </c>
      <c r="D71" s="34"/>
      <c r="E71" s="15">
        <f>VLOOKUP($B71,정산표!$B$113:$M$201,7,0)</f>
        <v>4825402</v>
      </c>
      <c r="F71" s="2">
        <f>VLOOKUP($B71,정산표!$B$113:$M$201,12,0)</f>
        <v>3098042</v>
      </c>
    </row>
    <row r="72" spans="2:11" outlineLevel="1">
      <c r="B72" s="1" t="s">
        <v>901</v>
      </c>
      <c r="C72" s="34" t="str">
        <f>정산표!D183</f>
        <v>종속기업투자손상차손</v>
      </c>
      <c r="D72" s="34"/>
      <c r="E72" s="15">
        <f>VLOOKUP($B72,정산표!$B$113:$M$201,7,0)</f>
        <v>0</v>
      </c>
      <c r="F72" s="2">
        <f>VLOOKUP($B72,정산표!$B$113:$M$201,12,0)</f>
        <v>0</v>
      </c>
    </row>
    <row r="73" spans="2:11" outlineLevel="1">
      <c r="B73" s="1" t="s">
        <v>1349</v>
      </c>
      <c r="C73" s="34" t="s">
        <v>1348</v>
      </c>
      <c r="D73" s="34"/>
      <c r="E73" s="15">
        <f>VLOOKUP($B73,정산표!$B$113:$M$201,7,0)</f>
        <v>0</v>
      </c>
      <c r="F73" s="2">
        <f>VLOOKUP($B73,정산표!$B$113:$M$201,12,0)</f>
        <v>0</v>
      </c>
      <c r="G73" s="1" t="s">
        <v>1354</v>
      </c>
    </row>
    <row r="74" spans="2:11" ht="15.45" outlineLevel="1" thickBot="1">
      <c r="B74" s="1" t="s">
        <v>902</v>
      </c>
      <c r="C74" s="34" t="str">
        <f>정산표!D185</f>
        <v>잡손실</v>
      </c>
      <c r="D74" s="34"/>
      <c r="E74" s="15">
        <f>VLOOKUP($B74,정산표!$B$113:$M$201,7,0)</f>
        <v>210</v>
      </c>
      <c r="F74" s="2">
        <f>VLOOKUP($B74,정산표!$B$113:$M$201,12,0)</f>
        <v>59964</v>
      </c>
    </row>
    <row r="75" spans="2:11" ht="15.45" thickBot="1">
      <c r="C75" s="398" t="s">
        <v>117</v>
      </c>
      <c r="D75" s="398"/>
      <c r="E75" s="398">
        <f>SUM(E76:E78)</f>
        <v>169543833</v>
      </c>
      <c r="F75" s="398">
        <f>SUM(F76:F78)</f>
        <v>48493067</v>
      </c>
      <c r="H75" s="399"/>
    </row>
    <row r="76" spans="2:11" outlineLevel="1">
      <c r="B76" s="1" t="s">
        <v>903</v>
      </c>
      <c r="C76" s="34" t="str">
        <f>정산표!D187</f>
        <v>이자수익</v>
      </c>
      <c r="D76" s="34"/>
      <c r="E76" s="15">
        <f>VLOOKUP($B76,정산표!$B$113:$M$201,7,0)</f>
        <v>22098561</v>
      </c>
      <c r="F76" s="2">
        <f>VLOOKUP($B76,정산표!$B$113:$M$201,12,0)</f>
        <v>28008260</v>
      </c>
    </row>
    <row r="77" spans="2:11" outlineLevel="1">
      <c r="B77" s="1" t="s">
        <v>904</v>
      </c>
      <c r="C77" s="34" t="str">
        <f>정산표!D188</f>
        <v>외환차익</v>
      </c>
      <c r="D77" s="34"/>
      <c r="E77" s="15">
        <f>VLOOKUP($B77,정산표!$B$113:$M$201,7,0)</f>
        <v>109841433</v>
      </c>
      <c r="F77" s="2">
        <f>VLOOKUP($B77,정산표!$B$113:$M$201,12,0)</f>
        <v>20481765</v>
      </c>
    </row>
    <row r="78" spans="2:11" ht="15.45" outlineLevel="1" thickBot="1">
      <c r="B78" s="1" t="s">
        <v>905</v>
      </c>
      <c r="C78" s="34" t="str">
        <f>정산표!D189</f>
        <v>외화환산이익</v>
      </c>
      <c r="D78" s="34"/>
      <c r="E78" s="15">
        <f>VLOOKUP($B78,정산표!$B$113:$M$201,7,0)</f>
        <v>37603839</v>
      </c>
      <c r="F78" s="2">
        <f>VLOOKUP($B78,정산표!$B$113:$M$201,12,0)</f>
        <v>3042</v>
      </c>
      <c r="K78" s="11">
        <v>4812566</v>
      </c>
    </row>
    <row r="79" spans="2:11" ht="15.45" thickBot="1">
      <c r="C79" s="398" t="s">
        <v>118</v>
      </c>
      <c r="D79" s="398"/>
      <c r="E79" s="398">
        <f>SUM(E80:E83)</f>
        <v>271149913</v>
      </c>
      <c r="F79" s="398">
        <f>SUM(F80:F83)</f>
        <v>141374675</v>
      </c>
      <c r="H79" s="399"/>
      <c r="K79" s="1">
        <v>17642036</v>
      </c>
    </row>
    <row r="80" spans="2:11" outlineLevel="1">
      <c r="B80" s="1" t="s">
        <v>906</v>
      </c>
      <c r="C80" s="34" t="str">
        <f>정산표!D191</f>
        <v>이자비용</v>
      </c>
      <c r="D80" s="34"/>
      <c r="E80" s="15">
        <f>VLOOKUP($B80,정산표!$B$113:$M$201,7,0)</f>
        <v>98954951</v>
      </c>
      <c r="F80" s="2">
        <f>VLOOKUP($B80,정산표!$B$113:$M$201,12,0)</f>
        <v>43244353</v>
      </c>
      <c r="K80" s="33">
        <f>SUM(K78:K79)</f>
        <v>22454602</v>
      </c>
    </row>
    <row r="81" spans="2:11" outlineLevel="1">
      <c r="B81" s="1" t="s">
        <v>1986</v>
      </c>
      <c r="C81" s="34" t="s">
        <v>1985</v>
      </c>
      <c r="D81" s="34"/>
      <c r="E81" s="15">
        <f>VLOOKUP($B81,정산표!$B$113:$M$201,7,0)</f>
        <v>0</v>
      </c>
      <c r="F81" s="2">
        <f>VLOOKUP($B81,정산표!$B$113:$M$201,12,0)</f>
        <v>0</v>
      </c>
      <c r="K81" s="33"/>
    </row>
    <row r="82" spans="2:11" outlineLevel="1">
      <c r="B82" s="1" t="s">
        <v>907</v>
      </c>
      <c r="C82" s="34" t="str">
        <f>정산표!D193</f>
        <v>외환차손</v>
      </c>
      <c r="D82" s="34"/>
      <c r="E82" s="15">
        <f>VLOOKUP($B82,정산표!$B$113:$M$201,7,0)</f>
        <v>172194962</v>
      </c>
      <c r="F82" s="2">
        <f>VLOOKUP($B82,정산표!$B$113:$M$201,12,0)</f>
        <v>40925617</v>
      </c>
    </row>
    <row r="83" spans="2:11" ht="15.45" outlineLevel="1" thickBot="1">
      <c r="B83" s="1" t="s">
        <v>908</v>
      </c>
      <c r="C83" s="34" t="str">
        <f>정산표!D194</f>
        <v>외화환산손실</v>
      </c>
      <c r="D83" s="34"/>
      <c r="E83" s="15">
        <f>VLOOKUP($B83,정산표!$B$113:$M$201,7,0)</f>
        <v>0</v>
      </c>
      <c r="F83" s="2">
        <f>VLOOKUP($B83,정산표!$B$113:$M$201,12,0)</f>
        <v>57204705</v>
      </c>
    </row>
    <row r="84" spans="2:11" ht="15.45" thickBot="1">
      <c r="C84" s="398" t="s">
        <v>91</v>
      </c>
      <c r="D84" s="398"/>
      <c r="E84" s="398">
        <f>E60+E61-E67+E75-E79</f>
        <v>-788849810</v>
      </c>
      <c r="F84" s="398">
        <f>F60+F61-F67+F75-F79</f>
        <v>1323632141</v>
      </c>
      <c r="H84" s="399"/>
    </row>
    <row r="85" spans="2:11" ht="15.45" thickBot="1">
      <c r="B85" s="1" t="s">
        <v>909</v>
      </c>
      <c r="C85" s="15" t="s">
        <v>27</v>
      </c>
      <c r="D85" s="15"/>
      <c r="E85" s="15">
        <f>VLOOKUP($B85,정산표!$B$113:$M$201,7,0)</f>
        <v>0</v>
      </c>
      <c r="F85" s="2">
        <f>VLOOKUP($B85,정산표!$B$113:$M$201,12,0)</f>
        <v>0</v>
      </c>
      <c r="H85" s="399">
        <f>F85-E85</f>
        <v>0</v>
      </c>
    </row>
    <row r="86" spans="2:11" ht="15.45" thickBot="1">
      <c r="C86" s="398" t="s">
        <v>30</v>
      </c>
      <c r="D86" s="398"/>
      <c r="E86" s="398">
        <f>E84-E85</f>
        <v>-788849810</v>
      </c>
      <c r="F86" s="398">
        <f>F84-F85</f>
        <v>1323632141</v>
      </c>
      <c r="H86" s="399"/>
    </row>
    <row r="87" spans="2:11" outlineLevel="1">
      <c r="C87" s="15" t="s">
        <v>119</v>
      </c>
      <c r="D87" s="15"/>
      <c r="E87" s="15"/>
      <c r="F87" s="2"/>
    </row>
    <row r="88" spans="2:11" ht="15.45" outlineLevel="1" thickBot="1">
      <c r="C88" s="15" t="s">
        <v>120</v>
      </c>
      <c r="D88" s="15"/>
      <c r="E88" s="15"/>
      <c r="F88" s="2"/>
    </row>
    <row r="89" spans="2:11" ht="15.45" thickBot="1">
      <c r="C89" s="398" t="s">
        <v>29</v>
      </c>
      <c r="D89" s="398"/>
      <c r="E89" s="398">
        <f>E90</f>
        <v>0</v>
      </c>
      <c r="F89" s="398">
        <f>F90</f>
        <v>0</v>
      </c>
      <c r="H89" s="399"/>
    </row>
    <row r="90" spans="2:11">
      <c r="C90" s="401" t="s">
        <v>164</v>
      </c>
      <c r="D90" s="401"/>
      <c r="E90" s="401">
        <f>SUM(E91:E91)</f>
        <v>0</v>
      </c>
      <c r="F90" s="401">
        <f>SUM(F91:F91)</f>
        <v>0</v>
      </c>
      <c r="H90" s="399"/>
    </row>
    <row r="91" spans="2:11" ht="15.45" outlineLevel="1" thickBot="1">
      <c r="B91" s="1" t="s">
        <v>860</v>
      </c>
      <c r="C91" s="15" t="s">
        <v>549</v>
      </c>
      <c r="D91" s="15"/>
      <c r="E91" s="15">
        <f>VLOOKUP($B91,정산표!$B$113:$M$201,7,0)</f>
        <v>0</v>
      </c>
      <c r="F91" s="2">
        <f>VLOOKUP($B91,정산표!$B$113:$M$201,12,0)</f>
        <v>0</v>
      </c>
      <c r="H91" s="2"/>
    </row>
    <row r="92" spans="2:11" ht="15.45" thickBot="1">
      <c r="C92" s="398" t="s">
        <v>92</v>
      </c>
      <c r="D92" s="398"/>
      <c r="E92" s="398">
        <f>E86+E89</f>
        <v>-788849810</v>
      </c>
      <c r="F92" s="398">
        <f>F86+F89</f>
        <v>1323632141</v>
      </c>
      <c r="H92" s="399">
        <v>548233750</v>
      </c>
      <c r="I92" s="399"/>
    </row>
    <row r="93" spans="2:11" outlineLevel="1">
      <c r="C93" s="2" t="s">
        <v>119</v>
      </c>
      <c r="D93" s="2"/>
      <c r="E93" s="2"/>
      <c r="F93" s="2"/>
    </row>
    <row r="94" spans="2:11" ht="15.45" outlineLevel="1" thickBot="1">
      <c r="C94" s="7" t="s">
        <v>120</v>
      </c>
      <c r="D94" s="7"/>
      <c r="E94" s="7"/>
      <c r="F94" s="7"/>
    </row>
    <row r="95" spans="2:11" ht="15.45" thickBot="1">
      <c r="C95" s="398" t="s">
        <v>158</v>
      </c>
      <c r="D95" s="398"/>
      <c r="E95" s="398"/>
      <c r="F95" s="43"/>
    </row>
    <row r="96" spans="2:11">
      <c r="C96" s="2" t="s">
        <v>159</v>
      </c>
      <c r="D96" s="2"/>
      <c r="E96" s="2">
        <f>'33'!F12</f>
        <v>-69</v>
      </c>
      <c r="F96" s="2">
        <f>'33'!H12</f>
        <v>211</v>
      </c>
    </row>
    <row r="97" spans="3:6" ht="15.45" thickBot="1">
      <c r="C97" s="7" t="s">
        <v>160</v>
      </c>
      <c r="D97" s="7"/>
      <c r="E97" s="425">
        <f>E96</f>
        <v>-69</v>
      </c>
      <c r="F97" s="425">
        <f>F96</f>
        <v>211</v>
      </c>
    </row>
    <row r="100" spans="3:6">
      <c r="E100" s="2" t="b">
        <f>E92=정산표!H201</f>
        <v>1</v>
      </c>
      <c r="F100" s="2" t="b">
        <f>F92=정산표!M201</f>
        <v>1</v>
      </c>
    </row>
    <row r="101" spans="3:6">
      <c r="E101" s="2" t="b">
        <f>E92=정산표!H201</f>
        <v>1</v>
      </c>
    </row>
    <row r="102" spans="3:6">
      <c r="D102" s="403"/>
      <c r="E102" s="2"/>
      <c r="F102" s="424"/>
    </row>
    <row r="103" spans="3:6">
      <c r="E103" s="393"/>
      <c r="F103" s="424"/>
    </row>
    <row r="104" spans="3:6">
      <c r="E104" s="33"/>
      <c r="F104" s="33"/>
    </row>
    <row r="105" spans="3:6">
      <c r="E105" s="404"/>
    </row>
    <row r="106" spans="3:6">
      <c r="E106" s="33"/>
      <c r="F106" s="33"/>
    </row>
    <row r="107" spans="3:6">
      <c r="E107" s="33"/>
    </row>
    <row r="109" spans="3:6">
      <c r="E109" s="2"/>
    </row>
    <row r="112" spans="3:6">
      <c r="C112" s="11"/>
    </row>
    <row r="113" spans="3:4">
      <c r="C113" s="11"/>
    </row>
    <row r="114" spans="3:4">
      <c r="D114" s="405"/>
    </row>
  </sheetData>
  <phoneticPr fontId="6"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205005F5-A7FA-4D6A-A9D2-B945A8D52175}">
            <xm:f>NOT(ISERROR(SEARCH("FALSe",A1)))</xm:f>
            <xm:f>"FALSe"</xm:f>
            <x14:dxf>
              <fill>
                <patternFill>
                  <bgColor rgb="FFFF0000"/>
                </patternFill>
              </fill>
            </x14:dxf>
          </x14:cfRule>
          <xm:sqref>A1:XFD1048576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tabColor theme="1" tint="0.499984740745262"/>
  </sheetPr>
  <dimension ref="B2:K37"/>
  <sheetViews>
    <sheetView showGridLines="0" zoomScale="115" zoomScaleNormal="115" workbookViewId="0">
      <selection activeCell="C29" sqref="C29:G29"/>
    </sheetView>
  </sheetViews>
  <sheetFormatPr defaultColWidth="9" defaultRowHeight="15" customHeight="1" outlineLevelRow="1"/>
  <cols>
    <col min="1" max="1" width="3.0703125" style="101" customWidth="1"/>
    <col min="2" max="2" width="24.0703125" style="101" customWidth="1"/>
    <col min="3" max="7" width="15.5703125" style="101" customWidth="1"/>
    <col min="8" max="8" width="13.5703125" style="101" customWidth="1"/>
    <col min="9" max="9" width="11.140625" style="101" bestFit="1" customWidth="1"/>
    <col min="10" max="10" width="10.0703125" style="101" bestFit="1" customWidth="1"/>
    <col min="11" max="16384" width="9" style="101"/>
  </cols>
  <sheetData>
    <row r="2" spans="2:9" ht="15" customHeight="1">
      <c r="B2" s="100" t="s">
        <v>35</v>
      </c>
    </row>
    <row r="3" spans="2:9" ht="15" customHeight="1">
      <c r="B3" s="621" t="s">
        <v>131</v>
      </c>
      <c r="C3" s="621" t="s">
        <v>82</v>
      </c>
      <c r="D3" s="621" t="s">
        <v>98</v>
      </c>
      <c r="E3" s="621" t="s">
        <v>99</v>
      </c>
      <c r="F3" s="621" t="s">
        <v>130</v>
      </c>
      <c r="G3" s="621" t="s">
        <v>129</v>
      </c>
    </row>
    <row r="4" spans="2:9" ht="15" hidden="1" customHeight="1">
      <c r="B4" s="102" t="s">
        <v>640</v>
      </c>
      <c r="C4" s="103">
        <v>2223895000</v>
      </c>
      <c r="D4" s="103">
        <v>3463257344</v>
      </c>
      <c r="E4" s="103">
        <v>46972105</v>
      </c>
      <c r="F4" s="103">
        <v>-597980560</v>
      </c>
      <c r="G4" s="103">
        <v>5136143889</v>
      </c>
    </row>
    <row r="5" spans="2:9" ht="15" hidden="1" customHeight="1">
      <c r="B5" s="102" t="s">
        <v>128</v>
      </c>
      <c r="C5" s="103"/>
      <c r="D5" s="103">
        <v>0</v>
      </c>
      <c r="E5" s="103"/>
      <c r="F5" s="103"/>
      <c r="G5" s="103"/>
    </row>
    <row r="6" spans="2:9" ht="15" hidden="1" customHeight="1">
      <c r="B6" s="104" t="s">
        <v>434</v>
      </c>
      <c r="C6" s="103">
        <v>0</v>
      </c>
      <c r="D6" s="103"/>
      <c r="E6" s="103">
        <v>0</v>
      </c>
      <c r="F6" s="103">
        <v>-4291126371</v>
      </c>
      <c r="G6" s="103">
        <v>-4291126371</v>
      </c>
    </row>
    <row r="7" spans="2:9" ht="15" hidden="1" customHeight="1">
      <c r="B7" s="104" t="s">
        <v>641</v>
      </c>
      <c r="C7" s="103">
        <v>0</v>
      </c>
      <c r="D7" s="103">
        <v>0</v>
      </c>
      <c r="E7" s="103">
        <v>0</v>
      </c>
      <c r="F7" s="105">
        <v>20686363</v>
      </c>
      <c r="G7" s="103">
        <v>20686363</v>
      </c>
    </row>
    <row r="8" spans="2:9" ht="15" hidden="1" customHeight="1">
      <c r="B8" s="102" t="s">
        <v>132</v>
      </c>
      <c r="C8" s="103"/>
      <c r="D8" s="103"/>
      <c r="E8" s="103"/>
      <c r="F8" s="103"/>
      <c r="G8" s="103"/>
    </row>
    <row r="9" spans="2:9" ht="15" hidden="1" customHeight="1">
      <c r="B9" s="102" t="s">
        <v>642</v>
      </c>
      <c r="C9" s="103">
        <v>213000000</v>
      </c>
      <c r="D9" s="103">
        <v>2556000000</v>
      </c>
      <c r="E9" s="103">
        <v>0</v>
      </c>
      <c r="F9" s="103">
        <v>0</v>
      </c>
      <c r="G9" s="103">
        <v>2769000000</v>
      </c>
    </row>
    <row r="10" spans="2:9" ht="15" hidden="1" customHeight="1">
      <c r="B10" s="102" t="s">
        <v>643</v>
      </c>
      <c r="C10" s="103">
        <v>0</v>
      </c>
      <c r="D10" s="103">
        <v>0</v>
      </c>
      <c r="E10" s="103">
        <v>71446833</v>
      </c>
      <c r="F10" s="103">
        <v>0</v>
      </c>
      <c r="G10" s="103">
        <v>71446833</v>
      </c>
    </row>
    <row r="11" spans="2:9" ht="15" hidden="1" customHeight="1">
      <c r="B11" s="106" t="s">
        <v>502</v>
      </c>
      <c r="C11" s="107">
        <f>SUM(C4:C10)</f>
        <v>2436895000</v>
      </c>
      <c r="D11" s="107">
        <f>SUM(D4:D10)</f>
        <v>6019257344</v>
      </c>
      <c r="E11" s="107">
        <f>SUM(E4:E10)</f>
        <v>118418938</v>
      </c>
      <c r="F11" s="107">
        <f>SUM(F4:F10)</f>
        <v>-4868420568</v>
      </c>
      <c r="G11" s="107">
        <f>SUM(G4:G10)</f>
        <v>3706150714</v>
      </c>
    </row>
    <row r="12" spans="2:9" ht="15" customHeight="1" outlineLevel="1">
      <c r="B12" s="102" t="s">
        <v>2313</v>
      </c>
      <c r="C12" s="390">
        <v>3123279500</v>
      </c>
      <c r="D12" s="390">
        <v>12384121289</v>
      </c>
      <c r="E12" s="390">
        <v>377682898</v>
      </c>
      <c r="F12" s="390">
        <v>-9779538403</v>
      </c>
      <c r="G12" s="390">
        <f>SUM(C12:F12)</f>
        <v>6105545284</v>
      </c>
      <c r="H12" s="1047"/>
      <c r="I12" s="392"/>
    </row>
    <row r="13" spans="2:9" ht="15" customHeight="1" outlineLevel="1">
      <c r="B13" s="102" t="s">
        <v>128</v>
      </c>
      <c r="C13" s="390"/>
      <c r="D13" s="390"/>
      <c r="E13" s="390"/>
      <c r="F13" s="390"/>
      <c r="G13" s="390"/>
    </row>
    <row r="14" spans="2:9" ht="15" customHeight="1" outlineLevel="1">
      <c r="B14" s="104" t="s">
        <v>133</v>
      </c>
      <c r="C14" s="390">
        <v>0</v>
      </c>
      <c r="D14" s="390">
        <v>0</v>
      </c>
      <c r="E14" s="390">
        <v>0</v>
      </c>
      <c r="F14" s="622">
        <f>Dart_PL!F16</f>
        <v>1323632141</v>
      </c>
      <c r="G14" s="390">
        <f>SUM(C14:F14)</f>
        <v>1323632141</v>
      </c>
    </row>
    <row r="15" spans="2:9" ht="15" customHeight="1" outlineLevel="1">
      <c r="B15" s="104" t="s">
        <v>134</v>
      </c>
      <c r="C15" s="390">
        <v>0</v>
      </c>
      <c r="D15" s="390">
        <v>0</v>
      </c>
      <c r="E15" s="390">
        <v>0</v>
      </c>
      <c r="F15" s="622">
        <f>Dart_PL!F19</f>
        <v>0</v>
      </c>
      <c r="G15" s="390">
        <f>SUM(C15:F15)</f>
        <v>0</v>
      </c>
    </row>
    <row r="16" spans="2:9" ht="15" customHeight="1" outlineLevel="1">
      <c r="B16" s="102" t="s">
        <v>132</v>
      </c>
      <c r="C16" s="390"/>
      <c r="D16" s="390"/>
      <c r="E16" s="390"/>
      <c r="F16" s="390"/>
      <c r="G16" s="390"/>
    </row>
    <row r="17" spans="2:11" ht="15" customHeight="1" outlineLevel="1">
      <c r="B17" s="102" t="s">
        <v>141</v>
      </c>
      <c r="C17" s="390">
        <v>0</v>
      </c>
      <c r="D17" s="390">
        <v>0</v>
      </c>
      <c r="E17" s="390">
        <v>0</v>
      </c>
      <c r="F17" s="390">
        <v>0</v>
      </c>
      <c r="G17" s="390">
        <f>SUM(C17:F17)</f>
        <v>0</v>
      </c>
    </row>
    <row r="18" spans="2:11" ht="15" customHeight="1" outlineLevel="1">
      <c r="B18" s="102" t="s">
        <v>550</v>
      </c>
      <c r="C18" s="390">
        <v>19664500</v>
      </c>
      <c r="D18" s="390">
        <v>100443904</v>
      </c>
      <c r="E18" s="390">
        <v>-27842570</v>
      </c>
      <c r="F18" s="390">
        <v>0</v>
      </c>
      <c r="G18" s="390">
        <f>SUM(C18:F18)</f>
        <v>92265834</v>
      </c>
    </row>
    <row r="19" spans="2:11" ht="14.25" customHeight="1" outlineLevel="1">
      <c r="B19" s="102" t="s">
        <v>216</v>
      </c>
      <c r="C19" s="390">
        <v>0</v>
      </c>
      <c r="D19" s="390">
        <v>0</v>
      </c>
      <c r="E19" s="390">
        <f>정산표!M141</f>
        <v>0</v>
      </c>
      <c r="F19" s="390">
        <v>0</v>
      </c>
      <c r="G19" s="390">
        <f>SUM(C19:F19)</f>
        <v>0</v>
      </c>
    </row>
    <row r="20" spans="2:11" ht="15" customHeight="1" outlineLevel="1">
      <c r="B20" s="388" t="s">
        <v>2314</v>
      </c>
      <c r="C20" s="391">
        <f>SUM(C12:C19)</f>
        <v>3142944000</v>
      </c>
      <c r="D20" s="391">
        <f>SUM(D12:D19)</f>
        <v>12484565193</v>
      </c>
      <c r="E20" s="391">
        <f>SUM(E12:E19)</f>
        <v>349840328</v>
      </c>
      <c r="F20" s="391">
        <f>SUM(F12:F19)</f>
        <v>-8455906262</v>
      </c>
      <c r="G20" s="391">
        <f>SUM(G12:G19)</f>
        <v>7521443259</v>
      </c>
      <c r="H20" s="108">
        <v>7521443259</v>
      </c>
      <c r="I20" s="101" t="b">
        <f>H20=G20</f>
        <v>1</v>
      </c>
      <c r="K20" s="392"/>
    </row>
    <row r="21" spans="2:11" ht="15" customHeight="1">
      <c r="B21" s="102" t="s">
        <v>2046</v>
      </c>
      <c r="C21" s="390">
        <v>5691191500</v>
      </c>
      <c r="D21" s="390">
        <v>45157382298</v>
      </c>
      <c r="E21" s="390">
        <v>424627793</v>
      </c>
      <c r="F21" s="390">
        <v>-8783566486</v>
      </c>
      <c r="G21" s="390">
        <f>SUM(C21:F21)</f>
        <v>42489635105</v>
      </c>
      <c r="H21" s="108"/>
    </row>
    <row r="22" spans="2:11" ht="15" customHeight="1">
      <c r="B22" s="102" t="s">
        <v>128</v>
      </c>
      <c r="C22" s="390"/>
      <c r="D22" s="390"/>
      <c r="E22" s="390"/>
      <c r="F22" s="390"/>
      <c r="G22" s="390">
        <f t="shared" ref="G22:G28" si="0">SUM(C22:F22)</f>
        <v>0</v>
      </c>
    </row>
    <row r="23" spans="2:11" ht="15" customHeight="1">
      <c r="B23" s="104" t="s">
        <v>133</v>
      </c>
      <c r="C23" s="390">
        <v>0</v>
      </c>
      <c r="D23" s="390">
        <v>0</v>
      </c>
      <c r="E23" s="390">
        <v>0</v>
      </c>
      <c r="F23" s="390">
        <f>정산표!H197</f>
        <v>-788849810</v>
      </c>
      <c r="G23" s="390">
        <f t="shared" si="0"/>
        <v>-788849810</v>
      </c>
      <c r="J23" s="392"/>
    </row>
    <row r="24" spans="2:11" ht="15" customHeight="1">
      <c r="B24" s="104" t="s">
        <v>134</v>
      </c>
      <c r="C24" s="390">
        <v>0</v>
      </c>
      <c r="D24" s="390">
        <v>0</v>
      </c>
      <c r="E24" s="390">
        <v>0</v>
      </c>
      <c r="F24" s="390">
        <f>정산표!H199</f>
        <v>0</v>
      </c>
      <c r="G24" s="390">
        <f t="shared" si="0"/>
        <v>0</v>
      </c>
    </row>
    <row r="25" spans="2:11" ht="15" customHeight="1">
      <c r="B25" s="102" t="s">
        <v>132</v>
      </c>
      <c r="C25" s="390"/>
      <c r="D25" s="390"/>
      <c r="E25" s="390"/>
      <c r="F25" s="390"/>
      <c r="G25" s="390">
        <f t="shared" si="0"/>
        <v>0</v>
      </c>
    </row>
    <row r="26" spans="2:11" ht="15" customHeight="1">
      <c r="B26" s="102" t="s">
        <v>141</v>
      </c>
      <c r="C26" s="390">
        <v>0</v>
      </c>
      <c r="D26" s="390">
        <v>0</v>
      </c>
      <c r="E26" s="390">
        <v>0</v>
      </c>
      <c r="F26" s="390">
        <v>0</v>
      </c>
      <c r="G26" s="390">
        <f>SUM(C26:F26)</f>
        <v>0</v>
      </c>
    </row>
    <row r="27" spans="2:11" ht="15" customHeight="1">
      <c r="B27" s="102" t="s">
        <v>550</v>
      </c>
      <c r="C27" s="390">
        <v>0</v>
      </c>
      <c r="D27" s="390">
        <f>'CF정산표(26.2Q)'!N103-'CF정산표(26.2Q)'!Q103</f>
        <v>0</v>
      </c>
      <c r="E27" s="390">
        <f>'CF정산표(26.2Q)'!P105</f>
        <v>0</v>
      </c>
      <c r="F27" s="390">
        <v>0</v>
      </c>
      <c r="G27" s="390">
        <f t="shared" si="0"/>
        <v>0</v>
      </c>
    </row>
    <row r="28" spans="2:11" ht="15" customHeight="1">
      <c r="B28" s="102" t="s">
        <v>216</v>
      </c>
      <c r="C28" s="390">
        <v>0</v>
      </c>
      <c r="D28" s="390">
        <v>0</v>
      </c>
      <c r="E28" s="390">
        <f>정산표!H141</f>
        <v>0</v>
      </c>
      <c r="F28" s="390">
        <v>0</v>
      </c>
      <c r="G28" s="390">
        <f t="shared" si="0"/>
        <v>0</v>
      </c>
    </row>
    <row r="29" spans="2:11" ht="15" customHeight="1">
      <c r="B29" s="388" t="s">
        <v>2316</v>
      </c>
      <c r="C29" s="391">
        <f>SUM(C21:C28)</f>
        <v>5691191500</v>
      </c>
      <c r="D29" s="391">
        <f>SUM(D21:D28)</f>
        <v>45157382298</v>
      </c>
      <c r="E29" s="391">
        <f>SUM(E21:E28)</f>
        <v>424627793</v>
      </c>
      <c r="F29" s="391">
        <f>SUM(F21:F28)</f>
        <v>-9572416296</v>
      </c>
      <c r="G29" s="391">
        <f>SUM(G21:G28)</f>
        <v>41700785295</v>
      </c>
      <c r="H29" s="109">
        <f>Dart_BS!C39</f>
        <v>41700785295</v>
      </c>
      <c r="I29" s="101" t="b">
        <f>H29=G29</f>
        <v>1</v>
      </c>
    </row>
    <row r="30" spans="2:11" ht="15" customHeight="1">
      <c r="C30" s="108"/>
      <c r="D30" s="108"/>
      <c r="E30" s="108"/>
      <c r="F30" s="108"/>
      <c r="G30" s="108"/>
    </row>
    <row r="31" spans="2:11" ht="15" customHeight="1">
      <c r="B31" s="101" t="s">
        <v>1345</v>
      </c>
      <c r="C31" s="108" t="b">
        <f>C21=Dart_BS!D35</f>
        <v>1</v>
      </c>
      <c r="D31" s="108" t="b">
        <f>D21=Dart_BS!D36</f>
        <v>1</v>
      </c>
      <c r="E31" s="108" t="b">
        <f>E21=Dart_BS!D37</f>
        <v>1</v>
      </c>
      <c r="F31" s="108" t="b">
        <f>F21=Dart_BS!D38</f>
        <v>1</v>
      </c>
      <c r="G31" s="108" t="b">
        <f>G21=Dart_BS!D39</f>
        <v>1</v>
      </c>
    </row>
    <row r="32" spans="2:11" ht="15" customHeight="1">
      <c r="B32" s="101" t="s">
        <v>1346</v>
      </c>
      <c r="C32" s="108" t="b">
        <f>C29=Dart_BS!C35</f>
        <v>1</v>
      </c>
      <c r="D32" s="108" t="b">
        <f>D29=Dart_BS!C36</f>
        <v>1</v>
      </c>
      <c r="E32" s="108" t="b">
        <f>E29=Dart_BS!C37</f>
        <v>1</v>
      </c>
      <c r="F32" s="108" t="b">
        <f>F29=Dart_BS!C38</f>
        <v>1</v>
      </c>
      <c r="G32" s="108" t="b">
        <f>G29=Dart_BS!C39</f>
        <v>1</v>
      </c>
    </row>
    <row r="33" spans="2:7" ht="15" customHeight="1">
      <c r="B33" s="110"/>
      <c r="C33" s="108">
        <f>C21-BS!F94</f>
        <v>0</v>
      </c>
      <c r="D33" s="108">
        <f>D21-BS!F95</f>
        <v>0</v>
      </c>
      <c r="E33" s="108">
        <f>E21-BS!F97</f>
        <v>0</v>
      </c>
      <c r="F33" s="108">
        <f>F21-BS!F99</f>
        <v>0</v>
      </c>
      <c r="G33" s="108">
        <f>G21-BS!F101</f>
        <v>0</v>
      </c>
    </row>
    <row r="34" spans="2:7" ht="15" customHeight="1">
      <c r="B34" s="110"/>
      <c r="C34" s="108">
        <f>C29-BS!E93</f>
        <v>0</v>
      </c>
      <c r="D34" s="108">
        <f>D29-BS!E95</f>
        <v>0</v>
      </c>
      <c r="E34" s="108">
        <f>E29-BS!E97</f>
        <v>0</v>
      </c>
      <c r="F34" s="108">
        <f>F29-BS!E99</f>
        <v>0</v>
      </c>
      <c r="G34" s="108">
        <f>G29-BS!E101</f>
        <v>0</v>
      </c>
    </row>
    <row r="37" spans="2:7" ht="15" customHeight="1">
      <c r="B37" s="100"/>
      <c r="C37" s="100"/>
      <c r="D37" s="100"/>
      <c r="E37" s="100"/>
      <c r="F37" s="100"/>
      <c r="G37" s="100"/>
    </row>
  </sheetData>
  <phoneticPr fontId="6" type="noConversion"/>
  <pageMargins left="0.7" right="0.7" top="0.75" bottom="0.75" header="0.3" footer="0.3"/>
  <pageSetup paperSize="9" scale="72"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2D2597B8-399F-48F5-A875-D8A99926E545}">
            <xm:f>NOT(ISERROR(SEARCH("false",A1)))</xm:f>
            <xm:f>"false"</xm:f>
            <x14:dxf>
              <fill>
                <patternFill>
                  <bgColor rgb="FFFF0000"/>
                </patternFill>
              </fill>
            </x14:dxf>
          </x14:cfRule>
          <xm:sqref>A1:XFD1048576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tabColor theme="1" tint="0.499984740745262"/>
    <outlinePr summaryBelow="0"/>
  </sheetPr>
  <dimension ref="B1:L71"/>
  <sheetViews>
    <sheetView showGridLines="0" zoomScale="115" zoomScaleNormal="115" workbookViewId="0">
      <pane xSplit="3" ySplit="1" topLeftCell="D9" activePane="bottomRight" state="frozen"/>
      <selection activeCell="K108" sqref="K108"/>
      <selection pane="topRight" activeCell="K108" sqref="K108"/>
      <selection pane="bottomLeft" activeCell="K108" sqref="K108"/>
      <selection pane="bottomRight" activeCell="D28" sqref="D28"/>
    </sheetView>
  </sheetViews>
  <sheetFormatPr defaultColWidth="9" defaultRowHeight="15" outlineLevelRow="1"/>
  <cols>
    <col min="1" max="1" width="3.35546875" style="1" customWidth="1"/>
    <col min="2" max="2" width="35.5703125" style="1" customWidth="1"/>
    <col min="3" max="3" width="10.5703125" style="1" customWidth="1"/>
    <col min="4" max="5" width="15.5703125" style="2" customWidth="1"/>
    <col min="6" max="6" width="11.140625" style="1" bestFit="1" customWidth="1"/>
    <col min="7" max="7" width="14.0703125" style="11" bestFit="1" customWidth="1"/>
    <col min="8" max="16384" width="9" style="1"/>
  </cols>
  <sheetData>
    <row r="1" spans="2:8">
      <c r="B1" s="18" t="s">
        <v>39</v>
      </c>
      <c r="C1" s="18" t="s">
        <v>59</v>
      </c>
      <c r="D1" s="19">
        <f>BS!E1</f>
        <v>46203</v>
      </c>
      <c r="E1" s="19">
        <f>PL!F1</f>
        <v>45838</v>
      </c>
      <c r="G1" s="557" t="s">
        <v>1229</v>
      </c>
    </row>
    <row r="2" spans="2:8" s="10" customFormat="1">
      <c r="B2" s="20" t="s">
        <v>40</v>
      </c>
      <c r="C2" s="20"/>
      <c r="D2" s="21">
        <f>D3+D34+D35+D36</f>
        <v>1181452121</v>
      </c>
      <c r="E2" s="21">
        <f>E3+E34+E35+E36</f>
        <v>1255790252</v>
      </c>
      <c r="G2" s="558"/>
    </row>
    <row r="3" spans="2:8" s="10" customFormat="1">
      <c r="B3" s="23" t="s">
        <v>38</v>
      </c>
      <c r="C3" s="23"/>
      <c r="D3" s="21">
        <f>D4+D5+D26</f>
        <v>1255384365</v>
      </c>
      <c r="E3" s="21">
        <f>E4+E5+E26</f>
        <v>1319946478</v>
      </c>
      <c r="G3" s="558"/>
    </row>
    <row r="4" spans="2:8">
      <c r="B4" s="24" t="s">
        <v>45</v>
      </c>
      <c r="C4" s="24"/>
      <c r="D4" s="21">
        <f>PL!E86</f>
        <v>-788849810</v>
      </c>
      <c r="E4" s="21">
        <f>PL!F86</f>
        <v>1323632141</v>
      </c>
    </row>
    <row r="5" spans="2:8">
      <c r="B5" s="24" t="s">
        <v>138</v>
      </c>
      <c r="C5" s="24"/>
      <c r="D5" s="21">
        <f>SUM(D6:D25)</f>
        <v>850953963</v>
      </c>
      <c r="E5" s="21">
        <f>SUM(E6:E25)</f>
        <v>857239522</v>
      </c>
    </row>
    <row r="6" spans="2:8" outlineLevel="1">
      <c r="B6" s="42" t="s">
        <v>1233</v>
      </c>
      <c r="C6" s="25"/>
      <c r="D6" s="26">
        <f>'CF정산표(26.2Q)'!H15</f>
        <v>-82887417</v>
      </c>
      <c r="E6" s="27">
        <v>56611534</v>
      </c>
      <c r="F6" s="2"/>
      <c r="G6" s="11" t="b">
        <f>PL!E53=D6</f>
        <v>1</v>
      </c>
      <c r="H6" s="11" t="b">
        <f>PL!F53=E6</f>
        <v>1</v>
      </c>
    </row>
    <row r="7" spans="2:8" outlineLevel="1">
      <c r="B7" s="25" t="s">
        <v>208</v>
      </c>
      <c r="C7" s="25"/>
      <c r="D7" s="26">
        <f>-'CF정산표(26.2Q)'!J16-'CF정산표(26.2Q)'!J42</f>
        <v>-22098561</v>
      </c>
      <c r="E7" s="27">
        <v>-28008260</v>
      </c>
      <c r="F7" s="2"/>
      <c r="G7" s="11" t="b">
        <f>-PL!E76=D7</f>
        <v>1</v>
      </c>
      <c r="H7" s="11" t="b">
        <f>-PL!F76=E7</f>
        <v>1</v>
      </c>
    </row>
    <row r="8" spans="2:8" outlineLevel="1">
      <c r="B8" s="784" t="s">
        <v>1661</v>
      </c>
      <c r="C8" s="749"/>
      <c r="D8" s="750">
        <f>'CF정산표(26.2Q)'!H32+'CF정산표(26.2Q)'!H19+'CF정산표(26.2Q)'!H17</f>
        <v>-3000000</v>
      </c>
      <c r="E8" s="751">
        <v>-3000000</v>
      </c>
      <c r="F8" s="2"/>
      <c r="G8" s="11" t="b">
        <f>-PL!E62+PL!E68=D8</f>
        <v>1</v>
      </c>
      <c r="H8" s="11" t="b">
        <f>-PL!F62+PL!F68=E8</f>
        <v>1</v>
      </c>
    </row>
    <row r="9" spans="2:8" outlineLevel="1">
      <c r="B9" s="25" t="s">
        <v>214</v>
      </c>
      <c r="C9" s="25"/>
      <c r="D9" s="26">
        <f>-('CF정산표(26.2Q)'!J54+'CF정산표(26.2Q)'!J65+'CF정산표(26.2Q)'!J63+'CF정산표(26.2Q)'!J53)</f>
        <v>-1202135</v>
      </c>
      <c r="E9" s="27">
        <v>-1054000</v>
      </c>
      <c r="F9" s="2"/>
      <c r="G9" s="11" t="b">
        <f>-PL!E64=D9</f>
        <v>1</v>
      </c>
      <c r="H9" s="11" t="b">
        <f>-PL!F64=E9</f>
        <v>1</v>
      </c>
    </row>
    <row r="10" spans="2:8" outlineLevel="1">
      <c r="B10" s="25" t="s">
        <v>113</v>
      </c>
      <c r="C10" s="25"/>
      <c r="D10" s="26">
        <f>-'CF정산표(26.2Q)'!J11-'CF정산표(26.2Q)'!J14</f>
        <v>-37603839</v>
      </c>
      <c r="E10" s="942">
        <v>-3042</v>
      </c>
      <c r="F10" s="2"/>
      <c r="G10" s="11" t="b">
        <f>-PL!E78=D10</f>
        <v>1</v>
      </c>
      <c r="H10" s="11" t="b">
        <f>-PL!F78=E10</f>
        <v>1</v>
      </c>
    </row>
    <row r="11" spans="2:8" outlineLevel="1">
      <c r="B11" s="42" t="s">
        <v>1230</v>
      </c>
      <c r="C11" s="25"/>
      <c r="D11" s="26">
        <f>'CF정산표(26.2Q)'!H22+'CF정산표(26.2Q)'!H24+'CF정산표(26.2Q)'!H26-'CF정산표(26.2Q)'!J24-'CF정산표(26.2Q)'!J26-'CF정산표(26.2Q)'!J22+'CF정산표(26.2Q)'!H28-'CF정산표(26.2Q)'!J28</f>
        <v>131193174</v>
      </c>
      <c r="E11" s="27">
        <v>15216604</v>
      </c>
      <c r="F11" s="2"/>
      <c r="G11" s="11" t="b">
        <f>'9'!E21=ROUND(D11/10^6,)</f>
        <v>1</v>
      </c>
      <c r="H11" s="11"/>
    </row>
    <row r="12" spans="2:8" outlineLevel="1">
      <c r="B12" s="25" t="s">
        <v>10</v>
      </c>
      <c r="C12" s="25"/>
      <c r="D12" s="26">
        <f>'CF정산표(26.2Q)'!H94</f>
        <v>188019390</v>
      </c>
      <c r="E12" s="27">
        <v>177665682</v>
      </c>
      <c r="F12" s="2"/>
      <c r="G12" s="11" t="b">
        <f>'21'!E24=D12</f>
        <v>1</v>
      </c>
      <c r="H12" s="11"/>
    </row>
    <row r="13" spans="2:8" outlineLevel="1">
      <c r="B13" s="42" t="s">
        <v>1443</v>
      </c>
      <c r="C13" s="25"/>
      <c r="D13" s="26">
        <f>'CF정산표(26.2Q)'!H90</f>
        <v>37001898</v>
      </c>
      <c r="E13" s="27">
        <v>34571148</v>
      </c>
      <c r="F13" s="2"/>
      <c r="H13" s="11"/>
    </row>
    <row r="14" spans="2:8" outlineLevel="1">
      <c r="B14" s="25" t="s">
        <v>204</v>
      </c>
      <c r="C14" s="25"/>
      <c r="D14" s="26">
        <f>'CF정산표(26.2Q)'!H105</f>
        <v>0</v>
      </c>
      <c r="E14" s="27">
        <v>0</v>
      </c>
      <c r="F14" s="2"/>
      <c r="G14" s="11" t="b">
        <f>PL!E30=D14</f>
        <v>1</v>
      </c>
      <c r="H14" s="11" t="b">
        <f>PL!F30=E14</f>
        <v>1</v>
      </c>
    </row>
    <row r="15" spans="2:8" outlineLevel="1">
      <c r="B15" s="25" t="s">
        <v>25</v>
      </c>
      <c r="C15" s="25"/>
      <c r="D15" s="26">
        <f>'CF정산표(26.2Q)'!H76+'CF정산표(26.2Q)'!H92</f>
        <v>98954951</v>
      </c>
      <c r="E15" s="27">
        <v>43244353</v>
      </c>
      <c r="F15" s="2"/>
      <c r="G15" s="11" t="b">
        <f>PL!E80=D15</f>
        <v>1</v>
      </c>
      <c r="H15" s="11" t="b">
        <f>PL!F80=E15</f>
        <v>1</v>
      </c>
    </row>
    <row r="16" spans="2:8" outlineLevel="1">
      <c r="B16" s="25" t="s">
        <v>15</v>
      </c>
      <c r="C16" s="25"/>
      <c r="D16" s="26">
        <f>'CF정산표(26.2Q)'!H51+'CF정산표(26.2Q)'!H53+'CF정산표(26.2Q)'!H57+'CF정산표(26.2Q)'!H59+'CF정산표(26.2Q)'!H62+'CF정산표(26.2Q)'!H64+'CF정산표(26.2Q)'!H66</f>
        <v>524170112</v>
      </c>
      <c r="E16" s="942">
        <v>359919576</v>
      </c>
      <c r="F16" s="2"/>
      <c r="G16" s="11" t="b">
        <f>-'13'!J36=D16</f>
        <v>1</v>
      </c>
      <c r="H16" s="11"/>
    </row>
    <row r="17" spans="2:12" outlineLevel="1">
      <c r="B17" s="25" t="s">
        <v>207</v>
      </c>
      <c r="C17" s="25"/>
      <c r="D17" s="26">
        <f>'CF정산표(26.2Q)'!H68+'CF정산표(26.2Q)'!H69+'CF정산표(26.2Q)'!H70+'CF정산표(26.2Q)'!H71</f>
        <v>21529107</v>
      </c>
      <c r="E17" s="942">
        <v>144426793</v>
      </c>
      <c r="F17" s="2"/>
      <c r="G17" s="11" t="b">
        <f>-'14'!H22=D17</f>
        <v>1</v>
      </c>
      <c r="H17" s="11"/>
    </row>
    <row r="18" spans="2:12" outlineLevel="1">
      <c r="B18" s="25" t="s">
        <v>666</v>
      </c>
      <c r="C18" s="25"/>
      <c r="D18" s="26">
        <f>SUMIFS('CF정산표(26.2Q)'!$H$8:$H$109,'CF정산표(26.2Q)'!$G$8:$G$109,"유형자산처분손실")</f>
        <v>4825402</v>
      </c>
      <c r="E18" s="27">
        <v>3098042</v>
      </c>
      <c r="F18" s="2"/>
      <c r="G18" s="11" t="b">
        <f>PL!E71=D18</f>
        <v>1</v>
      </c>
      <c r="H18" s="11" t="b">
        <f>PL!F71=E18</f>
        <v>1</v>
      </c>
    </row>
    <row r="19" spans="2:12" outlineLevel="1">
      <c r="B19" s="25" t="s">
        <v>116</v>
      </c>
      <c r="C19" s="25"/>
      <c r="D19" s="26">
        <f>'CF정산표(26.2Q)'!H11+'CF정산표(26.2Q)'!H14</f>
        <v>0</v>
      </c>
      <c r="E19" s="27">
        <v>57204705</v>
      </c>
      <c r="F19" s="2"/>
      <c r="G19" s="11" t="b">
        <f>PL!E83=D19</f>
        <v>1</v>
      </c>
      <c r="H19" s="11" t="b">
        <f>PL!F83=E19</f>
        <v>1</v>
      </c>
    </row>
    <row r="20" spans="2:12" outlineLevel="1">
      <c r="B20" s="1062" t="s">
        <v>1985</v>
      </c>
      <c r="C20" s="749"/>
      <c r="D20" s="750">
        <f>'CF정산표(26.2Q)'!H44</f>
        <v>0</v>
      </c>
      <c r="E20" s="751"/>
      <c r="F20" s="2"/>
      <c r="G20" s="11" t="b">
        <f>PL!E81=D20</f>
        <v>1</v>
      </c>
      <c r="H20" s="11"/>
    </row>
    <row r="21" spans="2:12" outlineLevel="1">
      <c r="B21" s="42" t="s">
        <v>1983</v>
      </c>
      <c r="C21" s="25"/>
      <c r="D21" s="26">
        <f>'CF정산표(26.2Q)'!H37</f>
        <v>0</v>
      </c>
      <c r="E21" s="27">
        <v>0</v>
      </c>
      <c r="F21" s="2"/>
      <c r="G21" s="11" t="b">
        <f>PL!E85=D21</f>
        <v>1</v>
      </c>
      <c r="H21" s="11" t="b">
        <f>PL!F85=E21</f>
        <v>1</v>
      </c>
    </row>
    <row r="22" spans="2:12" outlineLevel="1">
      <c r="B22" s="42" t="s">
        <v>710</v>
      </c>
      <c r="C22" s="25"/>
      <c r="D22" s="26">
        <f>-'CF정산표(26.2Q)'!J46</f>
        <v>0</v>
      </c>
      <c r="E22" s="27">
        <v>0</v>
      </c>
      <c r="F22" s="2"/>
    </row>
    <row r="23" spans="2:12" outlineLevel="1">
      <c r="B23" s="42" t="s">
        <v>1436</v>
      </c>
      <c r="C23" s="25"/>
      <c r="D23" s="26">
        <f>'CF정산표(26.2Q)'!H47</f>
        <v>0</v>
      </c>
      <c r="E23" s="27">
        <v>0</v>
      </c>
      <c r="F23" s="2"/>
      <c r="G23" s="11" t="b">
        <f>PL!E70=D23</f>
        <v>1</v>
      </c>
    </row>
    <row r="24" spans="2:12" outlineLevel="1">
      <c r="B24" s="25" t="s">
        <v>209</v>
      </c>
      <c r="C24" s="25"/>
      <c r="D24" s="26">
        <f>'CF정산표(26.2Q)'!H46</f>
        <v>0</v>
      </c>
      <c r="E24" s="27">
        <v>0</v>
      </c>
      <c r="F24" s="2"/>
      <c r="J24" s="2">
        <f>CF!E4+CF!E5+CF!E65</f>
        <v>2180867935</v>
      </c>
    </row>
    <row r="25" spans="2:12" outlineLevel="1">
      <c r="B25" s="42" t="s">
        <v>1869</v>
      </c>
      <c r="C25" s="25"/>
      <c r="D25" s="26">
        <f>'CF정산표(26.2Q)'!H87</f>
        <v>-7948119</v>
      </c>
      <c r="E25" s="27">
        <v>-2653613</v>
      </c>
      <c r="F25" s="2"/>
    </row>
    <row r="26" spans="2:12">
      <c r="B26" s="24" t="s">
        <v>46</v>
      </c>
      <c r="C26" s="24"/>
      <c r="D26" s="21">
        <f>SUM(D27:D33)</f>
        <v>1193280212</v>
      </c>
      <c r="E26" s="21">
        <f>SUM(E27:E33)</f>
        <v>-860925185</v>
      </c>
      <c r="F26" s="2"/>
    </row>
    <row r="27" spans="2:12" outlineLevel="1">
      <c r="B27" s="25" t="s">
        <v>217</v>
      </c>
      <c r="C27" s="25"/>
      <c r="D27" s="26">
        <f>'CF정산표(26.2Q)'!K14+'CF정산표(26.2Q)'!K18</f>
        <v>504628226</v>
      </c>
      <c r="E27" s="942">
        <v>-285442157</v>
      </c>
      <c r="F27" s="2"/>
    </row>
    <row r="28" spans="2:12" outlineLevel="1">
      <c r="B28" s="25" t="s">
        <v>218</v>
      </c>
      <c r="C28" s="25"/>
      <c r="D28" s="26">
        <f>'CF정산표(26.2Q)'!K31+'CF정산표(26.2Q)'!K33+'CF정산표(26.2Q)'!K34</f>
        <v>665709412</v>
      </c>
      <c r="E28" s="27">
        <v>-287650372</v>
      </c>
      <c r="F28" s="2"/>
    </row>
    <row r="29" spans="2:12" outlineLevel="1">
      <c r="B29" s="28" t="s">
        <v>223</v>
      </c>
      <c r="C29" s="28"/>
      <c r="D29" s="29">
        <f>'CF정산표(26.2Q)'!K21+'CF정산표(26.2Q)'!K23+'CF정산표(26.2Q)'!K25+'CF정산표(26.2Q)'!K29+'CF정산표(26.2Q)'!K27</f>
        <v>-299528123</v>
      </c>
      <c r="E29" s="944">
        <v>73992229</v>
      </c>
      <c r="F29" s="2"/>
      <c r="L29" s="2"/>
    </row>
    <row r="30" spans="2:12" outlineLevel="1">
      <c r="B30" s="28" t="s">
        <v>224</v>
      </c>
      <c r="C30" s="28"/>
      <c r="D30" s="29">
        <f>'CF정산표(26.2Q)'!K78+'CF정산표(26.2Q)'!K79+'CF정산표(26.2Q)'!K80</f>
        <v>1534270814</v>
      </c>
      <c r="E30" s="944">
        <v>-298721864</v>
      </c>
      <c r="F30" s="2"/>
    </row>
    <row r="31" spans="2:12" outlineLevel="1">
      <c r="B31" s="28" t="s">
        <v>225</v>
      </c>
      <c r="C31" s="28"/>
      <c r="D31" s="29">
        <f>'CF정산표(26.2Q)'!K86+'CF정산표(26.2Q)'!K81</f>
        <v>-142571143</v>
      </c>
      <c r="E31" s="30">
        <v>-1288559</v>
      </c>
      <c r="F31" s="2"/>
    </row>
    <row r="32" spans="2:12" outlineLevel="1">
      <c r="B32" s="697" t="s">
        <v>1457</v>
      </c>
      <c r="C32" s="28"/>
      <c r="D32" s="29">
        <f>'CF정산표(26.2Q)'!K90</f>
        <v>-4380000</v>
      </c>
      <c r="E32" s="30">
        <v>0</v>
      </c>
      <c r="F32" s="2"/>
    </row>
    <row r="33" spans="2:8" outlineLevel="1">
      <c r="B33" s="25" t="s">
        <v>226</v>
      </c>
      <c r="C33" s="25"/>
      <c r="D33" s="26">
        <f>'CF정산표(26.2Q)'!K94</f>
        <v>-1064848974</v>
      </c>
      <c r="E33" s="942">
        <v>-61814462</v>
      </c>
      <c r="F33" s="2"/>
      <c r="G33" s="11" t="b">
        <f>'21'!E13=D33</f>
        <v>1</v>
      </c>
    </row>
    <row r="34" spans="2:8">
      <c r="B34" s="23" t="s">
        <v>135</v>
      </c>
      <c r="C34" s="23"/>
      <c r="D34" s="21">
        <f>'CF정산표(26.2Q)'!K16</f>
        <v>14069356</v>
      </c>
      <c r="E34" s="22">
        <v>21472518</v>
      </c>
      <c r="F34" s="2"/>
    </row>
    <row r="35" spans="2:8">
      <c r="B35" s="23" t="s">
        <v>327</v>
      </c>
      <c r="C35" s="23"/>
      <c r="D35" s="21">
        <f>'CF정산표(26.2Q)'!K76+'CF정산표(26.2Q)'!K92</f>
        <v>-93326730</v>
      </c>
      <c r="E35" s="940">
        <v>-92269564</v>
      </c>
      <c r="H35" s="2"/>
    </row>
    <row r="36" spans="2:8">
      <c r="B36" s="23" t="s">
        <v>328</v>
      </c>
      <c r="C36" s="23"/>
      <c r="D36" s="21">
        <f>'CF정산표(26.2Q)'!K37</f>
        <v>5325130</v>
      </c>
      <c r="E36" s="22">
        <v>6640820</v>
      </c>
    </row>
    <row r="37" spans="2:8" s="10" customFormat="1">
      <c r="B37" s="20" t="s">
        <v>41</v>
      </c>
      <c r="C37" s="20"/>
      <c r="D37" s="21">
        <f>D38+D45</f>
        <v>-9023261400</v>
      </c>
      <c r="E37" s="21">
        <f>E38+E45</f>
        <v>-534838334</v>
      </c>
      <c r="G37" s="558"/>
    </row>
    <row r="38" spans="2:8" s="10" customFormat="1">
      <c r="B38" s="23" t="s">
        <v>136</v>
      </c>
      <c r="C38" s="20"/>
      <c r="D38" s="21">
        <f>SUM(D39:D44)</f>
        <v>17756301</v>
      </c>
      <c r="E38" s="21">
        <f>SUM(E39:E44)</f>
        <v>11233335</v>
      </c>
      <c r="G38" s="558"/>
    </row>
    <row r="39" spans="2:8" s="10" customFormat="1">
      <c r="B39" s="25" t="s">
        <v>663</v>
      </c>
      <c r="C39" s="25"/>
      <c r="D39" s="4">
        <f>'CF정산표(26.2Q)'!L12</f>
        <v>0</v>
      </c>
      <c r="E39" s="27">
        <v>0</v>
      </c>
      <c r="G39" s="558"/>
    </row>
    <row r="40" spans="2:8">
      <c r="B40" s="42" t="s">
        <v>504</v>
      </c>
      <c r="C40" s="25"/>
      <c r="D40" s="4">
        <f>'CF정산표(26.2Q)'!L36</f>
        <v>1250001</v>
      </c>
      <c r="E40" s="27">
        <v>3333335</v>
      </c>
    </row>
    <row r="41" spans="2:8">
      <c r="B41" s="25" t="s">
        <v>664</v>
      </c>
      <c r="C41" s="25"/>
      <c r="D41" s="4">
        <f>SUM('CF정산표(26.2Q)'!L49:L64)</f>
        <v>0</v>
      </c>
      <c r="E41" s="27">
        <v>5900000</v>
      </c>
    </row>
    <row r="42" spans="2:8">
      <c r="B42" s="42" t="s">
        <v>1453</v>
      </c>
      <c r="C42" s="25"/>
      <c r="D42" s="4">
        <f>'CF정산표(26.2Q)'!L35</f>
        <v>0</v>
      </c>
      <c r="E42" s="27">
        <v>0</v>
      </c>
    </row>
    <row r="43" spans="2:8">
      <c r="B43" s="42" t="s">
        <v>656</v>
      </c>
      <c r="C43" s="25"/>
      <c r="D43" s="4">
        <f>'CF정산표(26.2Q)'!L43+'CF정산표(26.2Q)'!L41</f>
        <v>16506300</v>
      </c>
      <c r="E43" s="27">
        <v>2000000</v>
      </c>
      <c r="H43" s="2">
        <f>CF!D4+CF!D5+CF!D65</f>
        <v>62104158</v>
      </c>
    </row>
    <row r="44" spans="2:8">
      <c r="B44" s="566" t="s">
        <v>1234</v>
      </c>
      <c r="C44" s="564"/>
      <c r="D44" s="565">
        <f>'CF정산표(26.2Q)'!L11</f>
        <v>0</v>
      </c>
      <c r="E44" s="941">
        <v>0</v>
      </c>
    </row>
    <row r="45" spans="2:8" s="10" customFormat="1">
      <c r="B45" s="23" t="s">
        <v>137</v>
      </c>
      <c r="C45" s="20"/>
      <c r="D45" s="21">
        <f>-SUM(D46:D54)</f>
        <v>-9041017701</v>
      </c>
      <c r="E45" s="21">
        <f t="shared" ref="E45" si="0">-SUM(E46:E54)</f>
        <v>-546071669</v>
      </c>
      <c r="G45" s="558"/>
    </row>
    <row r="46" spans="2:8">
      <c r="B46" s="25" t="s">
        <v>227</v>
      </c>
      <c r="C46" s="25"/>
      <c r="D46" s="4">
        <f>'CF정산표(26.2Q)'!M12</f>
        <v>0</v>
      </c>
      <c r="E46" s="27">
        <v>0</v>
      </c>
    </row>
    <row r="47" spans="2:8">
      <c r="B47" s="42" t="s">
        <v>705</v>
      </c>
      <c r="C47" s="25"/>
      <c r="D47" s="4">
        <f>'CF정산표(26.2Q)'!M44</f>
        <v>0</v>
      </c>
      <c r="E47" s="27">
        <v>0</v>
      </c>
    </row>
    <row r="48" spans="2:8">
      <c r="B48" s="42" t="s">
        <v>749</v>
      </c>
      <c r="C48" s="25"/>
      <c r="D48" s="4">
        <f>'CF정산표(26.2Q)'!M36</f>
        <v>0</v>
      </c>
      <c r="E48" s="27">
        <v>0</v>
      </c>
    </row>
    <row r="49" spans="2:8">
      <c r="B49" s="42" t="s">
        <v>2385</v>
      </c>
      <c r="C49" s="25"/>
      <c r="D49" s="4">
        <f>'CF정산표(26.2Q)'!M46</f>
        <v>8000000000</v>
      </c>
      <c r="E49" s="27">
        <v>0</v>
      </c>
    </row>
    <row r="50" spans="2:8">
      <c r="B50" s="42" t="s">
        <v>715</v>
      </c>
      <c r="C50" s="25"/>
      <c r="D50" s="4">
        <f>'CF정산표(26.2Q)'!M47</f>
        <v>0</v>
      </c>
      <c r="E50" s="27">
        <v>0</v>
      </c>
    </row>
    <row r="51" spans="2:8">
      <c r="B51" s="25" t="s">
        <v>221</v>
      </c>
      <c r="C51" s="25"/>
      <c r="D51" s="4">
        <f>SUM('CF정산표(26.2Q)'!M49:M65)</f>
        <v>938495222</v>
      </c>
      <c r="E51" s="942">
        <v>546071669</v>
      </c>
      <c r="H51" s="2"/>
    </row>
    <row r="52" spans="2:8">
      <c r="B52" s="25" t="s">
        <v>222</v>
      </c>
      <c r="C52" s="25"/>
      <c r="D52" s="4">
        <f>SUM('CF정산표(26.2Q)'!M68:M71)</f>
        <v>95882479</v>
      </c>
      <c r="E52" s="27">
        <v>0</v>
      </c>
    </row>
    <row r="53" spans="2:8">
      <c r="B53" s="42" t="s">
        <v>1517</v>
      </c>
      <c r="C53" s="25"/>
      <c r="D53" s="4">
        <f>'CF정산표(26.2Q)'!M35</f>
        <v>0</v>
      </c>
      <c r="E53" s="27">
        <v>0</v>
      </c>
    </row>
    <row r="54" spans="2:8">
      <c r="B54" s="42" t="s">
        <v>659</v>
      </c>
      <c r="C54" s="25"/>
      <c r="D54" s="4">
        <f>'CF정산표(26.2Q)'!M43+'CF정산표(26.2Q)'!M41</f>
        <v>6640000</v>
      </c>
      <c r="E54" s="27">
        <v>0</v>
      </c>
    </row>
    <row r="55" spans="2:8" s="10" customFormat="1">
      <c r="B55" s="20" t="s">
        <v>42</v>
      </c>
      <c r="C55" s="20"/>
      <c r="D55" s="22">
        <f>D56+D61</f>
        <v>-359236850</v>
      </c>
      <c r="E55" s="22">
        <f>E56+E61</f>
        <v>-178763420</v>
      </c>
      <c r="G55" s="558"/>
    </row>
    <row r="56" spans="2:8" s="10" customFormat="1">
      <c r="B56" s="23" t="s">
        <v>43</v>
      </c>
      <c r="C56" s="23"/>
      <c r="D56" s="22">
        <f>SUM(D57:D60)</f>
        <v>0</v>
      </c>
      <c r="E56" s="22">
        <f>SUM(E57:E60)</f>
        <v>92265834</v>
      </c>
      <c r="G56" s="558"/>
    </row>
    <row r="57" spans="2:8">
      <c r="B57" s="25" t="s">
        <v>501</v>
      </c>
      <c r="C57" s="25"/>
      <c r="D57" s="26">
        <f>'CF정산표(26.2Q)'!N82</f>
        <v>0</v>
      </c>
      <c r="E57" s="27">
        <v>0</v>
      </c>
    </row>
    <row r="58" spans="2:8">
      <c r="B58" s="25" t="s">
        <v>503</v>
      </c>
      <c r="C58" s="25"/>
      <c r="D58" s="26">
        <f>'CF정산표(26.2Q)'!N91</f>
        <v>0</v>
      </c>
      <c r="E58" s="27">
        <v>0</v>
      </c>
    </row>
    <row r="59" spans="2:8">
      <c r="B59" s="784" t="s">
        <v>1989</v>
      </c>
      <c r="C59" s="749"/>
      <c r="D59" s="750">
        <v>0</v>
      </c>
      <c r="E59" s="751">
        <v>0</v>
      </c>
    </row>
    <row r="60" spans="2:8">
      <c r="B60" s="42" t="s">
        <v>1252</v>
      </c>
      <c r="C60" s="25"/>
      <c r="D60" s="26">
        <v>0</v>
      </c>
      <c r="E60" s="27">
        <v>92265834</v>
      </c>
    </row>
    <row r="61" spans="2:8" s="10" customFormat="1">
      <c r="B61" s="23" t="s">
        <v>44</v>
      </c>
      <c r="C61" s="23"/>
      <c r="D61" s="22">
        <f>-SUM(D62:D64)</f>
        <v>-359236850</v>
      </c>
      <c r="E61" s="22">
        <f>-SUM(E62:E64)</f>
        <v>-271029254</v>
      </c>
      <c r="G61" s="558"/>
    </row>
    <row r="62" spans="2:8">
      <c r="B62" s="42" t="s">
        <v>623</v>
      </c>
      <c r="C62" s="25"/>
      <c r="D62" s="26">
        <f>'CF정산표(26.2Q)'!O82</f>
        <v>0</v>
      </c>
      <c r="E62" s="27">
        <v>0</v>
      </c>
    </row>
    <row r="63" spans="2:8">
      <c r="B63" s="25" t="s">
        <v>368</v>
      </c>
      <c r="C63" s="25"/>
      <c r="D63" s="26">
        <f>'CF정산표(26.2Q)'!O92+'CF정산표(26.2Q)'!O84</f>
        <v>275936850</v>
      </c>
      <c r="E63" s="942">
        <v>221049254</v>
      </c>
    </row>
    <row r="64" spans="2:8">
      <c r="B64" s="25" t="s">
        <v>655</v>
      </c>
      <c r="C64" s="25"/>
      <c r="D64" s="26">
        <f>'CF정산표(26.2Q)'!O83</f>
        <v>83300000</v>
      </c>
      <c r="E64" s="27">
        <v>49980000</v>
      </c>
    </row>
    <row r="65" spans="2:7" s="10" customFormat="1">
      <c r="B65" s="20" t="s">
        <v>161</v>
      </c>
      <c r="C65" s="20"/>
      <c r="D65" s="21">
        <f>'CF정산표(26.2Q)'!J11-'CF정산표(26.2Q)'!H11</f>
        <v>5</v>
      </c>
      <c r="E65" s="943">
        <v>-3728</v>
      </c>
      <c r="G65" s="558"/>
    </row>
    <row r="66" spans="2:7" s="10" customFormat="1">
      <c r="B66" s="20" t="s">
        <v>162</v>
      </c>
      <c r="C66" s="20"/>
      <c r="D66" s="21">
        <f>D2+D37+D55+D65</f>
        <v>-8201046124</v>
      </c>
      <c r="E66" s="21">
        <f>E2+E37+E55+E65</f>
        <v>542184770</v>
      </c>
      <c r="G66" s="558"/>
    </row>
    <row r="67" spans="2:7" s="10" customFormat="1">
      <c r="B67" s="20" t="s">
        <v>163</v>
      </c>
      <c r="C67" s="20"/>
      <c r="D67" s="21">
        <f>Dart_BS!D6</f>
        <v>19169211185</v>
      </c>
      <c r="E67" s="21">
        <v>1957354410</v>
      </c>
      <c r="G67" s="558"/>
    </row>
    <row r="68" spans="2:7" s="10" customFormat="1">
      <c r="B68" s="20" t="s">
        <v>139</v>
      </c>
      <c r="C68" s="20"/>
      <c r="D68" s="21">
        <f>SUM(D66:D67)</f>
        <v>10968165061</v>
      </c>
      <c r="E68" s="21">
        <f>SUM(E66:E67)</f>
        <v>2499539180</v>
      </c>
      <c r="F68" s="3"/>
      <c r="G68" s="558"/>
    </row>
    <row r="69" spans="2:7">
      <c r="D69" s="11" t="b">
        <f>D68=BS!E5</f>
        <v>1</v>
      </c>
      <c r="E69" s="2" t="b">
        <f>E68=E70</f>
        <v>1</v>
      </c>
    </row>
    <row r="70" spans="2:7">
      <c r="E70" s="2">
        <v>2499539180</v>
      </c>
      <c r="F70" s="1" t="s">
        <v>2315</v>
      </c>
    </row>
    <row r="71" spans="2:7">
      <c r="E71" s="1"/>
    </row>
  </sheetData>
  <phoneticPr fontId="6" type="noConversion"/>
  <pageMargins left="0.7" right="0.7" top="0.75" bottom="0.75" header="0.3" footer="0.3"/>
  <pageSetup paperSize="9" scale="83" orientation="portrait" r:id="rId1"/>
  <colBreaks count="1" manualBreakCount="1">
    <brk id="5" max="1048575" man="1"/>
  </colBreaks>
  <extLst>
    <ext xmlns:x14="http://schemas.microsoft.com/office/spreadsheetml/2009/9/main" uri="{78C0D931-6437-407d-A8EE-F0AAD7539E65}">
      <x14:conditionalFormattings>
        <x14:conditionalFormatting xmlns:xm="http://schemas.microsoft.com/office/excel/2006/main">
          <x14:cfRule type="containsText" priority="1" operator="containsText" id="{4D6915B7-EC05-4A03-8FBD-A56496298160}">
            <xm:f>NOT(ISERROR(SEARCH("true",A1)))</xm:f>
            <xm:f>"true"</xm:f>
            <x14:dxf>
              <fill>
                <patternFill>
                  <bgColor theme="9" tint="0.79998168889431442"/>
                </patternFill>
              </fill>
            </x14:dxf>
          </x14:cfRule>
          <x14:cfRule type="containsText" priority="2" operator="containsText" id="{85907D7A-921F-4F26-82C6-4E0795B7AFF9}">
            <xm:f>NOT(ISERROR(SEARCH("false",A1)))</xm:f>
            <xm:f>"false"</xm:f>
            <x14:dxf>
              <fill>
                <patternFill>
                  <bgColor theme="5"/>
                </patternFill>
              </fill>
            </x14:dxf>
          </x14:cfRule>
          <xm:sqref>F1:XFD70 A1:E1048576 G71:XFD71 F72:XFD1048576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8" tint="0.79998168889431442"/>
  </sheetPr>
  <dimension ref="A1:CK1048571"/>
  <sheetViews>
    <sheetView showGridLines="0" zoomScale="85" zoomScaleNormal="85" workbookViewId="0">
      <pane xSplit="4" ySplit="7" topLeftCell="E59" activePane="bottomRight" state="frozen"/>
      <selection activeCell="D7" sqref="D7:I7"/>
      <selection pane="topRight" activeCell="D7" sqref="D7:I7"/>
      <selection pane="bottomLeft" activeCell="D7" sqref="D7:I7"/>
      <selection pane="bottomRight" activeCell="G54" sqref="G54"/>
    </sheetView>
  </sheetViews>
  <sheetFormatPr defaultColWidth="8.5703125" defaultRowHeight="15"/>
  <cols>
    <col min="1" max="1" width="20.85546875" style="53" customWidth="1"/>
    <col min="2" max="2" width="35.640625" style="53" bestFit="1" customWidth="1"/>
    <col min="3" max="3" width="12.5703125" style="53" bestFit="1" customWidth="1"/>
    <col min="4" max="4" width="12.0703125" style="53" customWidth="1"/>
    <col min="5" max="5" width="15.35546875" style="53" bestFit="1" customWidth="1"/>
    <col min="6" max="6" width="13.35546875" style="53" bestFit="1" customWidth="1"/>
    <col min="7" max="7" width="12.140625" style="53" bestFit="1" customWidth="1"/>
    <col min="8" max="8" width="17.0703125" style="53" bestFit="1" customWidth="1"/>
    <col min="9" max="9" width="10.85546875" style="53" bestFit="1" customWidth="1"/>
    <col min="10" max="10" width="17.0703125" style="53" bestFit="1" customWidth="1"/>
    <col min="11" max="11" width="11.85546875" style="53" bestFit="1" customWidth="1"/>
    <col min="12" max="12" width="15.35546875" style="53" bestFit="1" customWidth="1"/>
    <col min="13" max="13" width="10.85546875" style="53" bestFit="1" customWidth="1"/>
    <col min="14" max="14" width="13.35546875" style="53" bestFit="1" customWidth="1"/>
    <col min="15" max="15" width="12.140625" style="53" bestFit="1" customWidth="1"/>
    <col min="16" max="16" width="13.35546875" style="53" bestFit="1" customWidth="1"/>
    <col min="17" max="17" width="10.85546875" style="53" bestFit="1" customWidth="1"/>
    <col min="18" max="18" width="15.35546875" style="53" bestFit="1" customWidth="1"/>
    <col min="19" max="19" width="10.85546875" style="53" bestFit="1" customWidth="1"/>
    <col min="20" max="20" width="15.35546875" style="53" bestFit="1" customWidth="1"/>
    <col min="21" max="21" width="6.35546875" style="53" bestFit="1" customWidth="1"/>
    <col min="22" max="22" width="11.85546875" style="53" bestFit="1" customWidth="1"/>
    <col min="23" max="23" width="15.35546875" style="53" bestFit="1" customWidth="1"/>
    <col min="24" max="24" width="10.85546875" style="53" bestFit="1" customWidth="1"/>
    <col min="25" max="25" width="11.5703125" style="53" bestFit="1" customWidth="1"/>
    <col min="26" max="26" width="11.5703125" style="53" customWidth="1"/>
    <col min="27" max="27" width="14.5" style="53" bestFit="1" customWidth="1"/>
    <col min="28" max="28" width="16.140625" style="53" bestFit="1" customWidth="1"/>
    <col min="29" max="29" width="13.35546875" style="53" bestFit="1" customWidth="1"/>
    <col min="30" max="30" width="11.85546875" style="53" bestFit="1" customWidth="1"/>
    <col min="31" max="31" width="25.35546875" style="53" bestFit="1" customWidth="1"/>
    <col min="32" max="32" width="9.640625" style="53" bestFit="1" customWidth="1"/>
    <col min="33" max="33" width="23.5" style="53" bestFit="1" customWidth="1"/>
    <col min="34" max="35" width="11.85546875" style="53" bestFit="1" customWidth="1"/>
    <col min="36" max="36" width="13.35546875" style="53" bestFit="1" customWidth="1"/>
    <col min="37" max="38" width="13.35546875" style="53" customWidth="1"/>
    <col min="39" max="39" width="12.140625" style="53" bestFit="1" customWidth="1"/>
    <col min="40" max="40" width="13.35546875" style="53" bestFit="1" customWidth="1"/>
    <col min="41" max="41" width="9.640625" style="53" bestFit="1" customWidth="1"/>
    <col min="42" max="42" width="13.35546875" style="53" bestFit="1" customWidth="1"/>
    <col min="43" max="43" width="10.85546875" style="53" bestFit="1" customWidth="1"/>
    <col min="44" max="44" width="13.35546875" style="53" bestFit="1" customWidth="1"/>
    <col min="45" max="45" width="10.85546875" style="53" bestFit="1" customWidth="1"/>
    <col min="46" max="47" width="13.35546875" style="53" bestFit="1" customWidth="1"/>
    <col min="48" max="48" width="10.85546875" style="53" bestFit="1" customWidth="1"/>
    <col min="49" max="49" width="13.35546875" style="53" bestFit="1" customWidth="1"/>
    <col min="50" max="50" width="11.85546875" style="53" bestFit="1" customWidth="1"/>
    <col min="51" max="51" width="13.35546875" style="53" bestFit="1" customWidth="1"/>
    <col min="52" max="52" width="12.140625" style="53" bestFit="1" customWidth="1"/>
    <col min="53" max="53" width="22.5703125" style="53" bestFit="1" customWidth="1"/>
    <col min="54" max="55" width="10.85546875" style="53" bestFit="1" customWidth="1"/>
    <col min="56" max="56" width="11.85546875" style="53" bestFit="1" customWidth="1"/>
    <col min="57" max="57" width="10.85546875" style="53" bestFit="1" customWidth="1"/>
    <col min="58" max="59" width="13.35546875" style="53" bestFit="1" customWidth="1"/>
    <col min="60" max="60" width="11.85546875" style="53" bestFit="1" customWidth="1"/>
    <col min="61" max="61" width="8.35546875" style="53" bestFit="1" customWidth="1"/>
    <col min="62" max="62" width="11.85546875" style="53" bestFit="1" customWidth="1"/>
    <col min="63" max="63" width="13.35546875" style="53" bestFit="1" customWidth="1"/>
    <col min="64" max="64" width="15.35546875" style="53" bestFit="1" customWidth="1"/>
    <col min="65" max="66" width="13.35546875" style="53" bestFit="1" customWidth="1"/>
    <col min="67" max="67" width="9.640625" style="53" bestFit="1" customWidth="1"/>
    <col min="68" max="68" width="17.0703125" style="53" bestFit="1" customWidth="1"/>
    <col min="69" max="69" width="13.35546875" style="53" bestFit="1" customWidth="1"/>
    <col min="70" max="70" width="11.85546875" style="53" bestFit="1" customWidth="1"/>
    <col min="71" max="72" width="15.35546875" style="53" bestFit="1" customWidth="1"/>
    <col min="73" max="73" width="12.140625" style="53" bestFit="1" customWidth="1"/>
    <col min="74" max="75" width="13.35546875" style="53" bestFit="1" customWidth="1"/>
    <col min="76" max="76" width="15.35546875" style="53" bestFit="1" customWidth="1"/>
    <col min="77" max="77" width="2.0703125" style="55" bestFit="1" customWidth="1"/>
    <col min="78" max="79" width="16.140625" style="55" customWidth="1"/>
    <col min="80" max="80" width="14" style="55" customWidth="1"/>
    <col min="81" max="84" width="2.0703125" style="55" customWidth="1"/>
    <col min="85" max="87" width="12.140625" style="53" bestFit="1" customWidth="1"/>
    <col min="88" max="16384" width="8.5703125" style="53"/>
  </cols>
  <sheetData>
    <row r="1" spans="1:89">
      <c r="D1" s="699" t="s">
        <v>1459</v>
      </c>
      <c r="E1" s="713" t="s">
        <v>764</v>
      </c>
      <c r="F1" s="713" t="s">
        <v>765</v>
      </c>
      <c r="G1" s="713" t="s">
        <v>767</v>
      </c>
      <c r="H1" s="713" t="s">
        <v>768</v>
      </c>
      <c r="I1" s="713" t="s">
        <v>770</v>
      </c>
      <c r="J1" s="713" t="s">
        <v>771</v>
      </c>
      <c r="K1" s="713" t="s">
        <v>773</v>
      </c>
      <c r="L1" s="713" t="s">
        <v>774</v>
      </c>
      <c r="M1" s="713" t="s">
        <v>788</v>
      </c>
      <c r="N1" s="713" t="s">
        <v>786</v>
      </c>
      <c r="O1" s="713" t="s">
        <v>789</v>
      </c>
      <c r="P1" s="713" t="s">
        <v>790</v>
      </c>
      <c r="Q1" s="713" t="s">
        <v>792</v>
      </c>
      <c r="R1" s="713" t="s">
        <v>793</v>
      </c>
      <c r="S1" s="713" t="s">
        <v>1300</v>
      </c>
      <c r="T1" s="713" t="s">
        <v>1302</v>
      </c>
      <c r="U1" s="713" t="s">
        <v>799</v>
      </c>
      <c r="V1" s="713" t="s">
        <v>776</v>
      </c>
      <c r="W1" s="713" t="s">
        <v>777</v>
      </c>
      <c r="X1" s="713" t="s">
        <v>779</v>
      </c>
      <c r="Y1" s="713" t="s">
        <v>782</v>
      </c>
      <c r="Z1" s="713" t="s">
        <v>1711</v>
      </c>
      <c r="AA1" s="747" t="s">
        <v>1579</v>
      </c>
      <c r="AB1" s="713" t="s">
        <v>780</v>
      </c>
      <c r="AC1" s="713" t="s">
        <v>784</v>
      </c>
      <c r="AD1" s="713" t="s">
        <v>827</v>
      </c>
      <c r="AE1" s="713" t="s">
        <v>1719</v>
      </c>
      <c r="AF1" s="713" t="s">
        <v>828</v>
      </c>
      <c r="AG1" s="713" t="s">
        <v>1717</v>
      </c>
      <c r="AH1" s="713" t="s">
        <v>1432</v>
      </c>
      <c r="AI1" s="713" t="s">
        <v>1430</v>
      </c>
      <c r="AJ1" s="713" t="s">
        <v>1304</v>
      </c>
      <c r="AK1" s="906">
        <v>20200</v>
      </c>
      <c r="AL1" s="906">
        <v>20300</v>
      </c>
      <c r="AM1" s="713" t="s">
        <v>803</v>
      </c>
      <c r="AN1" s="713" t="s">
        <v>804</v>
      </c>
      <c r="AO1" s="713" t="s">
        <v>806</v>
      </c>
      <c r="AP1" s="713" t="s">
        <v>807</v>
      </c>
      <c r="AQ1" s="713" t="s">
        <v>809</v>
      </c>
      <c r="AR1" s="713" t="s">
        <v>810</v>
      </c>
      <c r="AS1" s="713" t="s">
        <v>812</v>
      </c>
      <c r="AT1" s="713" t="s">
        <v>813</v>
      </c>
      <c r="AU1" s="713" t="s">
        <v>1307</v>
      </c>
      <c r="AV1" s="713" t="s">
        <v>815</v>
      </c>
      <c r="AW1" s="713" t="s">
        <v>816</v>
      </c>
      <c r="AX1" s="713" t="s">
        <v>1309</v>
      </c>
      <c r="AY1" s="713" t="s">
        <v>1311</v>
      </c>
      <c r="AZ1" s="713" t="s">
        <v>818</v>
      </c>
      <c r="BA1" s="713" t="s">
        <v>819</v>
      </c>
      <c r="BB1" s="713" t="s">
        <v>821</v>
      </c>
      <c r="BC1" s="713" t="s">
        <v>822</v>
      </c>
      <c r="BD1" s="713" t="s">
        <v>823</v>
      </c>
      <c r="BE1" s="713" t="s">
        <v>826</v>
      </c>
      <c r="BF1" s="713" t="s">
        <v>1715</v>
      </c>
      <c r="BG1" s="716" t="s">
        <v>831</v>
      </c>
      <c r="BH1" s="716" t="s">
        <v>832</v>
      </c>
      <c r="BI1" s="716" t="s">
        <v>833</v>
      </c>
      <c r="BJ1" s="716" t="s">
        <v>837</v>
      </c>
      <c r="BK1" s="716" t="s">
        <v>836</v>
      </c>
      <c r="BL1" s="716" t="s">
        <v>840</v>
      </c>
      <c r="BM1" s="716" t="s">
        <v>841</v>
      </c>
      <c r="BN1" s="716" t="s">
        <v>835</v>
      </c>
      <c r="BO1" s="716" t="s">
        <v>839</v>
      </c>
      <c r="BP1" s="716" t="s">
        <v>1313</v>
      </c>
      <c r="BQ1" s="716" t="s">
        <v>843</v>
      </c>
      <c r="BR1" s="716" t="s">
        <v>851</v>
      </c>
      <c r="BS1" s="716" t="s">
        <v>844</v>
      </c>
      <c r="BT1" s="716" t="s">
        <v>1315</v>
      </c>
      <c r="BU1" s="717" t="s">
        <v>853</v>
      </c>
      <c r="BV1" s="717" t="s">
        <v>855</v>
      </c>
      <c r="BW1" s="717" t="s">
        <v>857</v>
      </c>
      <c r="BX1" s="717" t="s">
        <v>864</v>
      </c>
    </row>
    <row r="2" spans="1:89">
      <c r="D2" s="699" t="s">
        <v>1460</v>
      </c>
      <c r="E2" s="713" t="str">
        <f>VLOOKUP(E$1,BS!$B$4:$F$102,2,0)</f>
        <v>현금및현금성자산</v>
      </c>
      <c r="F2" s="713" t="str">
        <f>VLOOKUP(F$1,BS!$B$4:$F$102,2,0)</f>
        <v>단기금융상품</v>
      </c>
      <c r="G2" s="713" t="str">
        <f>VLOOKUP(G$1,BS!$B$4:$F$102,2,0)</f>
        <v>매출채권</v>
      </c>
      <c r="H2" s="713" t="str">
        <f>VLOOKUP(H$1,BS!$B$4:$F$102,2,0)</f>
        <v>매출채권대손충당금</v>
      </c>
      <c r="I2" s="713" t="str">
        <f>VLOOKUP(I$1,BS!$B$4:$F$102,2,0)</f>
        <v>미수수익</v>
      </c>
      <c r="J2" s="713" t="str">
        <f>VLOOKUP(J$1,BS!$B$4:$F$102,2,0)</f>
        <v>미수수익대손충당금</v>
      </c>
      <c r="K2" s="713" t="str">
        <f>VLOOKUP(K$1,BS!$B$4:$F$102,2,0)</f>
        <v>미수금</v>
      </c>
      <c r="L2" s="713" t="str">
        <f>VLOOKUP(L$1,BS!$B$4:$F$102,2,0)</f>
        <v>미수금대손충당금</v>
      </c>
      <c r="M2" s="713" t="str">
        <f>VLOOKUP(M$1,BS!$B$4:$F$102,2,0)</f>
        <v>상품</v>
      </c>
      <c r="N2" s="713" t="str">
        <f>VLOOKUP(N$1,BS!$B$4:$F$102,2,0)</f>
        <v>상품평가충당금</v>
      </c>
      <c r="O2" s="713" t="str">
        <f>VLOOKUP(O$1,BS!$B$4:$F$102,2,0)</f>
        <v>제품</v>
      </c>
      <c r="P2" s="713" t="str">
        <f>VLOOKUP(P$1,BS!$B$4:$F$102,2,0)</f>
        <v>제품평가충당금</v>
      </c>
      <c r="Q2" s="713" t="str">
        <f>VLOOKUP(Q$1,BS!$B$4:$F$102,2,0)</f>
        <v>원재료</v>
      </c>
      <c r="R2" s="713" t="str">
        <f>VLOOKUP(R$1,BS!$B$4:$F$102,2,0)</f>
        <v>원재료평가충당금</v>
      </c>
      <c r="S2" s="713" t="str">
        <f>VLOOKUP(S$1,BS!$B$4:$F$102,2,0)</f>
        <v>부재료</v>
      </c>
      <c r="T2" s="713" t="str">
        <f>VLOOKUP(T$1,BS!$B$4:$F$102,2,0)</f>
        <v>부재료평가충당금</v>
      </c>
      <c r="U2" s="713" t="str">
        <f>VLOOKUP(U$1,BS!$B$4:$F$102,2,0)</f>
        <v>재공품</v>
      </c>
      <c r="V2" s="713" t="str">
        <f>VLOOKUP(V$1,BS!$B$4:$F$102,2,0)</f>
        <v>선급금</v>
      </c>
      <c r="W2" s="713" t="str">
        <f>VLOOKUP(W$1,BS!$B$4:$F$102,2,0)</f>
        <v>선급금대손충당금</v>
      </c>
      <c r="X2" s="713" t="str">
        <f>VLOOKUP(X$1,BS!$B$4:$F$102,2,0)</f>
        <v>선급비용</v>
      </c>
      <c r="Y2" s="713" t="str">
        <f>VLOOKUP(Y$1,BS!$B$4:$F$102,2,0)</f>
        <v>부가세대급금</v>
      </c>
      <c r="Z2" s="713" t="str">
        <f>VLOOKUP(Z$1,BS!$B$4:$F$102,2,0)</f>
        <v>환불자산</v>
      </c>
      <c r="AA2" s="713" t="str">
        <f>VLOOKUP(AA$1,BS!$B$4:$F$102,2,0)</f>
        <v>임차보증금(유동)</v>
      </c>
      <c r="AB2" s="713" t="str">
        <f>VLOOKUP(AB$1,BS!$B$4:$F$102,2,0)</f>
        <v xml:space="preserve"> 주 . 임.종단기채권</v>
      </c>
      <c r="AC2" s="713" t="str">
        <f>VLOOKUP(AC$1,BS!$B$4:$F$102,2,0)</f>
        <v>당기법인세자산</v>
      </c>
      <c r="AD2" s="713" t="str">
        <f>VLOOKUP(AD$1,BS!$B$4:$F$102,2,0)</f>
        <v>임차보증금</v>
      </c>
      <c r="AE2" s="713" t="str">
        <f>VLOOKUP(AE$1,BS!$B$4:$F$102,2,0)</f>
        <v>임차보증금_현재가치할인차금</v>
      </c>
      <c r="AF2" s="713" t="str">
        <f>VLOOKUP(AF$1,BS!$B$4:$F$102,2,0)</f>
        <v>기타보증금</v>
      </c>
      <c r="AG2" s="713" t="str">
        <f>VLOOKUP(AG$1,BS!$B$4:$F$102,2,0)</f>
        <v>당기손익-공정가치금융자산</v>
      </c>
      <c r="AH2" s="713" t="str">
        <f>VLOOKUP(AH$1,BS!$B$4:$F$102,2,0)</f>
        <v>종속기업투자</v>
      </c>
      <c r="AI2" s="713" t="str">
        <f>VLOOKUP(AI$1,BS!$B$4:$F$102,2,0)</f>
        <v>관계기업투자</v>
      </c>
      <c r="AJ2" s="713" t="str">
        <f>VLOOKUP(AJ$1,BS!$B$4:$F$102,2,0)</f>
        <v>토지</v>
      </c>
      <c r="AK2" s="713" t="str">
        <f>VLOOKUP(AK$1,BS!$B$4:$F$102,2,0)</f>
        <v>건물</v>
      </c>
      <c r="AL2" s="713" t="str">
        <f>VLOOKUP(AL$1,BS!$B$4:$F$102,2,0)</f>
        <v>감가상각누계액</v>
      </c>
      <c r="AM2" s="713" t="str">
        <f>VLOOKUP(AM$1,BS!$B$4:$F$102,2,0)</f>
        <v>기계장치</v>
      </c>
      <c r="AN2" s="713" t="str">
        <f>VLOOKUP(AN$1,BS!$B$4:$F$102,2,0)</f>
        <v>감가상각누계액</v>
      </c>
      <c r="AO2" s="713" t="str">
        <f>VLOOKUP(AO$1,BS!$B$4:$F$102,2,0)</f>
        <v>차량운반구</v>
      </c>
      <c r="AP2" s="713" t="str">
        <f>VLOOKUP(AP$1,BS!$B$4:$F$102,2,0)</f>
        <v>감가상각누계액</v>
      </c>
      <c r="AQ2" s="713" t="str">
        <f>VLOOKUP(AQ$1,BS!$B$4:$F$102,2,0)</f>
        <v>공구와기구</v>
      </c>
      <c r="AR2" s="713" t="str">
        <f>VLOOKUP(AR$1,BS!$B$4:$F$102,2,0)</f>
        <v>감가상각누계액</v>
      </c>
      <c r="AS2" s="713" t="str">
        <f>VLOOKUP(AS$1,BS!$B$4:$F$102,2,0)</f>
        <v>집기비품</v>
      </c>
      <c r="AT2" s="713" t="str">
        <f>VLOOKUP(AT$1,BS!$B$4:$F$102,2,0)</f>
        <v>감가상각누계액</v>
      </c>
      <c r="AU2" s="713" t="str">
        <f>VLOOKUP(AU$1,BS!$B$4:$F$102,2,0)</f>
        <v>건설중인자산</v>
      </c>
      <c r="AV2" s="713" t="str">
        <f>VLOOKUP(AV$1,BS!$B$4:$F$102,2,0)</f>
        <v>인테리어</v>
      </c>
      <c r="AW2" s="713" t="str">
        <f>VLOOKUP(AW$1,BS!$B$4:$F$102,2,0)</f>
        <v>감가상각누계액</v>
      </c>
      <c r="AX2" s="713" t="str">
        <f>VLOOKUP(AX$1,BS!$B$4:$F$102,2,0)</f>
        <v>시설장치</v>
      </c>
      <c r="AY2" s="713" t="str">
        <f>VLOOKUP(AY$1,BS!$B$4:$F$102,2,0)</f>
        <v>감가상각누계액</v>
      </c>
      <c r="AZ2" s="713" t="str">
        <f>VLOOKUP(AZ$1,BS!$B$4:$F$102,2,0)</f>
        <v>사용권자산</v>
      </c>
      <c r="BA2" s="713" t="str">
        <f>VLOOKUP(BA$1,BS!$B$4:$F$102,2,0)</f>
        <v>사용권자산감가상각누계액</v>
      </c>
      <c r="BB2" s="713" t="str">
        <f>VLOOKUP(BB$1,BS!$B$4:$F$102,2,0)</f>
        <v>특허권</v>
      </c>
      <c r="BC2" s="713" t="str">
        <f>VLOOKUP(BC$1,BS!$B$4:$F$102,2,0)</f>
        <v>상표권</v>
      </c>
      <c r="BD2" s="713" t="str">
        <f>VLOOKUP(BD$1,BS!$B$4:$F$102,2,0)</f>
        <v>개발비</v>
      </c>
      <c r="BE2" s="713" t="str">
        <f>VLOOKUP(BE$1,BS!$B$4:$F$102,2,0)</f>
        <v>소프트웨어</v>
      </c>
      <c r="BF2" s="713" t="str">
        <f>VLOOKUP(BF$1,BS!$B$4:$F$102,2,0)</f>
        <v>이연법인세자산</v>
      </c>
      <c r="BG2" s="716" t="str">
        <f>VLOOKUP(BG$1,BS!$B$4:$F$102,2,0)</f>
        <v>매입채무</v>
      </c>
      <c r="BH2" s="716" t="str">
        <f>VLOOKUP(BH$1,BS!$B$4:$F$102,2,0)</f>
        <v>미지급금</v>
      </c>
      <c r="BI2" s="716" t="str">
        <f>VLOOKUP(BI$1,BS!$B$4:$F$102,2,0)</f>
        <v>예수금</v>
      </c>
      <c r="BJ2" s="716" t="str">
        <f>VLOOKUP(BJ$1,BS!$B$4:$F$102,2,0)</f>
        <v>미지급비용</v>
      </c>
      <c r="BK2" s="716" t="str">
        <f>VLOOKUP(BK$1,BS!$B$4:$F$102,2,0)</f>
        <v>단기차입금</v>
      </c>
      <c r="BL2" s="716" t="str">
        <f>VLOOKUP(BL$1,BS!$B$4:$F$102,2,0)</f>
        <v>유동성장기차입금</v>
      </c>
      <c r="BM2" s="716" t="str">
        <f>VLOOKUP(BM$1,BS!$B$4:$F$102,2,0)</f>
        <v>유동성리스부채</v>
      </c>
      <c r="BN2" s="716" t="str">
        <f>VLOOKUP(BN$1,BS!$B$4:$F$102,2,0)</f>
        <v>선수금</v>
      </c>
      <c r="BO2" s="716" t="str">
        <f>VLOOKUP(BO$1,BS!$B$4:$F$102,2,0)</f>
        <v>환불부채</v>
      </c>
      <c r="BP2" s="716" t="str">
        <f>VLOOKUP(BP$1,BS!$B$4:$F$102,2,0)</f>
        <v>장기종업원급여부채</v>
      </c>
      <c r="BQ2" s="716" t="str">
        <f>VLOOKUP(BQ$1,BS!$B$4:$F$102,2,0)</f>
        <v>장기차입금</v>
      </c>
      <c r="BR2" s="716" t="str">
        <f>VLOOKUP(BR$1,BS!$B$4:$F$102,2,0)</f>
        <v>리스부채</v>
      </c>
      <c r="BS2" s="716" t="str">
        <f>VLOOKUP(BS$1,BS!$B$4:$F$102,2,0)</f>
        <v>퇴직급여충당부채</v>
      </c>
      <c r="BT2" s="716" t="str">
        <f>VLOOKUP(BT$1,BS!$B$4:$F$102,2,0)</f>
        <v>퇴직연금운용자산</v>
      </c>
      <c r="BU2" s="717" t="str">
        <f>VLOOKUP(BU$1,BS!$B$4:$F$102,2,0)</f>
        <v>보통주자본금</v>
      </c>
      <c r="BV2" s="717" t="str">
        <f>VLOOKUP(BV$1,BS!$B$4:$F$102,2,0)</f>
        <v>주식발행초과금</v>
      </c>
      <c r="BW2" s="717" t="str">
        <f>VLOOKUP(BW$1,BS!$B$4:$F$102,2,0)</f>
        <v>주식매수선택권</v>
      </c>
      <c r="BX2" s="717" t="str">
        <f>VLOOKUP(BX$1,BS!$B$4:$F$102,2,0)</f>
        <v>처분전이익잉여금</v>
      </c>
      <c r="CG2" s="714" t="s">
        <v>1166</v>
      </c>
      <c r="CH2" s="714" t="s">
        <v>1180</v>
      </c>
      <c r="CI2" s="714" t="s">
        <v>121</v>
      </c>
    </row>
    <row r="3" spans="1:89">
      <c r="D3" s="698">
        <v>45657</v>
      </c>
      <c r="E3" s="324">
        <f>VLOOKUP(E$1,BS!$B$4:$F$102,5,0)</f>
        <v>19169211185</v>
      </c>
      <c r="F3" s="324">
        <f>VLOOKUP(F$1,BS!$B$4:$F$102,5,0)</f>
        <v>0</v>
      </c>
      <c r="G3" s="324">
        <f>VLOOKUP(G$1,BS!$B$4:$F$102,5,0)</f>
        <v>1998788804</v>
      </c>
      <c r="H3" s="324">
        <f>VLOOKUP(H$1,BS!$B$4:$F$102,5,0)</f>
        <v>-188230079</v>
      </c>
      <c r="I3" s="324">
        <f>VLOOKUP(I$1,BS!$B$4:$F$102,5,0)</f>
        <v>0</v>
      </c>
      <c r="J3" s="324">
        <f>VLOOKUP(J$1,BS!$B$4:$F$102,5,0)</f>
        <v>0</v>
      </c>
      <c r="K3" s="324">
        <f>VLOOKUP(K$1,BS!$B$4:$F$102,5,0)</f>
        <v>265023260</v>
      </c>
      <c r="L3" s="324">
        <f>VLOOKUP(L$1,BS!$B$4:$F$102,5,0)</f>
        <v>-27139000</v>
      </c>
      <c r="M3" s="324">
        <f>VLOOKUP(M$1,BS!$B$4:$F$102,5,0)</f>
        <v>42227029</v>
      </c>
      <c r="N3" s="324">
        <f>VLOOKUP(N$1,BS!$B$4:$F$102,5,0)</f>
        <v>-14089</v>
      </c>
      <c r="O3" s="324">
        <f>VLOOKUP(O$1,BS!$B$4:$F$102,5,0)</f>
        <v>2349819825</v>
      </c>
      <c r="P3" s="324">
        <f>VLOOKUP(P$1,BS!$B$4:$F$102,5,0)</f>
        <v>-725171962</v>
      </c>
      <c r="Q3" s="324">
        <f>VLOOKUP(Q$1,BS!$B$4:$F$102,5,0)</f>
        <v>354984836</v>
      </c>
      <c r="R3" s="324">
        <f>VLOOKUP(R$1,BS!$B$4:$F$102,5,0)</f>
        <v>-34479470</v>
      </c>
      <c r="S3" s="324">
        <f>VLOOKUP(S$1,BS!$B$4:$F$102,5,0)</f>
        <v>49267189</v>
      </c>
      <c r="T3" s="324">
        <f>VLOOKUP(T$1,BS!$B$4:$F$102,5,0)</f>
        <v>-2358686</v>
      </c>
      <c r="U3" s="324">
        <f>VLOOKUP(U$1,BS!$B$4:$F$102,5,0)</f>
        <v>0</v>
      </c>
      <c r="V3" s="324">
        <f>VLOOKUP(V$1,BS!$B$4:$F$102,5,0)</f>
        <v>2254829529</v>
      </c>
      <c r="W3" s="324">
        <f>VLOOKUP(W$1,BS!$B$4:$F$102,5,0)</f>
        <v>0</v>
      </c>
      <c r="X3" s="324">
        <f>VLOOKUP(X$1,BS!$B$4:$F$102,5,0)</f>
        <v>473315521</v>
      </c>
      <c r="Y3" s="324">
        <f>VLOOKUP(Y$1,BS!$B$4:$F$102,5,0)</f>
        <v>0</v>
      </c>
      <c r="Z3" s="324">
        <f>VLOOKUP(Z$1,BS!$B$4:$F$102,5,0)</f>
        <v>7692640</v>
      </c>
      <c r="AA3" s="324">
        <f>VLOOKUP(AA$1,BS!$B$4:$F$102,5,0)</f>
        <v>0</v>
      </c>
      <c r="AB3" s="324">
        <f>VLOOKUP(AB$1,BS!$B$4:$F$102,5,0)</f>
        <v>1250001</v>
      </c>
      <c r="AC3" s="324">
        <f>VLOOKUP(AC$1,BS!$B$4:$F$102,5,0)</f>
        <v>7479410</v>
      </c>
      <c r="AD3" s="324">
        <f>VLOOKUP(AD$1,BS!$B$4:$F$102,5,0)</f>
        <v>413778000</v>
      </c>
      <c r="AE3" s="324">
        <f>VLOOKUP(AE$1,BS!$B$4:$F$102,5,0)</f>
        <v>-35581895</v>
      </c>
      <c r="AF3" s="324">
        <f>VLOOKUP(AF$1,BS!$B$4:$F$102,5,0)</f>
        <v>10024170</v>
      </c>
      <c r="AG3" s="324">
        <f>VLOOKUP(AG$1,BS!$B$4:$F$102,5,0)</f>
        <v>172664940</v>
      </c>
      <c r="AH3" s="324">
        <f>VLOOKUP(AH$1,BS!$B$4:$F$102,5,0)</f>
        <v>348225681</v>
      </c>
      <c r="AI3" s="324">
        <f>VLOOKUP(AI$1,BS!$B$4:$F$102,5,0)</f>
        <v>16999999500</v>
      </c>
      <c r="AJ3" s="324">
        <f>VLOOKUP(AJ$1,BS!$B$4:$F$102,5,0)</f>
        <v>557640020</v>
      </c>
      <c r="AK3" s="324">
        <f>VLOOKUP(AK$1,BS!$B$4:$F$102,5,0)</f>
        <v>1355889942</v>
      </c>
      <c r="AL3" s="324">
        <f>VLOOKUP(AL$1,BS!$B$4:$F$102,5,0)</f>
        <v>-31072481</v>
      </c>
      <c r="AM3" s="324">
        <f>VLOOKUP(AM$1,BS!$B$4:$F$102,5,0)</f>
        <v>1819453967</v>
      </c>
      <c r="AN3" s="324">
        <f>VLOOKUP(AN$1,BS!$B$4:$F$102,5,0)</f>
        <v>-1210652849</v>
      </c>
      <c r="AO3" s="324">
        <f>VLOOKUP(AO$1,BS!$B$4:$F$102,5,0)</f>
        <v>7974819</v>
      </c>
      <c r="AP3" s="324">
        <f>VLOOKUP(AP$1,BS!$B$4:$F$102,5,0)</f>
        <v>-7972819</v>
      </c>
      <c r="AQ3" s="324">
        <f>VLOOKUP(AQ$1,BS!$B$4:$F$102,5,0)</f>
        <v>131100000</v>
      </c>
      <c r="AR3" s="324">
        <f>VLOOKUP(AR$1,BS!$B$4:$F$102,5,0)</f>
        <v>-58155206</v>
      </c>
      <c r="AS3" s="324">
        <f>VLOOKUP(AS$1,BS!$B$4:$F$102,5,0)</f>
        <v>392461239</v>
      </c>
      <c r="AT3" s="324">
        <f>VLOOKUP(AT$1,BS!$B$4:$F$102,5,0)</f>
        <v>-341221676</v>
      </c>
      <c r="AU3" s="324">
        <f>VLOOKUP(AU$1,BS!$B$4:$F$102,5,0)</f>
        <v>4039985025</v>
      </c>
      <c r="AV3" s="324">
        <f>VLOOKUP(AV$1,BS!$B$4:$F$102,5,0)</f>
        <v>218118382</v>
      </c>
      <c r="AW3" s="324">
        <f>VLOOKUP(AW$1,BS!$B$4:$F$102,5,0)</f>
        <v>-217473398</v>
      </c>
      <c r="AX3" s="324">
        <f>VLOOKUP(AX$1,BS!$B$4:$F$102,5,0)</f>
        <v>473450000</v>
      </c>
      <c r="AY3" s="324">
        <f>VLOOKUP(AY$1,BS!$B$4:$F$102,5,0)</f>
        <v>-85582504</v>
      </c>
      <c r="AZ3" s="324">
        <f>VLOOKUP(AZ$1,BS!$B$4:$F$102,5,0)</f>
        <v>1784674683</v>
      </c>
      <c r="BA3" s="324">
        <f>VLOOKUP(BA$1,BS!$B$4:$F$102,5,0)</f>
        <v>-145809800</v>
      </c>
      <c r="BB3" s="324">
        <f>VLOOKUP(BB$1,BS!$B$4:$F$102,5,0)</f>
        <v>18182933</v>
      </c>
      <c r="BC3" s="324">
        <f>VLOOKUP(BC$1,BS!$B$4:$F$102,5,0)</f>
        <v>19838530</v>
      </c>
      <c r="BD3" s="324">
        <f>VLOOKUP(BD$1,BS!$B$4:$F$102,5,0)</f>
        <v>0</v>
      </c>
      <c r="BE3" s="324">
        <f>VLOOKUP(BE$1,BS!$B$4:$F$102,5,0)</f>
        <v>12347287</v>
      </c>
      <c r="BF3" s="324">
        <f>VLOOKUP(BF$1,BS!$B$4:$F$102,5,0)</f>
        <v>2555104971</v>
      </c>
      <c r="BG3" s="324">
        <f>VLOOKUP(BG$1,BS!$B$4:$F$102,5,0)</f>
        <v>545684916</v>
      </c>
      <c r="BH3" s="324">
        <f>VLOOKUP(BH$1,BS!$B$4:$F$102,5,0)</f>
        <v>293009113</v>
      </c>
      <c r="BI3" s="324">
        <f>VLOOKUP(BI$1,BS!$B$4:$F$102,5,0)</f>
        <v>0</v>
      </c>
      <c r="BJ3" s="324">
        <f>VLOOKUP(BJ$1,BS!$B$4:$F$102,5,0)</f>
        <v>746061838</v>
      </c>
      <c r="BK3" s="324">
        <f>VLOOKUP(BK$1,BS!$B$4:$F$102,5,0)</f>
        <v>1120000000</v>
      </c>
      <c r="BL3" s="324">
        <f>VLOOKUP(BL$1,BS!$B$4:$F$102,5,0)</f>
        <v>83300000</v>
      </c>
      <c r="BM3" s="324">
        <f>VLOOKUP(BM$1,BS!$B$4:$F$102,5,0)</f>
        <v>545986082</v>
      </c>
      <c r="BN3" s="324">
        <f>VLOOKUP(BN$1,BS!$B$4:$F$102,5,0)</f>
        <v>2443300145</v>
      </c>
      <c r="BO3" s="324">
        <f>VLOOKUP(BO$1,BS!$B$4:$F$102,5,0)</f>
        <v>17343122</v>
      </c>
      <c r="BP3" s="324">
        <f>VLOOKUP(BP$1,BS!$B$4:$F$102,5,0)</f>
        <v>173088026</v>
      </c>
      <c r="BQ3" s="324">
        <f>VLOOKUP(BQ$1,BS!$B$4:$F$102,5,0)</f>
        <v>4100000000</v>
      </c>
      <c r="BR3" s="324">
        <f>VLOOKUP(BR$1,BS!$B$4:$F$102,5,0)</f>
        <v>1049272823</v>
      </c>
      <c r="BS3" s="324">
        <f>VLOOKUP(BS$1,BS!$B$4:$F$102,5,0)</f>
        <v>1587206234</v>
      </c>
      <c r="BT3" s="324">
        <f>VLOOKUP(BT$1,BS!$B$4:$F$102,5,0)</f>
        <v>0</v>
      </c>
      <c r="BU3" s="324">
        <f>VLOOKUP(BU$1,BS!$B$4:$F$102,5,0)</f>
        <v>5691191500</v>
      </c>
      <c r="BV3" s="324">
        <f>VLOOKUP(BV$1,BS!$B$4:$F$102,5,0)</f>
        <v>45157382298</v>
      </c>
      <c r="BW3" s="324">
        <f>VLOOKUP(BW$1,BS!$B$4:$F$102,5,0)</f>
        <v>424627793</v>
      </c>
      <c r="BX3" s="324">
        <f>VLOOKUP(BX$1,BS!$B$4:$F$102,5,0)</f>
        <v>-8783566486</v>
      </c>
      <c r="CG3" s="715">
        <f>SUM(E3:BF3)</f>
        <v>55193887404</v>
      </c>
      <c r="CH3" s="715">
        <f>SUM(BG3:BT3)</f>
        <v>12704252299</v>
      </c>
      <c r="CI3" s="715">
        <f>SUM(BU3:BX3)</f>
        <v>42489635105</v>
      </c>
      <c r="CJ3" s="53" t="b">
        <f>CG3=CH3+CI3</f>
        <v>1</v>
      </c>
      <c r="CK3" s="53" t="b">
        <f>CG3=BS!F102</f>
        <v>1</v>
      </c>
    </row>
    <row r="4" spans="1:89">
      <c r="D4" s="698">
        <f>C8</f>
        <v>46203</v>
      </c>
      <c r="E4" s="324">
        <f>VLOOKUP(E$1,BS!$B$4:$F$102,4,0)</f>
        <v>10968165061</v>
      </c>
      <c r="F4" s="324">
        <f>VLOOKUP(F$1,BS!$B$4:$F$102,4,0)</f>
        <v>0</v>
      </c>
      <c r="G4" s="324">
        <f>VLOOKUP(G$1,BS!$B$4:$F$102,4,0)</f>
        <v>1535770100</v>
      </c>
      <c r="H4" s="324">
        <f>VLOOKUP(H$1,BS!$B$4:$F$102,4,0)</f>
        <v>-105342662</v>
      </c>
      <c r="I4" s="324">
        <f>VLOOKUP(I$1,BS!$B$4:$F$102,4,0)</f>
        <v>0</v>
      </c>
      <c r="J4" s="324">
        <f>VLOOKUP(J$1,BS!$B$4:$F$102,4,0)</f>
        <v>0</v>
      </c>
      <c r="K4" s="324">
        <f>VLOOKUP(K$1,BS!$B$4:$F$102,4,0)</f>
        <v>261017572</v>
      </c>
      <c r="L4" s="324">
        <f>VLOOKUP(L$1,BS!$B$4:$F$102,4,0)</f>
        <v>-24139000</v>
      </c>
      <c r="M4" s="324">
        <f>VLOOKUP(M$1,BS!$B$4:$F$102,4,0)</f>
        <v>47852743</v>
      </c>
      <c r="N4" s="324">
        <f>VLOOKUP(N$1,BS!$B$4:$F$102,4,0)</f>
        <v>0</v>
      </c>
      <c r="O4" s="324">
        <f>VLOOKUP(O$1,BS!$B$4:$F$102,4,0)</f>
        <v>2534717672</v>
      </c>
      <c r="P4" s="324">
        <f>VLOOKUP(P$1,BS!$B$4:$F$102,4,0)</f>
        <v>-827921741</v>
      </c>
      <c r="Q4" s="324">
        <f>VLOOKUP(Q$1,BS!$B$4:$F$102,4,0)</f>
        <v>464851515</v>
      </c>
      <c r="R4" s="324">
        <f>VLOOKUP(R$1,BS!$B$4:$F$102,4,0)</f>
        <v>-44697318</v>
      </c>
      <c r="S4" s="324">
        <f>VLOOKUP(S$1,BS!$B$4:$F$102,4,0)</f>
        <v>48405072</v>
      </c>
      <c r="T4" s="324">
        <f>VLOOKUP(T$1,BS!$B$4:$F$102,4,0)</f>
        <v>-20598322</v>
      </c>
      <c r="U4" s="324">
        <f>VLOOKUP(U$1,BS!$B$4:$F$102,4,0)</f>
        <v>0</v>
      </c>
      <c r="V4" s="324">
        <f>VLOOKUP(V$1,BS!$B$4:$F$102,4,0)</f>
        <v>394157762</v>
      </c>
      <c r="W4" s="324">
        <f>VLOOKUP(W$1,BS!$B$4:$F$102,4,0)</f>
        <v>0</v>
      </c>
      <c r="X4" s="324">
        <f>VLOOKUP(X$1,BS!$B$4:$F$102,4,0)</f>
        <v>1698698289</v>
      </c>
      <c r="Y4" s="324">
        <f>VLOOKUP(Y$1,BS!$B$4:$F$102,4,0)</f>
        <v>0</v>
      </c>
      <c r="Z4" s="324">
        <f>VLOOKUP(Z$1,BS!$B$4:$F$102,4,0)</f>
        <v>4272227</v>
      </c>
      <c r="AA4" s="324">
        <f>VLOOKUP(AA$1,BS!$B$4:$F$102,4,0)</f>
        <v>0</v>
      </c>
      <c r="AB4" s="324">
        <f>VLOOKUP(AB$1,BS!$B$4:$F$102,4,0)</f>
        <v>0</v>
      </c>
      <c r="AC4" s="324">
        <f>VLOOKUP(AC$1,BS!$B$4:$F$102,4,0)</f>
        <v>2154280</v>
      </c>
      <c r="AD4" s="324">
        <f>VLOOKUP(AD$1,BS!$B$4:$F$102,4,0)</f>
        <v>403800000</v>
      </c>
      <c r="AE4" s="324">
        <f>VLOOKUP(AE$1,BS!$B$4:$F$102,4,0)</f>
        <v>-27853494</v>
      </c>
      <c r="AF4" s="324">
        <f>VLOOKUP(AF$1,BS!$B$4:$F$102,4,0)</f>
        <v>10135870</v>
      </c>
      <c r="AG4" s="324">
        <f>VLOOKUP(AG$1,BS!$B$4:$F$102,4,0)</f>
        <v>172664940</v>
      </c>
      <c r="AH4" s="324">
        <f>VLOOKUP(AH$1,BS!$B$4:$F$102,4,0)</f>
        <v>25348225181</v>
      </c>
      <c r="AI4" s="324">
        <f>VLOOKUP(AI$1,BS!$B$4:$F$102,4,0)</f>
        <v>0</v>
      </c>
      <c r="AJ4" s="324">
        <f>VLOOKUP(AJ$1,BS!$B$4:$F$102,4,0)</f>
        <v>1115280040</v>
      </c>
      <c r="AK4" s="324">
        <f>VLOOKUP(AK$1,BS!$B$4:$F$102,4,0)</f>
        <v>2832428420</v>
      </c>
      <c r="AL4" s="324">
        <f>VLOOKUP(AL$1,BS!$B$4:$F$102,4,0)</f>
        <v>-61959374</v>
      </c>
      <c r="AM4" s="324">
        <f>VLOOKUP(AM$1,BS!$B$4:$F$102,4,0)</f>
        <v>2674264961</v>
      </c>
      <c r="AN4" s="324">
        <f>VLOOKUP(AN$1,BS!$B$4:$F$102,4,0)</f>
        <v>-1323604760</v>
      </c>
      <c r="AO4" s="324">
        <f>VLOOKUP(AO$1,BS!$B$4:$F$102,4,0)</f>
        <v>7974819</v>
      </c>
      <c r="AP4" s="324">
        <f>VLOOKUP(AP$1,BS!$B$4:$F$102,4,0)</f>
        <v>-7972819</v>
      </c>
      <c r="AQ4" s="324">
        <f>VLOOKUP(AQ$1,BS!$B$4:$F$102,4,0)</f>
        <v>131100000</v>
      </c>
      <c r="AR4" s="324">
        <f>VLOOKUP(AR$1,BS!$B$4:$F$102,4,0)</f>
        <v>-67838194</v>
      </c>
      <c r="AS4" s="324">
        <f>VLOOKUP(AS$1,BS!$B$4:$F$102,4,0)</f>
        <v>368187065</v>
      </c>
      <c r="AT4" s="324">
        <f>VLOOKUP(AT$1,BS!$B$4:$F$102,4,0)</f>
        <v>-189699106</v>
      </c>
      <c r="AU4" s="324">
        <f>VLOOKUP(AU$1,BS!$B$4:$F$102,4,0)</f>
        <v>1376213175</v>
      </c>
      <c r="AV4" s="324">
        <f>VLOOKUP(AV$1,BS!$B$4:$F$102,4,0)</f>
        <v>131819200</v>
      </c>
      <c r="AW4" s="324">
        <f>VLOOKUP(AW$1,BS!$B$4:$F$102,4,0)</f>
        <v>-131811200</v>
      </c>
      <c r="AX4" s="324">
        <f>VLOOKUP(AX$1,BS!$B$4:$F$102,4,0)</f>
        <v>972487904</v>
      </c>
      <c r="AY4" s="324">
        <f>VLOOKUP(AY$1,BS!$B$4:$F$102,4,0)</f>
        <v>-169400862</v>
      </c>
      <c r="AZ4" s="324">
        <f>VLOOKUP(AZ$1,BS!$B$4:$F$102,4,0)</f>
        <v>1731999794</v>
      </c>
      <c r="BA4" s="324">
        <f>VLOOKUP(BA$1,BS!$B$4:$F$102,4,0)</f>
        <v>-370585998</v>
      </c>
      <c r="BB4" s="324">
        <f>VLOOKUP(BB$1,BS!$B$4:$F$102,4,0)</f>
        <v>49108768</v>
      </c>
      <c r="BC4" s="324">
        <f>VLOOKUP(BC$1,BS!$B$4:$F$102,4,0)</f>
        <v>23719703</v>
      </c>
      <c r="BD4" s="324">
        <f>VLOOKUP(BD$1,BS!$B$4:$F$102,4,0)</f>
        <v>0</v>
      </c>
      <c r="BE4" s="324">
        <f>VLOOKUP(BE$1,BS!$B$4:$F$102,4,0)</f>
        <v>51893651</v>
      </c>
      <c r="BF4" s="324">
        <f>VLOOKUP(BF$1,BS!$B$4:$F$102,4,0)</f>
        <v>2555104971</v>
      </c>
      <c r="BG4" s="324">
        <f>VLOOKUP(BG$1,BS!$B$4:$F$102,4,0)</f>
        <v>299203820</v>
      </c>
      <c r="BH4" s="324">
        <f>VLOOKUP(BH$1,BS!$B$4:$F$102,4,0)</f>
        <v>207639910</v>
      </c>
      <c r="BI4" s="324">
        <f>VLOOKUP(BI$1,BS!$B$4:$F$102,4,0)</f>
        <v>85200680</v>
      </c>
      <c r="BJ4" s="324">
        <f>VLOOKUP(BJ$1,BS!$B$4:$F$102,4,0)</f>
        <v>2552781060</v>
      </c>
      <c r="BK4" s="324">
        <f>VLOOKUP(BK$1,BS!$B$4:$F$102,4,0)</f>
        <v>1120000000</v>
      </c>
      <c r="BL4" s="324">
        <f>VLOOKUP(BL$1,BS!$B$4:$F$102,4,0)</f>
        <v>0</v>
      </c>
      <c r="BM4" s="324">
        <f>VLOOKUP(BM$1,BS!$B$4:$F$102,4,0)</f>
        <v>537067117</v>
      </c>
      <c r="BN4" s="324">
        <f>VLOOKUP(BN$1,BS!$B$4:$F$102,4,0)</f>
        <v>2215528322</v>
      </c>
      <c r="BO4" s="324">
        <f>VLOOKUP(BO$1,BS!$B$4:$F$102,4,0)</f>
        <v>9395003</v>
      </c>
      <c r="BP4" s="324">
        <f>VLOOKUP(BP$1,BS!$B$4:$F$102,4,0)</f>
        <v>205709924</v>
      </c>
      <c r="BQ4" s="324">
        <f>VLOOKUP(BQ$1,BS!$B$4:$F$102,4,0)</f>
        <v>4100000000</v>
      </c>
      <c r="BR4" s="324">
        <f>VLOOKUP(BR$1,BS!$B$4:$F$102,4,0)</f>
        <v>799358124</v>
      </c>
      <c r="BS4" s="324">
        <f>VLOOKUP(BS$1,BS!$B$4:$F$102,4,0)</f>
        <v>710376650</v>
      </c>
      <c r="BT4" s="324">
        <f>VLOOKUP(BT$1,BS!$B$4:$F$102,4,0)</f>
        <v>0</v>
      </c>
      <c r="BU4" s="324">
        <f>VLOOKUP(BU$1,BS!$B$4:$F$102,4,0)</f>
        <v>5691191500</v>
      </c>
      <c r="BV4" s="324">
        <f>VLOOKUP(BV$1,BS!$B$4:$F$102,4,0)</f>
        <v>45157382298</v>
      </c>
      <c r="BW4" s="324">
        <f>VLOOKUP(BW$1,BS!$B$4:$F$102,4,0)</f>
        <v>424627793</v>
      </c>
      <c r="BX4" s="324">
        <f>VLOOKUP(BX$1,BS!$B$4:$F$102,4,0)</f>
        <v>-9572416296</v>
      </c>
      <c r="CG4" s="715">
        <f>SUM(E4:BF4)</f>
        <v>54543045905</v>
      </c>
      <c r="CH4" s="715">
        <f>SUM(BG4:BT4)</f>
        <v>12842260610</v>
      </c>
      <c r="CI4" s="715">
        <f>SUM(BU4:BX4)</f>
        <v>41700785295</v>
      </c>
      <c r="CJ4" s="53" t="b">
        <f>CG4=CH4+CI4</f>
        <v>1</v>
      </c>
      <c r="CK4" s="53" t="b">
        <f>CG4=BS!E102</f>
        <v>1</v>
      </c>
    </row>
    <row r="5" spans="1:89">
      <c r="D5" s="699" t="s">
        <v>1461</v>
      </c>
      <c r="E5" s="324">
        <f>E3-E4</f>
        <v>8201046124</v>
      </c>
      <c r="F5" s="324">
        <f>F3-F4</f>
        <v>0</v>
      </c>
      <c r="G5" s="324">
        <f t="shared" ref="G5:BF5" si="0">G3-G4</f>
        <v>463018704</v>
      </c>
      <c r="H5" s="324">
        <f t="shared" si="0"/>
        <v>-82887417</v>
      </c>
      <c r="I5" s="324">
        <f t="shared" si="0"/>
        <v>0</v>
      </c>
      <c r="J5" s="324">
        <f t="shared" si="0"/>
        <v>0</v>
      </c>
      <c r="K5" s="324">
        <f t="shared" si="0"/>
        <v>4005688</v>
      </c>
      <c r="L5" s="324">
        <f t="shared" si="0"/>
        <v>-3000000</v>
      </c>
      <c r="M5" s="324">
        <f t="shared" si="0"/>
        <v>-5625714</v>
      </c>
      <c r="N5" s="324">
        <f t="shared" si="0"/>
        <v>-14089</v>
      </c>
      <c r="O5" s="324">
        <f t="shared" si="0"/>
        <v>-184897847</v>
      </c>
      <c r="P5" s="324">
        <f t="shared" si="0"/>
        <v>102749779</v>
      </c>
      <c r="Q5" s="324">
        <f t="shared" si="0"/>
        <v>-109866679</v>
      </c>
      <c r="R5" s="324">
        <f t="shared" si="0"/>
        <v>10217848</v>
      </c>
      <c r="S5" s="324">
        <f t="shared" si="0"/>
        <v>862117</v>
      </c>
      <c r="T5" s="324">
        <f t="shared" si="0"/>
        <v>18239636</v>
      </c>
      <c r="U5" s="324">
        <f t="shared" si="0"/>
        <v>0</v>
      </c>
      <c r="V5" s="324">
        <f t="shared" si="0"/>
        <v>1860671767</v>
      </c>
      <c r="W5" s="324">
        <f t="shared" si="0"/>
        <v>0</v>
      </c>
      <c r="X5" s="324">
        <f t="shared" si="0"/>
        <v>-1225382768</v>
      </c>
      <c r="Y5" s="324">
        <f t="shared" si="0"/>
        <v>0</v>
      </c>
      <c r="Z5" s="324">
        <f t="shared" ref="Z5" si="1">Z3-Z4</f>
        <v>3420413</v>
      </c>
      <c r="AA5" s="324">
        <f t="shared" si="0"/>
        <v>0</v>
      </c>
      <c r="AB5" s="324">
        <f t="shared" si="0"/>
        <v>1250001</v>
      </c>
      <c r="AC5" s="324">
        <f t="shared" si="0"/>
        <v>5325130</v>
      </c>
      <c r="AD5" s="324">
        <f t="shared" si="0"/>
        <v>9978000</v>
      </c>
      <c r="AE5" s="324">
        <f t="shared" si="0"/>
        <v>-7728401</v>
      </c>
      <c r="AF5" s="324">
        <f t="shared" si="0"/>
        <v>-111700</v>
      </c>
      <c r="AG5" s="324">
        <f t="shared" si="0"/>
        <v>0</v>
      </c>
      <c r="AH5" s="324">
        <f t="shared" si="0"/>
        <v>-24999999500</v>
      </c>
      <c r="AI5" s="324">
        <f t="shared" si="0"/>
        <v>16999999500</v>
      </c>
      <c r="AJ5" s="324">
        <f t="shared" si="0"/>
        <v>-557640020</v>
      </c>
      <c r="AK5" s="324">
        <f t="shared" ref="AK5:AL5" si="2">AK3-AK4</f>
        <v>-1476538478</v>
      </c>
      <c r="AL5" s="324">
        <f t="shared" si="2"/>
        <v>30886893</v>
      </c>
      <c r="AM5" s="324">
        <f t="shared" si="0"/>
        <v>-854810994</v>
      </c>
      <c r="AN5" s="324">
        <f t="shared" si="0"/>
        <v>112951911</v>
      </c>
      <c r="AO5" s="324">
        <f t="shared" si="0"/>
        <v>0</v>
      </c>
      <c r="AP5" s="324">
        <f t="shared" si="0"/>
        <v>0</v>
      </c>
      <c r="AQ5" s="324">
        <f t="shared" si="0"/>
        <v>0</v>
      </c>
      <c r="AR5" s="324">
        <f t="shared" si="0"/>
        <v>9682988</v>
      </c>
      <c r="AS5" s="324">
        <f t="shared" si="0"/>
        <v>24274174</v>
      </c>
      <c r="AT5" s="324">
        <f t="shared" si="0"/>
        <v>-151522570</v>
      </c>
      <c r="AU5" s="324">
        <f t="shared" si="0"/>
        <v>2663771850</v>
      </c>
      <c r="AV5" s="324">
        <f t="shared" si="0"/>
        <v>86299182</v>
      </c>
      <c r="AW5" s="324">
        <f t="shared" si="0"/>
        <v>-85662198</v>
      </c>
      <c r="AX5" s="324">
        <f t="shared" si="0"/>
        <v>-499037904</v>
      </c>
      <c r="AY5" s="324">
        <f t="shared" si="0"/>
        <v>83818358</v>
      </c>
      <c r="AZ5" s="324">
        <f t="shared" si="0"/>
        <v>52674889</v>
      </c>
      <c r="BA5" s="324">
        <f t="shared" si="0"/>
        <v>224776198</v>
      </c>
      <c r="BB5" s="324">
        <f t="shared" si="0"/>
        <v>-30925835</v>
      </c>
      <c r="BC5" s="324">
        <f t="shared" si="0"/>
        <v>-3881173</v>
      </c>
      <c r="BD5" s="324">
        <f t="shared" si="0"/>
        <v>0</v>
      </c>
      <c r="BE5" s="324">
        <f t="shared" si="0"/>
        <v>-39546364</v>
      </c>
      <c r="BF5" s="324">
        <f t="shared" si="0"/>
        <v>0</v>
      </c>
      <c r="BG5" s="324">
        <f>BG4-BG3</f>
        <v>-246481096</v>
      </c>
      <c r="BH5" s="324">
        <f t="shared" ref="BH5:BX5" si="3">BH4-BH3</f>
        <v>-85369203</v>
      </c>
      <c r="BI5" s="324">
        <f t="shared" si="3"/>
        <v>85200680</v>
      </c>
      <c r="BJ5" s="324">
        <f t="shared" si="3"/>
        <v>1806719222</v>
      </c>
      <c r="BK5" s="324">
        <f t="shared" si="3"/>
        <v>0</v>
      </c>
      <c r="BL5" s="324">
        <f t="shared" si="3"/>
        <v>-83300000</v>
      </c>
      <c r="BM5" s="324">
        <f t="shared" si="3"/>
        <v>-8918965</v>
      </c>
      <c r="BN5" s="324">
        <f t="shared" si="3"/>
        <v>-227771823</v>
      </c>
      <c r="BO5" s="324">
        <f t="shared" si="3"/>
        <v>-7948119</v>
      </c>
      <c r="BP5" s="324">
        <f t="shared" si="3"/>
        <v>32621898</v>
      </c>
      <c r="BQ5" s="324">
        <f t="shared" si="3"/>
        <v>0</v>
      </c>
      <c r="BR5" s="324">
        <f t="shared" si="3"/>
        <v>-249914699</v>
      </c>
      <c r="BS5" s="324">
        <f t="shared" si="3"/>
        <v>-876829584</v>
      </c>
      <c r="BT5" s="324">
        <f t="shared" si="3"/>
        <v>0</v>
      </c>
      <c r="BU5" s="324">
        <f t="shared" si="3"/>
        <v>0</v>
      </c>
      <c r="BV5" s="324">
        <f t="shared" si="3"/>
        <v>0</v>
      </c>
      <c r="BW5" s="324">
        <f t="shared" si="3"/>
        <v>0</v>
      </c>
      <c r="BX5" s="324">
        <f t="shared" si="3"/>
        <v>-788849810</v>
      </c>
    </row>
    <row r="6" spans="1:89">
      <c r="D6" s="699" t="s">
        <v>268</v>
      </c>
      <c r="E6" s="324">
        <f t="shared" ref="E6:AJ6" si="4">SUM(E8:E1048576)</f>
        <v>0</v>
      </c>
      <c r="F6" s="324">
        <f t="shared" si="4"/>
        <v>0</v>
      </c>
      <c r="G6" s="324">
        <f t="shared" si="4"/>
        <v>463018704</v>
      </c>
      <c r="H6" s="324">
        <f t="shared" si="4"/>
        <v>52323396</v>
      </c>
      <c r="I6" s="324">
        <f t="shared" si="4"/>
        <v>0</v>
      </c>
      <c r="J6" s="324">
        <f t="shared" si="4"/>
        <v>0</v>
      </c>
      <c r="K6" s="324">
        <f t="shared" si="4"/>
        <v>4005688</v>
      </c>
      <c r="L6" s="324">
        <f t="shared" si="4"/>
        <v>-3000000</v>
      </c>
      <c r="M6" s="324">
        <f t="shared" si="4"/>
        <v>-5625714</v>
      </c>
      <c r="N6" s="324">
        <f t="shared" si="4"/>
        <v>0</v>
      </c>
      <c r="O6" s="324">
        <f t="shared" si="4"/>
        <v>-184897847</v>
      </c>
      <c r="P6" s="324">
        <f t="shared" si="4"/>
        <v>8624839</v>
      </c>
      <c r="Q6" s="324">
        <f t="shared" si="4"/>
        <v>-109866679</v>
      </c>
      <c r="R6" s="324">
        <f t="shared" si="4"/>
        <v>-52094268</v>
      </c>
      <c r="S6" s="324">
        <f t="shared" si="4"/>
        <v>862117</v>
      </c>
      <c r="T6" s="324">
        <f t="shared" si="4"/>
        <v>1897177</v>
      </c>
      <c r="U6" s="324">
        <f t="shared" si="4"/>
        <v>0</v>
      </c>
      <c r="V6" s="324">
        <f t="shared" si="4"/>
        <v>1860671767</v>
      </c>
      <c r="W6" s="324">
        <f t="shared" si="4"/>
        <v>0</v>
      </c>
      <c r="X6" s="324">
        <f t="shared" si="4"/>
        <v>-1225382768</v>
      </c>
      <c r="Y6" s="324">
        <f t="shared" si="4"/>
        <v>0</v>
      </c>
      <c r="Z6" s="324">
        <f t="shared" si="4"/>
        <v>3420413</v>
      </c>
      <c r="AA6" s="324">
        <f t="shared" si="4"/>
        <v>2000000</v>
      </c>
      <c r="AB6" s="324">
        <f t="shared" si="4"/>
        <v>3333335</v>
      </c>
      <c r="AC6" s="324">
        <f t="shared" si="4"/>
        <v>6640820</v>
      </c>
      <c r="AD6" s="324">
        <f t="shared" si="4"/>
        <v>0</v>
      </c>
      <c r="AE6" s="324">
        <f t="shared" si="4"/>
        <v>-6535742</v>
      </c>
      <c r="AF6" s="324">
        <f t="shared" si="4"/>
        <v>0</v>
      </c>
      <c r="AG6" s="324">
        <f t="shared" si="4"/>
        <v>0</v>
      </c>
      <c r="AH6" s="324">
        <f t="shared" si="4"/>
        <v>0</v>
      </c>
      <c r="AI6" s="324">
        <f t="shared" si="4"/>
        <v>0</v>
      </c>
      <c r="AJ6" s="324">
        <f t="shared" si="4"/>
        <v>0</v>
      </c>
      <c r="AK6" s="324">
        <f t="shared" ref="AK6:BP6" si="5">SUM(AK8:AK1048576)</f>
        <v>-115440965</v>
      </c>
      <c r="AL6" s="324">
        <f t="shared" si="5"/>
        <v>14123855</v>
      </c>
      <c r="AM6" s="324">
        <f t="shared" si="5"/>
        <v>-588910020</v>
      </c>
      <c r="AN6" s="324">
        <f t="shared" si="5"/>
        <v>85320738</v>
      </c>
      <c r="AO6" s="324">
        <f t="shared" si="5"/>
        <v>6409230</v>
      </c>
      <c r="AP6" s="324">
        <f t="shared" si="5"/>
        <v>-6408230</v>
      </c>
      <c r="AQ6" s="324">
        <f t="shared" si="5"/>
        <v>0</v>
      </c>
      <c r="AR6" s="324">
        <f t="shared" si="5"/>
        <v>5559008</v>
      </c>
      <c r="AS6" s="324">
        <f t="shared" si="5"/>
        <v>-1488851960</v>
      </c>
      <c r="AT6" s="324">
        <f t="shared" si="5"/>
        <v>9262066</v>
      </c>
      <c r="AU6" s="324">
        <f t="shared" si="5"/>
        <v>2089801717</v>
      </c>
      <c r="AV6" s="324">
        <f t="shared" si="5"/>
        <v>0</v>
      </c>
      <c r="AW6" s="324">
        <f t="shared" si="5"/>
        <v>9899922</v>
      </c>
      <c r="AX6" s="324">
        <f t="shared" si="5"/>
        <v>-493937904</v>
      </c>
      <c r="AY6" s="324">
        <f t="shared" si="5"/>
        <v>38845835</v>
      </c>
      <c r="AZ6" s="324">
        <f t="shared" si="5"/>
        <v>35198923</v>
      </c>
      <c r="BA6" s="324">
        <f t="shared" si="5"/>
        <v>89426039</v>
      </c>
      <c r="BB6" s="324">
        <f t="shared" si="5"/>
        <v>3306165</v>
      </c>
      <c r="BC6" s="324">
        <f t="shared" si="5"/>
        <v>8609400</v>
      </c>
      <c r="BD6" s="324">
        <f t="shared" si="5"/>
        <v>125626794</v>
      </c>
      <c r="BE6" s="324">
        <f t="shared" si="5"/>
        <v>2933634</v>
      </c>
      <c r="BF6" s="324">
        <f t="shared" si="5"/>
        <v>0</v>
      </c>
      <c r="BG6" s="324">
        <f t="shared" si="5"/>
        <v>-246481096</v>
      </c>
      <c r="BH6" s="324">
        <f t="shared" si="5"/>
        <v>-85369203</v>
      </c>
      <c r="BI6" s="324">
        <f t="shared" si="5"/>
        <v>85200680</v>
      </c>
      <c r="BJ6" s="324">
        <f t="shared" si="5"/>
        <v>1806719222</v>
      </c>
      <c r="BK6" s="324">
        <f t="shared" si="5"/>
        <v>0</v>
      </c>
      <c r="BL6" s="324">
        <f t="shared" si="5"/>
        <v>0</v>
      </c>
      <c r="BM6" s="324">
        <f t="shared" si="5"/>
        <v>-162136002</v>
      </c>
      <c r="BN6" s="324">
        <f t="shared" si="5"/>
        <v>-227771823</v>
      </c>
      <c r="BO6" s="324">
        <f t="shared" si="5"/>
        <v>-7948119</v>
      </c>
      <c r="BP6" s="324">
        <f t="shared" si="5"/>
        <v>34571148</v>
      </c>
      <c r="BQ6" s="324">
        <f t="shared" ref="BQ6:BX6" si="6">SUM(BQ8:BQ1048576)</f>
        <v>-49980000</v>
      </c>
      <c r="BR6" s="324">
        <f t="shared" si="6"/>
        <v>22944767</v>
      </c>
      <c r="BS6" s="324">
        <f t="shared" si="6"/>
        <v>115851220</v>
      </c>
      <c r="BT6" s="324">
        <f t="shared" si="6"/>
        <v>0</v>
      </c>
      <c r="BU6" s="324">
        <f t="shared" si="6"/>
        <v>19664500</v>
      </c>
      <c r="BV6" s="324">
        <f t="shared" si="6"/>
        <v>100443904</v>
      </c>
      <c r="BW6" s="324">
        <f t="shared" si="6"/>
        <v>-27842570</v>
      </c>
      <c r="BX6" s="324">
        <f t="shared" si="6"/>
        <v>-788849810</v>
      </c>
      <c r="BZ6" s="55">
        <f>SUM(BZ8:BZ125)</f>
        <v>0</v>
      </c>
      <c r="CA6" s="55">
        <f>SUM(CA8:CA125)</f>
        <v>0</v>
      </c>
      <c r="CB6" s="55">
        <f>SUM(CB8:CB125)</f>
        <v>0</v>
      </c>
    </row>
    <row r="7" spans="1:89">
      <c r="D7" s="699" t="s">
        <v>1462</v>
      </c>
      <c r="E7" s="324"/>
      <c r="F7" s="324">
        <f>F6-F5</f>
        <v>0</v>
      </c>
      <c r="G7" s="324">
        <f t="shared" ref="G7:BU7" si="7">G6-G5</f>
        <v>0</v>
      </c>
      <c r="H7" s="324">
        <f t="shared" si="7"/>
        <v>135210813</v>
      </c>
      <c r="I7" s="324">
        <f t="shared" si="7"/>
        <v>0</v>
      </c>
      <c r="J7" s="324">
        <f t="shared" si="7"/>
        <v>0</v>
      </c>
      <c r="K7" s="324">
        <f t="shared" si="7"/>
        <v>0</v>
      </c>
      <c r="L7" s="324">
        <f t="shared" si="7"/>
        <v>0</v>
      </c>
      <c r="M7" s="324">
        <f t="shared" si="7"/>
        <v>0</v>
      </c>
      <c r="N7" s="324">
        <f t="shared" si="7"/>
        <v>14089</v>
      </c>
      <c r="O7" s="324">
        <f t="shared" si="7"/>
        <v>0</v>
      </c>
      <c r="P7" s="324">
        <f t="shared" si="7"/>
        <v>-94124940</v>
      </c>
      <c r="Q7" s="324">
        <f t="shared" si="7"/>
        <v>0</v>
      </c>
      <c r="R7" s="324">
        <f t="shared" si="7"/>
        <v>-62312116</v>
      </c>
      <c r="S7" s="324">
        <f t="shared" si="7"/>
        <v>0</v>
      </c>
      <c r="T7" s="324">
        <f t="shared" si="7"/>
        <v>-16342459</v>
      </c>
      <c r="U7" s="324">
        <f t="shared" si="7"/>
        <v>0</v>
      </c>
      <c r="V7" s="324">
        <f t="shared" si="7"/>
        <v>0</v>
      </c>
      <c r="W7" s="324">
        <f t="shared" si="7"/>
        <v>0</v>
      </c>
      <c r="X7" s="324">
        <f t="shared" si="7"/>
        <v>0</v>
      </c>
      <c r="Y7" s="324">
        <f t="shared" si="7"/>
        <v>0</v>
      </c>
      <c r="Z7" s="324">
        <f t="shared" ref="Z7" si="8">Z6-Z5</f>
        <v>0</v>
      </c>
      <c r="AA7" s="324">
        <f t="shared" si="7"/>
        <v>2000000</v>
      </c>
      <c r="AB7" s="324">
        <f t="shared" si="7"/>
        <v>2083334</v>
      </c>
      <c r="AC7" s="324">
        <f t="shared" si="7"/>
        <v>1315690</v>
      </c>
      <c r="AD7" s="324">
        <f t="shared" si="7"/>
        <v>-9978000</v>
      </c>
      <c r="AE7" s="324">
        <f t="shared" si="7"/>
        <v>1192659</v>
      </c>
      <c r="AF7" s="324">
        <f t="shared" si="7"/>
        <v>111700</v>
      </c>
      <c r="AG7" s="324">
        <f t="shared" si="7"/>
        <v>0</v>
      </c>
      <c r="AH7" s="324">
        <f t="shared" si="7"/>
        <v>24999999500</v>
      </c>
      <c r="AI7" s="324">
        <f t="shared" si="7"/>
        <v>-16999999500</v>
      </c>
      <c r="AJ7" s="324">
        <f t="shared" si="7"/>
        <v>557640020</v>
      </c>
      <c r="AK7" s="324">
        <f t="shared" ref="AK7:AL7" si="9">AK6-AK5</f>
        <v>1361097513</v>
      </c>
      <c r="AL7" s="324">
        <f t="shared" si="9"/>
        <v>-16763038</v>
      </c>
      <c r="AM7" s="324">
        <f t="shared" si="7"/>
        <v>265900974</v>
      </c>
      <c r="AN7" s="324">
        <f t="shared" si="7"/>
        <v>-27631173</v>
      </c>
      <c r="AO7" s="324">
        <f t="shared" si="7"/>
        <v>6409230</v>
      </c>
      <c r="AP7" s="324">
        <f t="shared" si="7"/>
        <v>-6408230</v>
      </c>
      <c r="AQ7" s="324">
        <f t="shared" si="7"/>
        <v>0</v>
      </c>
      <c r="AR7" s="324">
        <f t="shared" si="7"/>
        <v>-4123980</v>
      </c>
      <c r="AS7" s="324">
        <f t="shared" si="7"/>
        <v>-1513126134</v>
      </c>
      <c r="AT7" s="324">
        <f t="shared" si="7"/>
        <v>160784636</v>
      </c>
      <c r="AU7" s="324">
        <f t="shared" si="7"/>
        <v>-573970133</v>
      </c>
      <c r="AV7" s="324">
        <f t="shared" si="7"/>
        <v>-86299182</v>
      </c>
      <c r="AW7" s="324">
        <f t="shared" si="7"/>
        <v>95562120</v>
      </c>
      <c r="AX7" s="324">
        <f t="shared" si="7"/>
        <v>5100000</v>
      </c>
      <c r="AY7" s="324">
        <f t="shared" si="7"/>
        <v>-44972523</v>
      </c>
      <c r="AZ7" s="324">
        <f t="shared" si="7"/>
        <v>-17475966</v>
      </c>
      <c r="BA7" s="324">
        <f t="shared" si="7"/>
        <v>-135350159</v>
      </c>
      <c r="BB7" s="324">
        <f t="shared" si="7"/>
        <v>34232000</v>
      </c>
      <c r="BC7" s="324">
        <f t="shared" si="7"/>
        <v>12490573</v>
      </c>
      <c r="BD7" s="324">
        <f t="shared" si="7"/>
        <v>125626794</v>
      </c>
      <c r="BE7" s="324">
        <f t="shared" si="7"/>
        <v>42479998</v>
      </c>
      <c r="BF7" s="324">
        <f t="shared" si="7"/>
        <v>0</v>
      </c>
      <c r="BG7" s="324">
        <f t="shared" si="7"/>
        <v>0</v>
      </c>
      <c r="BH7" s="324">
        <f t="shared" si="7"/>
        <v>0</v>
      </c>
      <c r="BI7" s="324">
        <f t="shared" si="7"/>
        <v>0</v>
      </c>
      <c r="BJ7" s="324">
        <f t="shared" si="7"/>
        <v>0</v>
      </c>
      <c r="BK7" s="324">
        <f t="shared" si="7"/>
        <v>0</v>
      </c>
      <c r="BL7" s="324">
        <f t="shared" si="7"/>
        <v>83300000</v>
      </c>
      <c r="BM7" s="324">
        <f t="shared" si="7"/>
        <v>-153217037</v>
      </c>
      <c r="BN7" s="324">
        <f t="shared" si="7"/>
        <v>0</v>
      </c>
      <c r="BO7" s="324">
        <f t="shared" si="7"/>
        <v>0</v>
      </c>
      <c r="BP7" s="324">
        <f t="shared" si="7"/>
        <v>1949250</v>
      </c>
      <c r="BQ7" s="324">
        <f t="shared" si="7"/>
        <v>-49980000</v>
      </c>
      <c r="BR7" s="324">
        <f t="shared" si="7"/>
        <v>272859466</v>
      </c>
      <c r="BS7" s="324">
        <f t="shared" si="7"/>
        <v>992680804</v>
      </c>
      <c r="BT7" s="324">
        <f t="shared" si="7"/>
        <v>0</v>
      </c>
      <c r="BU7" s="324">
        <f t="shared" si="7"/>
        <v>19664500</v>
      </c>
      <c r="BV7" s="324">
        <f t="shared" ref="BV7:BX7" si="10">BV6-BV5</f>
        <v>100443904</v>
      </c>
      <c r="BW7" s="324">
        <f t="shared" si="10"/>
        <v>-27842570</v>
      </c>
      <c r="BX7" s="324">
        <f t="shared" si="10"/>
        <v>0</v>
      </c>
      <c r="BZ7" s="935" t="s">
        <v>1862</v>
      </c>
      <c r="CA7" s="935" t="s">
        <v>1863</v>
      </c>
      <c r="CB7" s="935" t="s">
        <v>1864</v>
      </c>
    </row>
    <row r="8" spans="1:89">
      <c r="B8" s="700" t="s">
        <v>1463</v>
      </c>
      <c r="C8" s="701">
        <f>CF!D1</f>
        <v>46203</v>
      </c>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v>0</v>
      </c>
    </row>
    <row r="9" spans="1:89">
      <c r="B9" s="702" t="s">
        <v>1464</v>
      </c>
      <c r="C9" s="703">
        <f>SUM(C10,C41:C44)</f>
        <v>1952791785</v>
      </c>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v>0</v>
      </c>
    </row>
    <row r="10" spans="1:89">
      <c r="B10" s="702" t="s">
        <v>1465</v>
      </c>
      <c r="C10" s="703">
        <f>SUM(C11:C12,C33)</f>
        <v>2078568308</v>
      </c>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v>0</v>
      </c>
    </row>
    <row r="11" spans="1:89">
      <c r="B11" s="702" t="s">
        <v>1466</v>
      </c>
      <c r="C11" s="703">
        <f>SUM(E11:BY11)</f>
        <v>-788849810</v>
      </c>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f>Dart_PL!D16</f>
        <v>-788849810</v>
      </c>
      <c r="BY11" s="55">
        <v>0</v>
      </c>
    </row>
    <row r="12" spans="1:89">
      <c r="B12" s="702" t="s">
        <v>1467</v>
      </c>
      <c r="C12" s="703">
        <f>SUM(C13:C31)</f>
        <v>909141401</v>
      </c>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v>0</v>
      </c>
    </row>
    <row r="13" spans="1:89">
      <c r="A13" s="55">
        <f>CF!D6-C13</f>
        <v>-139498951</v>
      </c>
      <c r="B13" s="704" t="s">
        <v>1489</v>
      </c>
      <c r="C13" s="705">
        <f>SUM(E13:CD13)</f>
        <v>56611534</v>
      </c>
      <c r="E13" s="55"/>
      <c r="F13" s="55"/>
      <c r="G13" s="55"/>
      <c r="H13" s="55">
        <f>1082586+55528948</f>
        <v>56611534</v>
      </c>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696"/>
      <c r="BY13" s="55">
        <v>0</v>
      </c>
    </row>
    <row r="14" spans="1:89">
      <c r="A14" s="55">
        <f>CF!D8-C14</f>
        <v>0</v>
      </c>
      <c r="B14" s="765" t="s">
        <v>1601</v>
      </c>
      <c r="C14" s="705">
        <f t="shared" ref="C14:C31" si="11">SUM(E14:CD14)</f>
        <v>-3000000</v>
      </c>
      <c r="E14" s="55"/>
      <c r="F14" s="55"/>
      <c r="G14" s="55"/>
      <c r="H14" s="55"/>
      <c r="I14" s="55"/>
      <c r="J14" s="55"/>
      <c r="K14" s="55"/>
      <c r="L14" s="55">
        <v>-3000000</v>
      </c>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696"/>
    </row>
    <row r="15" spans="1:89">
      <c r="A15" s="55">
        <f>CF!D7-C15</f>
        <v>0</v>
      </c>
      <c r="B15" s="704" t="s">
        <v>208</v>
      </c>
      <c r="C15" s="705">
        <f t="shared" si="11"/>
        <v>-22098561</v>
      </c>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v>-6535742</v>
      </c>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v>0</v>
      </c>
      <c r="CA15" s="55">
        <f>-정산표!H187-AE15</f>
        <v>-15562819</v>
      </c>
    </row>
    <row r="16" spans="1:89">
      <c r="A16" s="55">
        <f>CF!D9-C16</f>
        <v>-148135</v>
      </c>
      <c r="B16" s="704" t="s">
        <v>1490</v>
      </c>
      <c r="C16" s="705">
        <f t="shared" si="11"/>
        <v>-1054000</v>
      </c>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v>-799000</v>
      </c>
      <c r="AP16" s="55"/>
      <c r="AQ16" s="55"/>
      <c r="AR16" s="55"/>
      <c r="AS16" s="55"/>
      <c r="AT16" s="55"/>
      <c r="AU16" s="55"/>
      <c r="AV16" s="55"/>
      <c r="AW16" s="55"/>
      <c r="AX16" s="55"/>
      <c r="AY16" s="55">
        <v>-255000</v>
      </c>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v>0</v>
      </c>
    </row>
    <row r="17" spans="1:80">
      <c r="A17" s="55">
        <f>CF!D10-C17</f>
        <v>-37600797</v>
      </c>
      <c r="B17" s="704" t="s">
        <v>113</v>
      </c>
      <c r="C17" s="705">
        <f t="shared" si="11"/>
        <v>-3042</v>
      </c>
      <c r="E17" s="55">
        <v>-3042</v>
      </c>
      <c r="F17" s="55"/>
      <c r="G17" s="55">
        <v>0</v>
      </c>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v>0</v>
      </c>
    </row>
    <row r="18" spans="1:80">
      <c r="A18" s="55">
        <f>CF!D11-C18</f>
        <v>120400482</v>
      </c>
      <c r="B18" s="704" t="s">
        <v>1491</v>
      </c>
      <c r="C18" s="705">
        <f t="shared" si="11"/>
        <v>10792692</v>
      </c>
      <c r="E18" s="55"/>
      <c r="F18" s="55"/>
      <c r="G18" s="55"/>
      <c r="H18" s="55"/>
      <c r="I18" s="55"/>
      <c r="J18" s="55"/>
      <c r="K18" s="55"/>
      <c r="L18" s="55"/>
      <c r="M18" s="55"/>
      <c r="N18" s="55"/>
      <c r="O18" s="55"/>
      <c r="P18" s="55">
        <v>8624839</v>
      </c>
      <c r="Q18" s="55"/>
      <c r="R18" s="55">
        <f>4694588-4423912</f>
        <v>270676</v>
      </c>
      <c r="S18" s="55"/>
      <c r="T18" s="55">
        <v>1897177</v>
      </c>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v>0</v>
      </c>
    </row>
    <row r="19" spans="1:80">
      <c r="A19" s="55">
        <f>CF!D12-C19</f>
        <v>10353708</v>
      </c>
      <c r="B19" s="704" t="s">
        <v>10</v>
      </c>
      <c r="C19" s="705">
        <f t="shared" si="11"/>
        <v>177665682</v>
      </c>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v>177665682</v>
      </c>
      <c r="BT19" s="55"/>
      <c r="BU19" s="55"/>
      <c r="BV19" s="55"/>
      <c r="BW19" s="55"/>
      <c r="BX19" s="55"/>
      <c r="BY19" s="55">
        <v>0</v>
      </c>
    </row>
    <row r="20" spans="1:80">
      <c r="A20" s="55">
        <f>CF!D13-C20</f>
        <v>2430750</v>
      </c>
      <c r="B20" s="704" t="s">
        <v>1492</v>
      </c>
      <c r="C20" s="705">
        <f t="shared" si="11"/>
        <v>34571148</v>
      </c>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v>34571148</v>
      </c>
      <c r="BQ20" s="55"/>
      <c r="BR20" s="55"/>
      <c r="BS20" s="55"/>
      <c r="BT20" s="55"/>
      <c r="BU20" s="55"/>
      <c r="BV20" s="55"/>
      <c r="BW20" s="55"/>
      <c r="BX20" s="55"/>
      <c r="BY20" s="55">
        <v>0</v>
      </c>
    </row>
    <row r="21" spans="1:80">
      <c r="A21" s="55">
        <f>CF!D14-C21</f>
        <v>0</v>
      </c>
      <c r="B21" s="704" t="s">
        <v>204</v>
      </c>
      <c r="C21" s="705">
        <f t="shared" si="11"/>
        <v>0</v>
      </c>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v>0</v>
      </c>
    </row>
    <row r="22" spans="1:80">
      <c r="A22" s="55">
        <f>CF!D15-C22</f>
        <v>0</v>
      </c>
      <c r="B22" s="704" t="s">
        <v>25</v>
      </c>
      <c r="C22" s="705">
        <f t="shared" si="11"/>
        <v>98954951</v>
      </c>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696"/>
      <c r="BK22" s="55"/>
      <c r="BL22" s="55"/>
      <c r="BM22" s="55"/>
      <c r="BN22" s="55"/>
      <c r="BO22" s="55"/>
      <c r="BP22" s="55"/>
      <c r="BQ22" s="55"/>
      <c r="BR22" s="55">
        <v>9731787</v>
      </c>
      <c r="BS22" s="55"/>
      <c r="BT22" s="55"/>
      <c r="BU22" s="55"/>
      <c r="BV22" s="55"/>
      <c r="BW22" s="55"/>
      <c r="BX22" s="55"/>
      <c r="BY22" s="55">
        <v>0</v>
      </c>
      <c r="CB22" s="55">
        <f>정산표!H191-BR22</f>
        <v>89223164</v>
      </c>
    </row>
    <row r="23" spans="1:80">
      <c r="A23" s="55">
        <f>CF!D16-C23</f>
        <v>164250536</v>
      </c>
      <c r="B23" s="704" t="s">
        <v>15</v>
      </c>
      <c r="C23" s="705">
        <f t="shared" si="11"/>
        <v>359919576</v>
      </c>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v>14123855</v>
      </c>
      <c r="AM23" s="55"/>
      <c r="AN23" s="55">
        <v>85320738</v>
      </c>
      <c r="AO23" s="55"/>
      <c r="AP23" s="55"/>
      <c r="AQ23" s="55"/>
      <c r="AR23" s="55">
        <v>5559008</v>
      </c>
      <c r="AS23" s="55"/>
      <c r="AT23" s="55">
        <v>9262066</v>
      </c>
      <c r="AU23" s="55"/>
      <c r="AV23" s="55"/>
      <c r="AW23" s="55">
        <v>9899922</v>
      </c>
      <c r="AX23" s="55"/>
      <c r="AY23" s="55">
        <v>39100835</v>
      </c>
      <c r="AZ23" s="55"/>
      <c r="BA23" s="55">
        <v>196653152</v>
      </c>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v>0</v>
      </c>
    </row>
    <row r="24" spans="1:80">
      <c r="A24" s="55">
        <f>CF!D17-C24</f>
        <v>-122897686</v>
      </c>
      <c r="B24" s="704" t="s">
        <v>207</v>
      </c>
      <c r="C24" s="705">
        <f t="shared" si="11"/>
        <v>144426793</v>
      </c>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v>7256965</v>
      </c>
      <c r="BC24" s="55">
        <v>8609400</v>
      </c>
      <c r="BD24" s="55">
        <v>125626794</v>
      </c>
      <c r="BE24" s="55">
        <v>2933634</v>
      </c>
      <c r="BF24" s="55"/>
      <c r="BG24" s="55"/>
      <c r="BH24" s="55"/>
      <c r="BI24" s="55"/>
      <c r="BJ24" s="55"/>
      <c r="BK24" s="55"/>
      <c r="BL24" s="55"/>
      <c r="BM24" s="55"/>
      <c r="BN24" s="55"/>
      <c r="BO24" s="55"/>
      <c r="BP24" s="55"/>
      <c r="BQ24" s="55"/>
      <c r="BR24" s="55"/>
      <c r="BS24" s="55"/>
      <c r="BT24" s="55"/>
      <c r="BU24" s="55"/>
      <c r="BV24" s="55"/>
      <c r="BW24" s="55"/>
      <c r="BX24" s="55"/>
      <c r="BY24" s="55">
        <v>0</v>
      </c>
    </row>
    <row r="25" spans="1:80">
      <c r="A25" s="55">
        <f>CF!D18-C25</f>
        <v>1727360</v>
      </c>
      <c r="B25" s="704" t="s">
        <v>1450</v>
      </c>
      <c r="C25" s="705">
        <f t="shared" si="11"/>
        <v>3098042</v>
      </c>
      <c r="E25" s="55"/>
      <c r="F25" s="55"/>
      <c r="G25" s="55"/>
      <c r="H25" s="55"/>
      <c r="I25" s="55"/>
      <c r="J25" s="55"/>
      <c r="K25" s="55"/>
      <c r="L25" s="55"/>
      <c r="M25" s="55"/>
      <c r="N25" s="55"/>
      <c r="O25" s="55"/>
      <c r="P25" s="55"/>
      <c r="Q25" s="55"/>
      <c r="R25" s="55"/>
      <c r="S25" s="55"/>
      <c r="T25" s="55"/>
      <c r="U25" s="55"/>
      <c r="V25" s="55">
        <v>3000000</v>
      </c>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v>98042</v>
      </c>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v>0</v>
      </c>
    </row>
    <row r="26" spans="1:80">
      <c r="A26" s="55">
        <f>CF!D19-C26</f>
        <v>-57204705</v>
      </c>
      <c r="B26" s="704" t="s">
        <v>116</v>
      </c>
      <c r="C26" s="705">
        <f t="shared" si="11"/>
        <v>57204705</v>
      </c>
      <c r="E26" s="55">
        <v>6770</v>
      </c>
      <c r="F26" s="55"/>
      <c r="G26" s="55">
        <v>57197935</v>
      </c>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v>0</v>
      </c>
    </row>
    <row r="27" spans="1:80">
      <c r="A27" s="55">
        <f>CF!D21-C27</f>
        <v>0</v>
      </c>
      <c r="B27" s="704" t="s">
        <v>27</v>
      </c>
      <c r="C27" s="705">
        <f t="shared" si="11"/>
        <v>0</v>
      </c>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v>0</v>
      </c>
    </row>
    <row r="28" spans="1:80">
      <c r="A28" s="55">
        <f>CF!D22-C28</f>
        <v>0</v>
      </c>
      <c r="B28" s="704" t="s">
        <v>1493</v>
      </c>
      <c r="C28" s="705">
        <f t="shared" si="11"/>
        <v>0</v>
      </c>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v>0</v>
      </c>
    </row>
    <row r="29" spans="1:80">
      <c r="A29" s="55">
        <f>CF!D23-C29</f>
        <v>0</v>
      </c>
      <c r="B29" s="704" t="s">
        <v>1436</v>
      </c>
      <c r="C29" s="705">
        <f t="shared" si="11"/>
        <v>0</v>
      </c>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v>0</v>
      </c>
    </row>
    <row r="30" spans="1:80">
      <c r="A30" s="55">
        <f>CF!D24-C30</f>
        <v>0</v>
      </c>
      <c r="B30" s="704" t="s">
        <v>209</v>
      </c>
      <c r="C30" s="705">
        <f t="shared" si="11"/>
        <v>0</v>
      </c>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v>0</v>
      </c>
    </row>
    <row r="31" spans="1:80">
      <c r="A31" s="55">
        <f>CF!D25-C31</f>
        <v>0</v>
      </c>
      <c r="B31" s="704" t="s">
        <v>497</v>
      </c>
      <c r="C31" s="705">
        <f t="shared" si="11"/>
        <v>-7948119</v>
      </c>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f>BO5</f>
        <v>-7948119</v>
      </c>
      <c r="BP31" s="55"/>
      <c r="BQ31" s="55"/>
      <c r="BR31" s="55"/>
      <c r="BS31" s="55"/>
      <c r="BT31" s="55"/>
      <c r="BU31" s="55"/>
      <c r="BV31" s="55"/>
      <c r="BW31" s="55"/>
      <c r="BX31" s="55"/>
      <c r="BY31" s="55">
        <v>0</v>
      </c>
    </row>
    <row r="32" spans="1:80">
      <c r="B32" s="704"/>
      <c r="C32" s="70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v>0</v>
      </c>
    </row>
    <row r="33" spans="1:80">
      <c r="B33" s="702" t="s">
        <v>1468</v>
      </c>
      <c r="C33" s="706">
        <f>SUM(C34:C40)</f>
        <v>1958276717</v>
      </c>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v>0</v>
      </c>
    </row>
    <row r="34" spans="1:80">
      <c r="A34" s="55">
        <f>CF!D27-C34</f>
        <v>99089907</v>
      </c>
      <c r="B34" s="704" t="s">
        <v>217</v>
      </c>
      <c r="C34" s="705">
        <f t="shared" ref="C34:C40" si="12">SUM(E34:CD34)</f>
        <v>405538319</v>
      </c>
      <c r="E34" s="55"/>
      <c r="F34" s="55"/>
      <c r="G34" s="55">
        <f>G5-G26-G17-G95</f>
        <v>401532631</v>
      </c>
      <c r="H34" s="55"/>
      <c r="I34" s="55"/>
      <c r="J34" s="55"/>
      <c r="K34" s="55">
        <f>K5</f>
        <v>4005688</v>
      </c>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v>0</v>
      </c>
    </row>
    <row r="35" spans="1:80">
      <c r="A35" s="55">
        <f>CF!D28-C35</f>
        <v>33950800</v>
      </c>
      <c r="B35" s="704" t="s">
        <v>218</v>
      </c>
      <c r="C35" s="705">
        <f t="shared" si="12"/>
        <v>631758612</v>
      </c>
      <c r="E35" s="55"/>
      <c r="F35" s="55"/>
      <c r="G35" s="55"/>
      <c r="H35" s="55"/>
      <c r="I35" s="55"/>
      <c r="J35" s="55"/>
      <c r="K35" s="55"/>
      <c r="L35" s="55"/>
      <c r="M35" s="55"/>
      <c r="N35" s="55"/>
      <c r="O35" s="55"/>
      <c r="P35" s="55"/>
      <c r="Q35" s="55"/>
      <c r="R35" s="55"/>
      <c r="S35" s="55"/>
      <c r="T35" s="55"/>
      <c r="U35" s="55"/>
      <c r="V35" s="55">
        <f>V5-V89-V25-V96</f>
        <v>1853720967</v>
      </c>
      <c r="W35" s="55"/>
      <c r="X35" s="55">
        <f>X5</f>
        <v>-1225382768</v>
      </c>
      <c r="Y35" s="55"/>
      <c r="Z35" s="55">
        <f>Z5</f>
        <v>3420413</v>
      </c>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v>0</v>
      </c>
    </row>
    <row r="36" spans="1:80">
      <c r="A36" s="55">
        <f>CF!D29-C36</f>
        <v>52364944</v>
      </c>
      <c r="B36" s="704" t="s">
        <v>1494</v>
      </c>
      <c r="C36" s="705">
        <f t="shared" si="12"/>
        <v>-351893067</v>
      </c>
      <c r="E36" s="55"/>
      <c r="F36" s="55"/>
      <c r="G36" s="55"/>
      <c r="H36" s="55"/>
      <c r="I36" s="55"/>
      <c r="J36" s="55"/>
      <c r="K36" s="55"/>
      <c r="L36" s="55"/>
      <c r="M36" s="55">
        <f>M5</f>
        <v>-5625714</v>
      </c>
      <c r="N36" s="55"/>
      <c r="O36" s="55">
        <f>O5</f>
        <v>-184897847</v>
      </c>
      <c r="P36" s="55"/>
      <c r="Q36" s="55">
        <f>Q5-Q93</f>
        <v>-162231623</v>
      </c>
      <c r="R36" s="55"/>
      <c r="S36" s="55">
        <f>S5</f>
        <v>862117</v>
      </c>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v>0</v>
      </c>
    </row>
    <row r="37" spans="1:80">
      <c r="A37" s="55">
        <f>CF!D30-C37</f>
        <v>57012356</v>
      </c>
      <c r="B37" s="704" t="s">
        <v>1495</v>
      </c>
      <c r="C37" s="705">
        <f t="shared" si="12"/>
        <v>1477258458</v>
      </c>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f>BG5</f>
        <v>-246481096</v>
      </c>
      <c r="BH37" s="55">
        <f>BH5</f>
        <v>-85369203</v>
      </c>
      <c r="BI37" s="55"/>
      <c r="BJ37" s="55">
        <f>BJ5-BJ22-BJ42-BJ62-BJ86</f>
        <v>1809108757</v>
      </c>
      <c r="BK37" s="55"/>
      <c r="BL37" s="55"/>
      <c r="BM37" s="55"/>
      <c r="BN37" s="55"/>
      <c r="BO37" s="55"/>
      <c r="BP37" s="55"/>
      <c r="BQ37" s="55"/>
      <c r="BR37" s="55"/>
      <c r="BS37" s="55"/>
      <c r="BT37" s="55"/>
      <c r="BU37" s="55"/>
      <c r="BV37" s="55"/>
      <c r="BW37" s="55"/>
      <c r="BX37" s="55"/>
      <c r="BY37" s="55">
        <v>0</v>
      </c>
    </row>
    <row r="38" spans="1:80">
      <c r="A38" s="55">
        <f>CF!D31-C38</f>
        <v>0</v>
      </c>
      <c r="B38" s="704" t="s">
        <v>1496</v>
      </c>
      <c r="C38" s="705">
        <f t="shared" si="12"/>
        <v>-142571143</v>
      </c>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f>BI5</f>
        <v>85200680</v>
      </c>
      <c r="BJ38" s="55"/>
      <c r="BK38" s="55"/>
      <c r="BL38" s="55"/>
      <c r="BM38" s="55"/>
      <c r="BN38" s="55">
        <f>BN5</f>
        <v>-227771823</v>
      </c>
      <c r="BO38" s="55"/>
      <c r="BP38" s="55"/>
      <c r="BQ38" s="55"/>
      <c r="BR38" s="55"/>
      <c r="BS38" s="55"/>
      <c r="BT38" s="55"/>
      <c r="BU38" s="55"/>
      <c r="BV38" s="55"/>
      <c r="BW38" s="55"/>
      <c r="BX38" s="55"/>
      <c r="BY38" s="55">
        <v>0</v>
      </c>
    </row>
    <row r="39" spans="1:80">
      <c r="A39" s="55">
        <f>CF!D32-C39</f>
        <v>-4380000</v>
      </c>
      <c r="B39" s="704" t="s">
        <v>1456</v>
      </c>
      <c r="C39" s="705">
        <f t="shared" si="12"/>
        <v>0</v>
      </c>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v>0</v>
      </c>
    </row>
    <row r="40" spans="1:80">
      <c r="A40" s="55">
        <f>CF!D33-C40</f>
        <v>-1003034512</v>
      </c>
      <c r="B40" s="704" t="s">
        <v>1497</v>
      </c>
      <c r="C40" s="705">
        <f t="shared" si="12"/>
        <v>-61814462</v>
      </c>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v>-61814462</v>
      </c>
      <c r="BT40" s="55"/>
      <c r="BU40" s="55"/>
      <c r="BV40" s="55"/>
      <c r="BW40" s="55"/>
      <c r="BX40" s="55"/>
      <c r="BY40" s="55">
        <v>0</v>
      </c>
    </row>
    <row r="41" spans="1:80">
      <c r="A41" s="55">
        <f>CF!D34-C41</f>
        <v>-1493463</v>
      </c>
      <c r="B41" s="707" t="s">
        <v>1469</v>
      </c>
      <c r="C41" s="705">
        <f>SUM(E41:CB41)</f>
        <v>15562819</v>
      </c>
      <c r="E41" s="55"/>
      <c r="F41" s="55"/>
      <c r="G41" s="55"/>
      <c r="H41" s="55"/>
      <c r="I41" s="55">
        <f>-I15</f>
        <v>0</v>
      </c>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v>0</v>
      </c>
      <c r="CA41" s="55">
        <f>-CA15</f>
        <v>15562819</v>
      </c>
    </row>
    <row r="42" spans="1:80">
      <c r="A42" s="55">
        <f>CF!D35-C42</f>
        <v>54653432</v>
      </c>
      <c r="B42" s="707" t="s">
        <v>1470</v>
      </c>
      <c r="C42" s="705">
        <f t="shared" ref="C42:C44" si="13">SUM(E42:CB42)</f>
        <v>-147980162</v>
      </c>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696">
        <v>-58756998</v>
      </c>
      <c r="BK42" s="55"/>
      <c r="BL42" s="55"/>
      <c r="BM42" s="55"/>
      <c r="BN42" s="55"/>
      <c r="BO42" s="55"/>
      <c r="BP42" s="55"/>
      <c r="BQ42" s="55"/>
      <c r="BR42" s="55"/>
      <c r="BS42" s="55"/>
      <c r="BT42" s="55"/>
      <c r="BU42" s="55"/>
      <c r="BV42" s="55"/>
      <c r="BW42" s="55"/>
      <c r="BX42" s="55"/>
      <c r="BY42" s="55">
        <v>0</v>
      </c>
      <c r="CB42" s="55">
        <f>-CB22</f>
        <v>-89223164</v>
      </c>
    </row>
    <row r="43" spans="1:80">
      <c r="A43" s="55"/>
      <c r="B43" s="707" t="s">
        <v>1471</v>
      </c>
      <c r="C43" s="705">
        <f t="shared" si="13"/>
        <v>0</v>
      </c>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v>0</v>
      </c>
    </row>
    <row r="44" spans="1:80">
      <c r="A44" s="55">
        <f>CF!D36-C44</f>
        <v>-1315690</v>
      </c>
      <c r="B44" s="707" t="s">
        <v>1472</v>
      </c>
      <c r="C44" s="705">
        <f t="shared" si="13"/>
        <v>6640820</v>
      </c>
      <c r="E44" s="55"/>
      <c r="F44" s="55"/>
      <c r="G44" s="55"/>
      <c r="H44" s="55"/>
      <c r="I44" s="55"/>
      <c r="J44" s="55"/>
      <c r="K44" s="55"/>
      <c r="L44" s="55"/>
      <c r="M44" s="55"/>
      <c r="N44" s="55"/>
      <c r="O44" s="55"/>
      <c r="P44" s="55"/>
      <c r="Q44" s="55"/>
      <c r="R44" s="55"/>
      <c r="S44" s="55"/>
      <c r="T44" s="55"/>
      <c r="U44" s="55"/>
      <c r="V44" s="55"/>
      <c r="W44" s="55"/>
      <c r="X44" s="55"/>
      <c r="Y44" s="55"/>
      <c r="Z44" s="55"/>
      <c r="AA44" s="55"/>
      <c r="AB44" s="55"/>
      <c r="AC44" s="55">
        <v>6640820</v>
      </c>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v>0</v>
      </c>
    </row>
    <row r="45" spans="1:80">
      <c r="B45" s="707"/>
      <c r="C45" s="708"/>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v>0</v>
      </c>
    </row>
    <row r="46" spans="1:80">
      <c r="B46" s="702" t="s">
        <v>1473</v>
      </c>
      <c r="C46" s="706">
        <f>C47+C56</f>
        <v>-534838334</v>
      </c>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v>0</v>
      </c>
    </row>
    <row r="47" spans="1:80">
      <c r="B47" s="702" t="s">
        <v>1474</v>
      </c>
      <c r="C47" s="706">
        <f>SUM(C48:C53)</f>
        <v>11233335</v>
      </c>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v>0</v>
      </c>
    </row>
    <row r="48" spans="1:80">
      <c r="A48" s="55">
        <f>CF!D39-C48</f>
        <v>0</v>
      </c>
      <c r="B48" s="709" t="s">
        <v>1498</v>
      </c>
      <c r="C48" s="705">
        <f>SUM(E48:BY48)</f>
        <v>0</v>
      </c>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v>0</v>
      </c>
    </row>
    <row r="49" spans="1:77">
      <c r="A49" s="55">
        <f>CF!D40-C49</f>
        <v>-2083334</v>
      </c>
      <c r="B49" s="709" t="s">
        <v>1499</v>
      </c>
      <c r="C49" s="705">
        <f t="shared" ref="C49:C53" si="14">SUM(E49:BY49)</f>
        <v>3333335</v>
      </c>
      <c r="E49" s="55"/>
      <c r="F49" s="55"/>
      <c r="G49" s="55"/>
      <c r="H49" s="55"/>
      <c r="I49" s="55"/>
      <c r="J49" s="55"/>
      <c r="K49" s="55"/>
      <c r="L49" s="55"/>
      <c r="M49" s="55"/>
      <c r="N49" s="55"/>
      <c r="O49" s="55"/>
      <c r="P49" s="55"/>
      <c r="Q49" s="55"/>
      <c r="R49" s="55"/>
      <c r="S49" s="55"/>
      <c r="T49" s="55"/>
      <c r="U49" s="55"/>
      <c r="V49" s="55"/>
      <c r="W49" s="55"/>
      <c r="X49" s="55"/>
      <c r="Y49" s="55"/>
      <c r="Z49" s="55"/>
      <c r="AA49" s="55"/>
      <c r="AB49" s="55">
        <v>3333335</v>
      </c>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v>0</v>
      </c>
    </row>
    <row r="50" spans="1:77">
      <c r="A50" s="55">
        <f>CF!D41-C50</f>
        <v>-5900000</v>
      </c>
      <c r="B50" s="709" t="s">
        <v>1500</v>
      </c>
      <c r="C50" s="705">
        <f t="shared" si="14"/>
        <v>5900000</v>
      </c>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f>6409230-AO16</f>
        <v>7208230</v>
      </c>
      <c r="AP50" s="55">
        <v>-6408230</v>
      </c>
      <c r="AQ50" s="55"/>
      <c r="AR50" s="55"/>
      <c r="AS50" s="55"/>
      <c r="AT50" s="55"/>
      <c r="AU50" s="55"/>
      <c r="AV50" s="55"/>
      <c r="AW50" s="55"/>
      <c r="AX50" s="55">
        <v>5100000</v>
      </c>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v>0</v>
      </c>
    </row>
    <row r="51" spans="1:77">
      <c r="A51" s="55">
        <f>CF!D42-C51</f>
        <v>0</v>
      </c>
      <c r="B51" s="709" t="s">
        <v>1452</v>
      </c>
      <c r="C51" s="705">
        <f t="shared" si="14"/>
        <v>0</v>
      </c>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v>0</v>
      </c>
    </row>
    <row r="52" spans="1:77">
      <c r="A52" s="55">
        <f>CF!D43-C52</f>
        <v>14506300</v>
      </c>
      <c r="B52" s="709" t="s">
        <v>1501</v>
      </c>
      <c r="C52" s="705">
        <f t="shared" si="14"/>
        <v>2000000</v>
      </c>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v>2000000</v>
      </c>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v>0</v>
      </c>
    </row>
    <row r="53" spans="1:77">
      <c r="A53" s="55">
        <f>CF!D44-C53</f>
        <v>0</v>
      </c>
      <c r="B53" s="709" t="s">
        <v>1502</v>
      </c>
      <c r="C53" s="705">
        <f t="shared" si="14"/>
        <v>0</v>
      </c>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v>0</v>
      </c>
    </row>
    <row r="54" spans="1:77">
      <c r="B54" s="709"/>
      <c r="C54" s="70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v>0</v>
      </c>
    </row>
    <row r="55" spans="1:77">
      <c r="B55" s="709"/>
      <c r="C55" s="70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v>0</v>
      </c>
    </row>
    <row r="56" spans="1:77">
      <c r="B56" s="702" t="s">
        <v>1475</v>
      </c>
      <c r="C56" s="706">
        <f>SUM(C57:C65)</f>
        <v>-546071669</v>
      </c>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v>0</v>
      </c>
    </row>
    <row r="57" spans="1:77">
      <c r="A57" s="55">
        <f>CF!D46+C57</f>
        <v>0</v>
      </c>
      <c r="B57" s="709" t="s">
        <v>1503</v>
      </c>
      <c r="C57" s="705">
        <f t="shared" ref="C57:C65" si="15">SUM(E57:BY57)</f>
        <v>0</v>
      </c>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v>0</v>
      </c>
    </row>
    <row r="58" spans="1:77">
      <c r="A58" s="55">
        <f>CF!D47+C58</f>
        <v>0</v>
      </c>
      <c r="B58" s="709" t="s">
        <v>1504</v>
      </c>
      <c r="C58" s="705">
        <f t="shared" si="15"/>
        <v>0</v>
      </c>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v>0</v>
      </c>
    </row>
    <row r="59" spans="1:77">
      <c r="A59" s="55">
        <f>CF!D48+C59</f>
        <v>0</v>
      </c>
      <c r="B59" s="709" t="s">
        <v>1505</v>
      </c>
      <c r="C59" s="705">
        <f t="shared" si="15"/>
        <v>0</v>
      </c>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v>0</v>
      </c>
    </row>
    <row r="60" spans="1:77">
      <c r="A60" s="55">
        <f>CF!D49+C60</f>
        <v>8000000000</v>
      </c>
      <c r="B60" s="709" t="s">
        <v>219</v>
      </c>
      <c r="C60" s="705">
        <f t="shared" si="15"/>
        <v>0</v>
      </c>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v>0</v>
      </c>
    </row>
    <row r="61" spans="1:77">
      <c r="A61" s="55">
        <f>CF!D50+C61</f>
        <v>0</v>
      </c>
      <c r="B61" s="709" t="s">
        <v>1506</v>
      </c>
      <c r="C61" s="705">
        <f t="shared" si="15"/>
        <v>0</v>
      </c>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v>0</v>
      </c>
    </row>
    <row r="62" spans="1:77">
      <c r="A62" s="55">
        <f>CF!D51+C62</f>
        <v>392423553</v>
      </c>
      <c r="B62" s="709" t="s">
        <v>1507</v>
      </c>
      <c r="C62" s="705">
        <f t="shared" si="15"/>
        <v>-546071669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f>-8500000-22770000</f>
        <v>-31270000</v>
      </c>
      <c r="AN62" s="55"/>
      <c r="AO62" s="55"/>
      <c r="AP62" s="55"/>
      <c r="AQ62" s="55"/>
      <c r="AR62" s="55"/>
      <c r="AS62" s="55">
        <f>-3886210-8427272</f>
        <v>-12313482</v>
      </c>
      <c r="AT62" s="55"/>
      <c r="AU62" s="696">
        <f>-558855650-AU86</f>
        <v>-502488187</v>
      </c>
      <c r="AV62" s="55"/>
      <c r="AW62" s="55"/>
      <c r="AX62" s="55"/>
      <c r="AY62" s="55"/>
      <c r="AZ62" s="55"/>
      <c r="BA62" s="55"/>
      <c r="BB62" s="55"/>
      <c r="BC62" s="55"/>
      <c r="BD62" s="55"/>
      <c r="BE62" s="55"/>
      <c r="BF62" s="55"/>
      <c r="BG62" s="55"/>
      <c r="BH62" s="55"/>
      <c r="BI62" s="55"/>
      <c r="BJ62" s="696"/>
      <c r="BK62" s="55"/>
      <c r="BL62" s="55"/>
      <c r="BM62" s="55"/>
      <c r="BN62" s="55"/>
      <c r="BO62" s="55"/>
      <c r="BP62" s="55"/>
      <c r="BQ62" s="55"/>
      <c r="BR62" s="55"/>
      <c r="BS62" s="55"/>
      <c r="BT62" s="55"/>
      <c r="BU62" s="55"/>
      <c r="BV62" s="55"/>
      <c r="BW62" s="55"/>
      <c r="BX62" s="55"/>
      <c r="BY62" s="55">
        <v>0</v>
      </c>
    </row>
    <row r="63" spans="1:77">
      <c r="A63" s="55">
        <f>CF!D52+C63</f>
        <v>95882479</v>
      </c>
      <c r="B63" s="709" t="s">
        <v>1508</v>
      </c>
      <c r="C63" s="705">
        <f t="shared" si="15"/>
        <v>0</v>
      </c>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v>0</v>
      </c>
    </row>
    <row r="64" spans="1:77">
      <c r="A64" s="55">
        <f>CF!D53+C64</f>
        <v>0</v>
      </c>
      <c r="B64" s="709" t="s">
        <v>1516</v>
      </c>
      <c r="C64" s="705">
        <f t="shared" si="15"/>
        <v>0</v>
      </c>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v>0</v>
      </c>
    </row>
    <row r="65" spans="1:77">
      <c r="A65" s="55">
        <f>CF!D54+C65</f>
        <v>6640000</v>
      </c>
      <c r="B65" s="704" t="s">
        <v>1509</v>
      </c>
      <c r="C65" s="705">
        <f t="shared" si="15"/>
        <v>0</v>
      </c>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v>0</v>
      </c>
    </row>
    <row r="66" spans="1:77">
      <c r="B66" s="704"/>
      <c r="C66" s="708"/>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v>0</v>
      </c>
    </row>
    <row r="67" spans="1:77">
      <c r="B67" s="702" t="s">
        <v>1476</v>
      </c>
      <c r="C67" s="706">
        <f>C68+C73</f>
        <v>-178763420</v>
      </c>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v>0</v>
      </c>
    </row>
    <row r="68" spans="1:77">
      <c r="B68" s="702" t="s">
        <v>1477</v>
      </c>
      <c r="C68" s="706">
        <f>SUM(C69:C71)</f>
        <v>92265834</v>
      </c>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v>0</v>
      </c>
    </row>
    <row r="69" spans="1:77">
      <c r="A69" s="55">
        <f>CF!D57-C69</f>
        <v>0</v>
      </c>
      <c r="B69" s="704" t="s">
        <v>1510</v>
      </c>
      <c r="C69" s="705">
        <f t="shared" ref="C69:C71" si="16">SUM(E69:BY69)</f>
        <v>0</v>
      </c>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v>0</v>
      </c>
    </row>
    <row r="70" spans="1:77">
      <c r="A70" s="55">
        <f>CF!D58-C70</f>
        <v>0</v>
      </c>
      <c r="B70" s="704" t="s">
        <v>1511</v>
      </c>
      <c r="C70" s="705">
        <f t="shared" si="16"/>
        <v>0</v>
      </c>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v>0</v>
      </c>
    </row>
    <row r="71" spans="1:77">
      <c r="A71" s="55">
        <f>CF!D60-C71</f>
        <v>-92265834</v>
      </c>
      <c r="B71" s="704" t="s">
        <v>1512</v>
      </c>
      <c r="C71" s="705">
        <f t="shared" si="16"/>
        <v>92265834</v>
      </c>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v>19664500</v>
      </c>
      <c r="BV71" s="55">
        <v>72601334</v>
      </c>
      <c r="BW71" s="55"/>
      <c r="BX71" s="55"/>
      <c r="BY71" s="55">
        <v>0</v>
      </c>
    </row>
    <row r="72" spans="1:77">
      <c r="B72" s="704"/>
      <c r="C72" s="70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v>0</v>
      </c>
    </row>
    <row r="73" spans="1:77">
      <c r="B73" s="702" t="s">
        <v>1478</v>
      </c>
      <c r="C73" s="706">
        <f>SUM(C74:C76)</f>
        <v>-271029254</v>
      </c>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v>0</v>
      </c>
    </row>
    <row r="74" spans="1:77">
      <c r="A74" s="55">
        <f>CF!D62+C74</f>
        <v>0</v>
      </c>
      <c r="B74" s="709" t="s">
        <v>1513</v>
      </c>
      <c r="C74" s="705">
        <f t="shared" ref="C74:C78" si="17">SUM(E74:BY74)</f>
        <v>0</v>
      </c>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v>0</v>
      </c>
    </row>
    <row r="75" spans="1:77">
      <c r="A75" s="55">
        <f>CF!D63+C75</f>
        <v>54887596</v>
      </c>
      <c r="B75" s="709" t="s">
        <v>1514</v>
      </c>
      <c r="C75" s="705">
        <f t="shared" si="17"/>
        <v>-221049254</v>
      </c>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v>-157172274</v>
      </c>
      <c r="BN75" s="55"/>
      <c r="BO75" s="55"/>
      <c r="BP75" s="55"/>
      <c r="BQ75" s="55"/>
      <c r="BR75" s="55">
        <f>-36581193-BR22-17564000</f>
        <v>-63876980</v>
      </c>
      <c r="BS75" s="55"/>
      <c r="BT75" s="55"/>
      <c r="BU75" s="55"/>
      <c r="BV75" s="55"/>
      <c r="BW75" s="55"/>
      <c r="BX75" s="55"/>
      <c r="BY75" s="55">
        <v>0</v>
      </c>
    </row>
    <row r="76" spans="1:77">
      <c r="A76" s="55">
        <f>CF!D64+C76</f>
        <v>33320000</v>
      </c>
      <c r="B76" s="709" t="s">
        <v>1515</v>
      </c>
      <c r="C76" s="705">
        <f t="shared" si="17"/>
        <v>-49980000</v>
      </c>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v>-49980000</v>
      </c>
      <c r="BM76" s="55"/>
      <c r="BN76" s="55"/>
      <c r="BO76" s="55"/>
      <c r="BP76" s="55"/>
      <c r="BQ76" s="55"/>
      <c r="BR76" s="55"/>
      <c r="BS76" s="55"/>
      <c r="BT76" s="55"/>
      <c r="BU76" s="55"/>
      <c r="BV76" s="55"/>
      <c r="BW76" s="55"/>
      <c r="BX76" s="55"/>
      <c r="BY76" s="55">
        <v>0</v>
      </c>
    </row>
    <row r="77" spans="1:77">
      <c r="B77" s="707" t="s">
        <v>1479</v>
      </c>
      <c r="C77" s="708">
        <f>C9+C46+C67</f>
        <v>1239190031</v>
      </c>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v>0</v>
      </c>
    </row>
    <row r="78" spans="1:77">
      <c r="A78" s="55">
        <f>CF!D65-C78</f>
        <v>3733</v>
      </c>
      <c r="B78" s="704" t="s">
        <v>1480</v>
      </c>
      <c r="C78" s="705">
        <f t="shared" si="17"/>
        <v>-3728</v>
      </c>
      <c r="E78" s="55">
        <f>-E26-E17</f>
        <v>-3728</v>
      </c>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v>0</v>
      </c>
    </row>
    <row r="79" spans="1:77">
      <c r="B79" s="707" t="s">
        <v>1481</v>
      </c>
      <c r="C79" s="708">
        <f>BS!F5</f>
        <v>19169211185</v>
      </c>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v>0</v>
      </c>
    </row>
    <row r="80" spans="1:77">
      <c r="B80" s="707" t="s">
        <v>1482</v>
      </c>
      <c r="C80" s="710">
        <f>SUM(C77:C79)</f>
        <v>20408397488</v>
      </c>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v>0</v>
      </c>
    </row>
    <row r="81" spans="2:77">
      <c r="B81" s="711"/>
      <c r="C81" s="711" t="b">
        <f>C80=E4</f>
        <v>0</v>
      </c>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v>0</v>
      </c>
    </row>
    <row r="82" spans="2:77">
      <c r="B82" s="711"/>
      <c r="C82" s="711"/>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v>0</v>
      </c>
    </row>
    <row r="83" spans="2:77">
      <c r="B83" s="711"/>
      <c r="C83" s="711"/>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v>0</v>
      </c>
    </row>
    <row r="84" spans="2:77">
      <c r="B84" s="712" t="s">
        <v>1483</v>
      </c>
      <c r="C84" s="711"/>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v>0</v>
      </c>
    </row>
    <row r="85" spans="2:77">
      <c r="B85" s="704" t="s">
        <v>1484</v>
      </c>
      <c r="C85" s="705">
        <f>SUM(E85:BY85)</f>
        <v>0</v>
      </c>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v>0</v>
      </c>
    </row>
    <row r="86" spans="2:77">
      <c r="B86" s="704" t="s">
        <v>1485</v>
      </c>
      <c r="C86" s="705">
        <f t="shared" ref="C86:C98" si="18">SUM(E86:BY86)</f>
        <v>0</v>
      </c>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f>-BJ86</f>
        <v>-56367463</v>
      </c>
      <c r="AV86" s="55"/>
      <c r="AW86" s="55"/>
      <c r="AX86" s="55"/>
      <c r="AY86" s="55"/>
      <c r="AZ86" s="55"/>
      <c r="BA86" s="55"/>
      <c r="BB86" s="55"/>
      <c r="BC86" s="55"/>
      <c r="BD86" s="55"/>
      <c r="BE86" s="55"/>
      <c r="BF86" s="55"/>
      <c r="BG86" s="55"/>
      <c r="BH86" s="55"/>
      <c r="BI86" s="55"/>
      <c r="BJ86" s="55">
        <v>56367463</v>
      </c>
      <c r="BK86" s="55"/>
      <c r="BL86" s="55"/>
      <c r="BM86" s="55"/>
      <c r="BN86" s="55"/>
      <c r="BO86" s="55"/>
      <c r="BP86" s="55"/>
      <c r="BQ86" s="55"/>
      <c r="BR86" s="55"/>
      <c r="BS86" s="55"/>
      <c r="BT86" s="55"/>
      <c r="BU86" s="55"/>
      <c r="BV86" s="55"/>
      <c r="BW86" s="55"/>
      <c r="BX86" s="55"/>
      <c r="BY86" s="55">
        <v>0</v>
      </c>
    </row>
    <row r="87" spans="2:77">
      <c r="B87" s="704" t="s">
        <v>1486</v>
      </c>
      <c r="C87" s="705">
        <f t="shared" si="18"/>
        <v>0</v>
      </c>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f>-BQ87</f>
        <v>49980000</v>
      </c>
      <c r="BM87" s="55"/>
      <c r="BN87" s="55"/>
      <c r="BO87" s="55"/>
      <c r="BP87" s="55"/>
      <c r="BQ87" s="55">
        <f>-24990000-24990000</f>
        <v>-49980000</v>
      </c>
      <c r="BR87" s="55"/>
      <c r="BS87" s="55"/>
      <c r="BT87" s="55"/>
      <c r="BU87" s="55"/>
      <c r="BV87" s="55"/>
      <c r="BW87" s="55"/>
      <c r="BX87" s="55"/>
      <c r="BY87" s="55">
        <v>0</v>
      </c>
    </row>
    <row r="88" spans="2:77">
      <c r="B88" s="704" t="s">
        <v>1487</v>
      </c>
      <c r="C88" s="705">
        <f t="shared" si="18"/>
        <v>0</v>
      </c>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v>0</v>
      </c>
    </row>
    <row r="89" spans="2:77">
      <c r="B89" s="704" t="s">
        <v>1780</v>
      </c>
      <c r="C89" s="705">
        <f t="shared" si="18"/>
        <v>0</v>
      </c>
      <c r="E89" s="55"/>
      <c r="F89" s="55"/>
      <c r="G89" s="55"/>
      <c r="H89" s="55"/>
      <c r="I89" s="55"/>
      <c r="J89" s="55"/>
      <c r="K89" s="55"/>
      <c r="L89" s="55"/>
      <c r="M89" s="55"/>
      <c r="N89" s="55"/>
      <c r="O89" s="55"/>
      <c r="P89" s="55"/>
      <c r="Q89" s="55"/>
      <c r="R89" s="55"/>
      <c r="S89" s="55"/>
      <c r="T89" s="55"/>
      <c r="U89" s="55"/>
      <c r="V89" s="55">
        <f>-BB89</f>
        <v>3950800</v>
      </c>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v>-3950800</v>
      </c>
      <c r="BC89" s="55"/>
      <c r="BD89" s="55"/>
      <c r="BE89" s="55"/>
      <c r="BF89" s="55"/>
      <c r="BG89" s="55"/>
      <c r="BH89" s="55"/>
      <c r="BI89" s="55"/>
      <c r="BJ89" s="55"/>
      <c r="BK89" s="55"/>
      <c r="BL89" s="55"/>
      <c r="BM89" s="55"/>
      <c r="BN89" s="55"/>
      <c r="BO89" s="55"/>
      <c r="BP89" s="55"/>
      <c r="BQ89" s="55"/>
      <c r="BR89" s="55"/>
      <c r="BS89" s="55"/>
      <c r="BT89" s="55"/>
      <c r="BU89" s="55"/>
      <c r="BV89" s="55"/>
      <c r="BW89" s="55"/>
      <c r="BX89" s="55"/>
      <c r="BY89" s="55">
        <v>0</v>
      </c>
    </row>
    <row r="90" spans="2:77">
      <c r="B90" s="704" t="s">
        <v>1782</v>
      </c>
      <c r="C90" s="705">
        <f t="shared" si="18"/>
        <v>0</v>
      </c>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f>-건중대체!M8</f>
        <v>0</v>
      </c>
      <c r="AK90" s="55">
        <f>-건중대체!M7</f>
        <v>-115440965</v>
      </c>
      <c r="AL90" s="55"/>
      <c r="AM90" s="55">
        <f>-건중대체!M3</f>
        <v>-557640020</v>
      </c>
      <c r="AN90" s="55"/>
      <c r="AO90" s="55"/>
      <c r="AP90" s="55"/>
      <c r="AQ90" s="55"/>
      <c r="AR90" s="55"/>
      <c r="AS90" s="55">
        <f>-건중대체!M4</f>
        <v>-1476538478</v>
      </c>
      <c r="AT90" s="55"/>
      <c r="AU90" s="55">
        <f>SUM(건중대체!M3:M5,건중대체!M7:M8)</f>
        <v>2648657367</v>
      </c>
      <c r="AV90" s="55"/>
      <c r="AW90" s="55"/>
      <c r="AX90" s="55">
        <f>-건중대체!M5</f>
        <v>-499037904</v>
      </c>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v>0</v>
      </c>
    </row>
    <row r="91" spans="2:77">
      <c r="B91" s="704" t="s">
        <v>1518</v>
      </c>
      <c r="C91" s="705">
        <f t="shared" si="18"/>
        <v>0</v>
      </c>
      <c r="E91" s="55"/>
      <c r="F91" s="55"/>
      <c r="G91" s="55"/>
      <c r="H91" s="55"/>
      <c r="I91" s="55"/>
      <c r="J91" s="55"/>
      <c r="K91" s="55"/>
      <c r="L91" s="55"/>
      <c r="M91" s="55"/>
      <c r="N91" s="55"/>
      <c r="O91" s="55"/>
      <c r="P91" s="55"/>
      <c r="Q91" s="55"/>
      <c r="R91" s="55"/>
      <c r="S91" s="55"/>
      <c r="T91" s="55"/>
      <c r="U91" s="55"/>
      <c r="V91" s="55"/>
      <c r="W91" s="55"/>
      <c r="X91" s="55"/>
      <c r="Y91" s="55"/>
      <c r="Z91" s="55"/>
      <c r="AA91" s="55">
        <v>2000000</v>
      </c>
      <c r="AB91" s="55"/>
      <c r="AC91" s="55"/>
      <c r="AD91" s="55">
        <f>-AA91</f>
        <v>-2000000</v>
      </c>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v>0</v>
      </c>
    </row>
    <row r="92" spans="2:77">
      <c r="B92" s="748" t="s">
        <v>1580</v>
      </c>
      <c r="C92" s="705">
        <f t="shared" si="18"/>
        <v>0</v>
      </c>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f>-BW92</f>
        <v>27842570</v>
      </c>
      <c r="BW92" s="55">
        <v>-27842570</v>
      </c>
      <c r="BX92" s="55"/>
    </row>
    <row r="93" spans="2:77">
      <c r="B93" s="748" t="s">
        <v>1981</v>
      </c>
      <c r="C93" s="1060"/>
      <c r="E93" s="55"/>
      <c r="F93" s="55"/>
      <c r="G93" s="55"/>
      <c r="H93" s="55"/>
      <c r="I93" s="55"/>
      <c r="J93" s="55"/>
      <c r="K93" s="55"/>
      <c r="L93" s="55"/>
      <c r="M93" s="55"/>
      <c r="N93" s="55"/>
      <c r="O93" s="55"/>
      <c r="P93" s="55"/>
      <c r="Q93" s="55">
        <f>-R93</f>
        <v>52364944</v>
      </c>
      <c r="R93" s="55">
        <v>-52364944</v>
      </c>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row>
    <row r="94" spans="2:77">
      <c r="B94" s="704" t="s">
        <v>1519</v>
      </c>
      <c r="C94" s="705">
        <f t="shared" si="18"/>
        <v>0</v>
      </c>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v>0</v>
      </c>
    </row>
    <row r="95" spans="2:77">
      <c r="B95" s="704" t="s">
        <v>1520</v>
      </c>
      <c r="C95" s="705">
        <f t="shared" si="18"/>
        <v>0</v>
      </c>
      <c r="E95" s="55"/>
      <c r="F95" s="55"/>
      <c r="G95" s="55">
        <f>-H95</f>
        <v>4288138</v>
      </c>
      <c r="H95" s="55">
        <v>-4288138</v>
      </c>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row>
    <row r="96" spans="2:77">
      <c r="B96" s="704" t="s">
        <v>1488</v>
      </c>
      <c r="C96" s="705">
        <f t="shared" si="18"/>
        <v>0</v>
      </c>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f>-12122500-67903122</f>
        <v>-80025622</v>
      </c>
      <c r="BA96" s="55"/>
      <c r="BB96" s="55"/>
      <c r="BC96" s="55"/>
      <c r="BD96" s="55"/>
      <c r="BE96" s="55"/>
      <c r="BF96" s="55"/>
      <c r="BG96" s="55"/>
      <c r="BH96" s="55"/>
      <c r="BI96" s="55"/>
      <c r="BJ96" s="55"/>
      <c r="BK96" s="55"/>
      <c r="BL96" s="55"/>
      <c r="BM96" s="55"/>
      <c r="BN96" s="55"/>
      <c r="BO96" s="55"/>
      <c r="BP96" s="55"/>
      <c r="BQ96" s="55"/>
      <c r="BR96" s="55">
        <f>-AZ96-V96</f>
        <v>80025622</v>
      </c>
      <c r="BS96" s="55"/>
      <c r="BT96" s="55"/>
      <c r="BU96" s="55"/>
      <c r="BV96" s="55"/>
      <c r="BW96" s="55"/>
      <c r="BX96" s="55"/>
      <c r="BY96" s="55">
        <v>0</v>
      </c>
    </row>
    <row r="97" spans="2:77">
      <c r="B97" s="704" t="s">
        <v>1860</v>
      </c>
      <c r="C97" s="705">
        <f t="shared" si="18"/>
        <v>0</v>
      </c>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v>2935662</v>
      </c>
      <c r="BN97" s="55"/>
      <c r="BO97" s="55"/>
      <c r="BP97" s="55"/>
      <c r="BQ97" s="55"/>
      <c r="BR97" s="55">
        <f>-BM97</f>
        <v>-2935662</v>
      </c>
      <c r="BS97" s="55"/>
      <c r="BT97" s="55"/>
      <c r="BU97" s="55"/>
      <c r="BV97" s="55"/>
      <c r="BW97" s="55"/>
      <c r="BX97" s="55"/>
    </row>
    <row r="98" spans="2:77">
      <c r="B98" s="704" t="s">
        <v>1781</v>
      </c>
      <c r="C98" s="705">
        <f t="shared" si="18"/>
        <v>0</v>
      </c>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f>61908322+53316223</f>
        <v>115224545</v>
      </c>
      <c r="BA98" s="55">
        <f>-61908322-45318791-BA25</f>
        <v>-107325155</v>
      </c>
      <c r="BB98" s="55"/>
      <c r="BC98" s="55"/>
      <c r="BD98" s="55"/>
      <c r="BE98" s="55"/>
      <c r="BF98" s="55"/>
      <c r="BG98" s="55"/>
      <c r="BH98" s="55"/>
      <c r="BI98" s="55"/>
      <c r="BJ98" s="55"/>
      <c r="BK98" s="55"/>
      <c r="BL98" s="55"/>
      <c r="BM98" s="696">
        <v>-7899390</v>
      </c>
      <c r="BN98" s="55"/>
      <c r="BO98" s="55"/>
      <c r="BP98" s="55"/>
      <c r="BQ98" s="55"/>
      <c r="BR98" s="55"/>
      <c r="BS98" s="55"/>
      <c r="BT98" s="55"/>
      <c r="BU98" s="55"/>
      <c r="BV98" s="55"/>
      <c r="BW98" s="55"/>
      <c r="BX98" s="55"/>
      <c r="BY98" s="55">
        <v>0</v>
      </c>
    </row>
    <row r="99" spans="2:77">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v>0</v>
      </c>
    </row>
    <row r="100" spans="2:77">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v>0</v>
      </c>
    </row>
    <row r="101" spans="2:77">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v>0</v>
      </c>
    </row>
    <row r="102" spans="2:77">
      <c r="BY102" s="55">
        <v>0</v>
      </c>
    </row>
    <row r="103" spans="2:77">
      <c r="BY103" s="55">
        <v>0</v>
      </c>
    </row>
    <row r="104" spans="2:77">
      <c r="BY104" s="55">
        <v>0</v>
      </c>
    </row>
    <row r="105" spans="2:77">
      <c r="BY105" s="55">
        <v>0</v>
      </c>
    </row>
    <row r="1048571" spans="77:77">
      <c r="BY1048571" s="55">
        <f>SUM(BY1:BY1048570)</f>
        <v>0</v>
      </c>
    </row>
  </sheetData>
  <phoneticPr fontId="232" type="noConversion"/>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BA46D67E-3972-4C68-A6A2-913C0BE24F6D}">
            <xm:f>NOT(ISERROR(SEARCH("FALSE",B8)))</xm:f>
            <xm:f>"FALSE"</xm:f>
            <x14:dxf>
              <fill>
                <patternFill>
                  <bgColor rgb="FFFF0000"/>
                </patternFill>
              </fill>
            </x14:dxf>
          </x14:cfRule>
          <xm:sqref>B8:C98</xm:sqref>
        </x14:conditionalFormatting>
        <x14:conditionalFormatting xmlns:xm="http://schemas.microsoft.com/office/excel/2006/main">
          <x14:cfRule type="containsText" priority="4" operator="containsText" id="{3F285467-1D84-4107-AF12-DEE153F07684}">
            <xm:f>NOT(ISERROR(SEARCH("FALSE",D1)))</xm:f>
            <xm:f>"FALSE"</xm:f>
            <x14:dxf>
              <fill>
                <patternFill>
                  <bgColor rgb="FFFF0000"/>
                </patternFill>
              </fill>
            </x14:dxf>
          </x14:cfRule>
          <xm:sqref>D1:BX7</xm:sqref>
        </x14:conditionalFormatting>
        <x14:conditionalFormatting xmlns:xm="http://schemas.microsoft.com/office/excel/2006/main">
          <x14:cfRule type="containsText" priority="1" operator="containsText" id="{18B29567-27E5-4DC8-8412-31EB59ECE799}">
            <xm:f>NOT(ISERROR(SEARCH("false",BZ6)))</xm:f>
            <xm:f>"false"</xm:f>
            <x14:dxf>
              <fill>
                <patternFill>
                  <bgColor rgb="FFFF0000"/>
                </patternFill>
              </fill>
            </x14:dxf>
          </x14:cfRule>
          <xm:sqref>BZ6:CB7</xm:sqref>
        </x14:conditionalFormatting>
        <x14:conditionalFormatting xmlns:xm="http://schemas.microsoft.com/office/excel/2006/main">
          <x14:cfRule type="containsText" priority="3" operator="containsText" id="{5D7B4ABA-A304-4A2A-9371-A3E3EF82F853}">
            <xm:f>NOT(ISERROR(SEARCH("FALSE",CG2)))</xm:f>
            <xm:f>"FALSE"</xm:f>
            <x14:dxf>
              <fill>
                <patternFill>
                  <bgColor rgb="FFFF0000"/>
                </patternFill>
              </fill>
            </x14:dxf>
          </x14:cfRule>
          <xm:sqref>CG2:CI4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theme="1" tint="0.499984740745262"/>
  </sheetPr>
  <dimension ref="A1:Z125"/>
  <sheetViews>
    <sheetView showGridLines="0" zoomScale="70" zoomScaleNormal="70" workbookViewId="0">
      <pane xSplit="6" ySplit="7" topLeftCell="G12" activePane="bottomRight" state="frozen"/>
      <selection activeCell="L46" sqref="L46"/>
      <selection pane="topRight" activeCell="L46" sqref="L46"/>
      <selection pane="bottomLeft" activeCell="L46" sqref="L46"/>
      <selection pane="bottomRight" activeCell="K31" sqref="K31"/>
    </sheetView>
  </sheetViews>
  <sheetFormatPr defaultColWidth="9" defaultRowHeight="15"/>
  <cols>
    <col min="1" max="1" width="0.35546875" style="440" customWidth="1"/>
    <col min="2" max="2" width="18.0703125" style="440" customWidth="1"/>
    <col min="3" max="5" width="15" style="440" customWidth="1"/>
    <col min="6" max="6" width="15" style="441" customWidth="1"/>
    <col min="7" max="7" width="15" style="440" customWidth="1"/>
    <col min="8" max="10" width="15" style="442" customWidth="1"/>
    <col min="11" max="11" width="21.85546875" style="442" customWidth="1"/>
    <col min="12" max="16" width="15" style="442" customWidth="1"/>
    <col min="17" max="17" width="15.0703125" style="442" customWidth="1"/>
    <col min="18" max="18" width="16.0703125" style="440" customWidth="1"/>
    <col min="19" max="19" width="12.5703125" style="440" bestFit="1" customWidth="1"/>
    <col min="20" max="20" width="13.5703125" style="442" customWidth="1"/>
    <col min="21" max="21" width="14.0703125" style="442" customWidth="1"/>
    <col min="22" max="23" width="14.85546875" style="440" customWidth="1"/>
    <col min="24" max="24" width="12.0703125" style="440" bestFit="1" customWidth="1"/>
    <col min="25" max="25" width="11.5703125" style="440" customWidth="1"/>
    <col min="26" max="26" width="10.85546875" style="440" bestFit="1" customWidth="1"/>
    <col min="27" max="16384" width="9" style="440"/>
  </cols>
  <sheetData>
    <row r="1" spans="1:21">
      <c r="B1" s="440" t="s">
        <v>142</v>
      </c>
      <c r="H1" s="477"/>
      <c r="I1" s="477"/>
      <c r="J1" s="477"/>
      <c r="K1" s="477">
        <f>'CF정산표(26.2Q)'!K14+'CF정산표(26.2Q)'!K18</f>
        <v>504628226</v>
      </c>
    </row>
    <row r="2" spans="1:21" ht="12.65" customHeight="1">
      <c r="H2" s="477"/>
      <c r="I2" s="477"/>
      <c r="J2" s="477"/>
      <c r="K2" s="477"/>
    </row>
    <row r="3" spans="1:21" ht="24.65" customHeight="1">
      <c r="F3" s="441">
        <f>ROUND((SUM('CF정산표(26.2Q)'!H22:H29)-SUM('CF정산표(26.2Q)'!J22:J29))/10^6,)</f>
        <v>131</v>
      </c>
      <c r="H3" s="502"/>
      <c r="I3" s="502"/>
      <c r="J3" s="502"/>
      <c r="K3" s="502"/>
      <c r="N3" s="442">
        <f>'CF정산표(26.2Q)'!J11-'CF정산표(26.2Q)'!H11</f>
        <v>5</v>
      </c>
    </row>
    <row r="4" spans="1:21">
      <c r="F4" s="440">
        <f>G4</f>
        <v>0</v>
      </c>
      <c r="G4" s="440">
        <f>SUM(H112:P112,Q111)</f>
        <v>0</v>
      </c>
      <c r="H4" s="502"/>
      <c r="I4" s="502"/>
      <c r="J4" s="502"/>
      <c r="K4" s="502"/>
      <c r="M4" s="442">
        <f>'CF정산표(26.2Q)'!K78+'CF정산표(26.2Q)'!K79+'CF정산표(26.2Q)'!K80</f>
        <v>1534270814</v>
      </c>
    </row>
    <row r="5" spans="1:21">
      <c r="C5" s="440" t="b">
        <f>C73=BS!E68</f>
        <v>1</v>
      </c>
      <c r="D5" s="440" t="b">
        <f>D73=BS!F68</f>
        <v>1</v>
      </c>
      <c r="F5" s="440"/>
      <c r="G5" s="443" t="s">
        <v>1001</v>
      </c>
      <c r="H5" s="444"/>
      <c r="I5" s="444"/>
      <c r="J5" s="444"/>
      <c r="K5" s="445"/>
      <c r="P5" s="442" t="s">
        <v>1231</v>
      </c>
      <c r="Q5" s="442" t="s">
        <v>1232</v>
      </c>
    </row>
    <row r="6" spans="1:21" s="446" customFormat="1" ht="14.15" customHeight="1">
      <c r="B6" s="1238" t="s">
        <v>28</v>
      </c>
      <c r="C6" s="1240">
        <f>BS!E1</f>
        <v>46203</v>
      </c>
      <c r="D6" s="1240">
        <f>BS!F1</f>
        <v>46022</v>
      </c>
      <c r="E6" s="1242" t="s">
        <v>144</v>
      </c>
      <c r="F6" s="1244" t="s">
        <v>143</v>
      </c>
      <c r="G6" s="1231" t="s">
        <v>145</v>
      </c>
      <c r="H6" s="1232"/>
      <c r="I6" s="1232"/>
      <c r="J6" s="1233"/>
      <c r="K6" s="447" t="s">
        <v>1000</v>
      </c>
      <c r="L6" s="448" t="s">
        <v>146</v>
      </c>
      <c r="M6" s="449"/>
      <c r="N6" s="450" t="s">
        <v>147</v>
      </c>
      <c r="O6" s="450"/>
      <c r="P6" s="451" t="s">
        <v>148</v>
      </c>
      <c r="Q6" s="452"/>
      <c r="T6" s="453"/>
      <c r="U6" s="453"/>
    </row>
    <row r="7" spans="1:21" s="446" customFormat="1" ht="14.25" customHeight="1">
      <c r="B7" s="1239"/>
      <c r="C7" s="1241"/>
      <c r="D7" s="1241"/>
      <c r="E7" s="1243"/>
      <c r="F7" s="1245"/>
      <c r="G7" s="1234" t="s">
        <v>149</v>
      </c>
      <c r="H7" s="1235"/>
      <c r="I7" s="1236" t="s">
        <v>150</v>
      </c>
      <c r="J7" s="1237"/>
      <c r="K7" s="454" t="s">
        <v>149</v>
      </c>
      <c r="L7" s="455" t="s">
        <v>149</v>
      </c>
      <c r="M7" s="456" t="s">
        <v>150</v>
      </c>
      <c r="N7" s="457" t="s">
        <v>149</v>
      </c>
      <c r="O7" s="545" t="s">
        <v>150</v>
      </c>
      <c r="P7" s="548" t="s">
        <v>149</v>
      </c>
      <c r="Q7" s="548" t="s">
        <v>150</v>
      </c>
      <c r="T7" s="453"/>
      <c r="U7" s="453"/>
    </row>
    <row r="8" spans="1:21" s="446" customFormat="1">
      <c r="B8" s="31"/>
      <c r="C8" s="533"/>
      <c r="D8" s="533"/>
      <c r="E8" s="458"/>
      <c r="F8" s="459"/>
      <c r="G8" s="31"/>
      <c r="H8" s="460"/>
      <c r="I8" s="460"/>
      <c r="J8" s="461"/>
      <c r="K8" s="462"/>
      <c r="L8" s="463"/>
      <c r="M8" s="464"/>
      <c r="N8" s="465"/>
      <c r="O8" s="546"/>
      <c r="P8" s="464"/>
      <c r="Q8" s="464"/>
      <c r="T8" s="453"/>
      <c r="U8" s="453"/>
    </row>
    <row r="9" spans="1:21" s="446" customFormat="1">
      <c r="B9" s="466" t="s">
        <v>71</v>
      </c>
      <c r="C9" s="534"/>
      <c r="D9" s="534"/>
      <c r="E9" s="458"/>
      <c r="F9" s="459"/>
      <c r="G9" s="31"/>
      <c r="H9" s="460"/>
      <c r="I9" s="460"/>
      <c r="J9" s="461"/>
      <c r="K9" s="462"/>
      <c r="L9" s="467"/>
      <c r="M9" s="464"/>
      <c r="N9" s="465"/>
      <c r="O9" s="546"/>
      <c r="P9" s="464"/>
      <c r="Q9" s="464"/>
      <c r="T9" s="453"/>
      <c r="U9" s="453"/>
    </row>
    <row r="10" spans="1:21">
      <c r="B10" s="468" t="str">
        <f>BS!C4</f>
        <v>현금및현금성자산</v>
      </c>
      <c r="C10" s="535"/>
      <c r="D10" s="535"/>
      <c r="E10" s="469"/>
      <c r="F10" s="469"/>
      <c r="G10" s="470"/>
      <c r="H10" s="471"/>
      <c r="I10" s="471"/>
      <c r="J10" s="472"/>
      <c r="K10" s="473"/>
      <c r="L10" s="474"/>
      <c r="M10" s="475"/>
      <c r="N10" s="476"/>
      <c r="O10" s="474"/>
      <c r="P10" s="475"/>
      <c r="Q10" s="475"/>
      <c r="T10" s="477"/>
      <c r="U10" s="477"/>
    </row>
    <row r="11" spans="1:21">
      <c r="A11" s="440" t="s">
        <v>720</v>
      </c>
      <c r="B11" s="468" t="str">
        <f>BS!C5</f>
        <v>현금및현금성자산</v>
      </c>
      <c r="C11" s="535">
        <f>BS!E5</f>
        <v>10968165061</v>
      </c>
      <c r="D11" s="535">
        <f>BS!F5</f>
        <v>19169211185</v>
      </c>
      <c r="E11" s="478">
        <f>C11-D11</f>
        <v>-8201046124</v>
      </c>
      <c r="F11" s="478">
        <f>E11+H11-J11+K11+L11-M11+N11-O11+P11-Q11</f>
        <v>-8201046129</v>
      </c>
      <c r="G11" s="439" t="s">
        <v>116</v>
      </c>
      <c r="H11" s="933"/>
      <c r="I11" s="480" t="s">
        <v>113</v>
      </c>
      <c r="J11" s="934">
        <v>5</v>
      </c>
      <c r="K11" s="479"/>
      <c r="L11" s="482"/>
      <c r="M11" s="483"/>
      <c r="N11" s="484"/>
      <c r="O11" s="482"/>
      <c r="P11" s="483"/>
      <c r="Q11" s="483"/>
      <c r="T11" s="477"/>
      <c r="U11" s="477"/>
    </row>
    <row r="12" spans="1:21">
      <c r="B12" s="468" t="str">
        <f>BS!C6</f>
        <v>단기금융상품</v>
      </c>
      <c r="C12" s="535">
        <f>BS!E6</f>
        <v>0</v>
      </c>
      <c r="D12" s="535">
        <f>BS!F6</f>
        <v>0</v>
      </c>
      <c r="E12" s="478">
        <f t="shared" ref="E12:E96" si="0">C12-D12</f>
        <v>0</v>
      </c>
      <c r="F12" s="478">
        <f>E12+H12-J12+K12+L12-M12+N12-O12+P12-Q12</f>
        <v>0</v>
      </c>
      <c r="G12" s="439"/>
      <c r="H12" s="486"/>
      <c r="I12" s="480"/>
      <c r="J12" s="481"/>
      <c r="K12" s="481"/>
      <c r="L12" s="482"/>
      <c r="M12" s="483"/>
      <c r="N12" s="484"/>
      <c r="O12" s="482"/>
      <c r="P12" s="483"/>
      <c r="Q12" s="483"/>
      <c r="T12" s="477"/>
      <c r="U12" s="477"/>
    </row>
    <row r="13" spans="1:21">
      <c r="B13" s="468" t="str">
        <f>BS!C7</f>
        <v>매출채권및기타채권</v>
      </c>
      <c r="C13" s="535"/>
      <c r="D13" s="535"/>
      <c r="E13" s="478"/>
      <c r="F13" s="478"/>
      <c r="G13" s="439"/>
      <c r="H13" s="480"/>
      <c r="I13" s="480"/>
      <c r="J13" s="480"/>
      <c r="K13" s="481"/>
      <c r="L13" s="482"/>
      <c r="M13" s="483"/>
      <c r="N13" s="484"/>
      <c r="O13" s="482"/>
      <c r="P13" s="483"/>
      <c r="Q13" s="483"/>
      <c r="T13" s="477"/>
      <c r="U13" s="477"/>
    </row>
    <row r="14" spans="1:21" ht="14.25" customHeight="1">
      <c r="B14" s="468" t="str">
        <f>BS!C8</f>
        <v>매출채권</v>
      </c>
      <c r="C14" s="535">
        <f>BS!E8</f>
        <v>1535770100</v>
      </c>
      <c r="D14" s="535">
        <f>BS!F8</f>
        <v>1998788804</v>
      </c>
      <c r="E14" s="478">
        <f t="shared" si="0"/>
        <v>-463018704</v>
      </c>
      <c r="F14" s="478">
        <f>E14+H14-J14+K14+L14-M14+N14-O14+P14-Q14</f>
        <v>0</v>
      </c>
      <c r="G14" s="767" t="s">
        <v>116</v>
      </c>
      <c r="H14" s="768">
        <f>PL!E83-H11</f>
        <v>0</v>
      </c>
      <c r="I14" s="480" t="s">
        <v>113</v>
      </c>
      <c r="J14" s="487">
        <v>37603834</v>
      </c>
      <c r="K14" s="488">
        <v>500622538</v>
      </c>
      <c r="L14" s="482"/>
      <c r="M14" s="483"/>
      <c r="N14" s="484"/>
      <c r="O14" s="482"/>
      <c r="P14" s="483">
        <f>Q15</f>
        <v>0</v>
      </c>
      <c r="Q14" s="483"/>
      <c r="R14" s="440" t="s">
        <v>342</v>
      </c>
      <c r="T14" s="477"/>
      <c r="U14" s="477"/>
    </row>
    <row r="15" spans="1:21">
      <c r="B15" s="468" t="str">
        <f>BS!C9</f>
        <v>매출채권대손충당금</v>
      </c>
      <c r="C15" s="535">
        <f>BS!E9</f>
        <v>-105342662</v>
      </c>
      <c r="D15" s="535">
        <f>BS!F9</f>
        <v>-188230079</v>
      </c>
      <c r="E15" s="478">
        <f>C15-D15</f>
        <v>82887417</v>
      </c>
      <c r="F15" s="478">
        <f t="shared" ref="F15:F37" si="1">E15+H15-J15+K15+L15-M15+N15-O15+P15-Q15</f>
        <v>0</v>
      </c>
      <c r="G15" s="439" t="s">
        <v>1787</v>
      </c>
      <c r="H15" s="489">
        <v>-82887417</v>
      </c>
      <c r="I15" s="480"/>
      <c r="J15" s="480"/>
      <c r="K15" s="481"/>
      <c r="L15" s="482"/>
      <c r="M15" s="483"/>
      <c r="N15" s="484"/>
      <c r="O15" s="482"/>
      <c r="P15" s="483"/>
      <c r="Q15" s="483"/>
      <c r="R15" s="440" t="s">
        <v>1788</v>
      </c>
      <c r="T15" s="477"/>
      <c r="U15" s="477"/>
    </row>
    <row r="16" spans="1:21">
      <c r="B16" s="468" t="str">
        <f>BS!C10</f>
        <v>미수수익</v>
      </c>
      <c r="C16" s="535">
        <f>BS!E10</f>
        <v>0</v>
      </c>
      <c r="D16" s="535">
        <f>BS!F10</f>
        <v>0</v>
      </c>
      <c r="E16" s="478">
        <f t="shared" si="0"/>
        <v>0</v>
      </c>
      <c r="F16" s="478">
        <f t="shared" si="1"/>
        <v>0</v>
      </c>
      <c r="G16" s="439"/>
      <c r="H16" s="480"/>
      <c r="I16" s="480" t="s">
        <v>367</v>
      </c>
      <c r="J16" s="487">
        <f>PL!E76-J42</f>
        <v>14069356</v>
      </c>
      <c r="K16" s="481">
        <v>14069356</v>
      </c>
      <c r="L16" s="482"/>
      <c r="M16" s="483"/>
      <c r="N16" s="484"/>
      <c r="O16" s="482"/>
      <c r="P16" s="483"/>
      <c r="Q16" s="483"/>
      <c r="T16" s="477"/>
      <c r="U16" s="477"/>
    </row>
    <row r="17" spans="2:21">
      <c r="B17" s="468" t="str">
        <f>BS!C11</f>
        <v>미수수익대손충당금</v>
      </c>
      <c r="C17" s="535">
        <f>BS!E11</f>
        <v>0</v>
      </c>
      <c r="D17" s="535">
        <f>BS!F11</f>
        <v>0</v>
      </c>
      <c r="E17" s="478">
        <f>C17-D17</f>
        <v>0</v>
      </c>
      <c r="F17" s="478">
        <f t="shared" si="1"/>
        <v>0</v>
      </c>
      <c r="G17" s="439" t="s">
        <v>109</v>
      </c>
      <c r="H17" s="489"/>
      <c r="I17" s="480"/>
      <c r="J17" s="480"/>
      <c r="K17" s="481"/>
      <c r="L17" s="482"/>
      <c r="M17" s="483"/>
      <c r="N17" s="484"/>
      <c r="O17" s="482"/>
      <c r="P17" s="483"/>
      <c r="Q17" s="483"/>
      <c r="T17" s="477"/>
      <c r="U17" s="477"/>
    </row>
    <row r="18" spans="2:21">
      <c r="B18" s="468" t="str">
        <f>BS!C12</f>
        <v>미수금</v>
      </c>
      <c r="C18" s="535">
        <f>BS!E12</f>
        <v>261017572</v>
      </c>
      <c r="D18" s="535">
        <f>BS!F12</f>
        <v>265023260</v>
      </c>
      <c r="E18" s="478">
        <f t="shared" si="0"/>
        <v>-4005688</v>
      </c>
      <c r="F18" s="478">
        <f t="shared" si="1"/>
        <v>0</v>
      </c>
      <c r="G18" s="439"/>
      <c r="H18" s="480"/>
      <c r="I18" s="480"/>
      <c r="J18" s="480"/>
      <c r="K18" s="488">
        <v>4005688</v>
      </c>
      <c r="L18" s="482"/>
      <c r="M18" s="483"/>
      <c r="N18" s="484"/>
      <c r="O18" s="482"/>
      <c r="P18" s="483"/>
      <c r="Q18" s="483"/>
      <c r="T18" s="477"/>
      <c r="U18" s="477"/>
    </row>
    <row r="19" spans="2:21">
      <c r="B19" s="468" t="str">
        <f>BS!C13</f>
        <v>미수금대손충당금</v>
      </c>
      <c r="C19" s="535">
        <f>BS!E13</f>
        <v>-24139000</v>
      </c>
      <c r="D19" s="535">
        <f>BS!F13</f>
        <v>-27139000</v>
      </c>
      <c r="E19" s="478">
        <f>C19-D19</f>
        <v>3000000</v>
      </c>
      <c r="F19" s="478">
        <f t="shared" si="1"/>
        <v>0</v>
      </c>
      <c r="G19" s="439" t="s">
        <v>1489</v>
      </c>
      <c r="H19" s="489">
        <f>-1500000*2</f>
        <v>-3000000</v>
      </c>
      <c r="I19" s="480"/>
      <c r="J19" s="480"/>
      <c r="K19" s="481"/>
      <c r="L19" s="482"/>
      <c r="M19" s="483"/>
      <c r="N19" s="484"/>
      <c r="O19" s="482"/>
      <c r="P19" s="483"/>
      <c r="Q19" s="483"/>
      <c r="T19" s="477"/>
      <c r="U19" s="477"/>
    </row>
    <row r="20" spans="2:21">
      <c r="B20" s="468" t="str">
        <f>BS!C14</f>
        <v>재고자산</v>
      </c>
      <c r="C20" s="535"/>
      <c r="D20" s="535"/>
      <c r="E20" s="478"/>
      <c r="F20" s="478">
        <f t="shared" si="1"/>
        <v>0</v>
      </c>
      <c r="G20" s="439"/>
      <c r="H20" s="480"/>
      <c r="I20" s="480"/>
      <c r="J20" s="480"/>
      <c r="K20" s="481"/>
      <c r="L20" s="482"/>
      <c r="M20" s="483"/>
      <c r="N20" s="484"/>
      <c r="O20" s="482"/>
      <c r="P20" s="483"/>
      <c r="Q20" s="483"/>
      <c r="T20" s="477"/>
      <c r="U20" s="477"/>
    </row>
    <row r="21" spans="2:21">
      <c r="B21" s="468" t="str">
        <f>BS!C15</f>
        <v>상품</v>
      </c>
      <c r="C21" s="535">
        <f>BS!E15</f>
        <v>47852743</v>
      </c>
      <c r="D21" s="535">
        <f>BS!F15</f>
        <v>42227029</v>
      </c>
      <c r="E21" s="478">
        <f t="shared" si="0"/>
        <v>5625714</v>
      </c>
      <c r="F21" s="478">
        <f t="shared" si="1"/>
        <v>0</v>
      </c>
      <c r="G21" s="439"/>
      <c r="H21" s="480"/>
      <c r="I21" s="480"/>
      <c r="J21" s="480"/>
      <c r="K21" s="481">
        <f>-E21+Q21</f>
        <v>-5625714</v>
      </c>
      <c r="L21" s="482"/>
      <c r="M21" s="483"/>
      <c r="N21" s="484"/>
      <c r="O21" s="482"/>
      <c r="P21" s="483"/>
      <c r="Q21" s="483"/>
      <c r="T21" s="477"/>
      <c r="U21" s="477"/>
    </row>
    <row r="22" spans="2:21">
      <c r="B22" s="468" t="str">
        <f>BS!C16</f>
        <v>상품평가충당금</v>
      </c>
      <c r="C22" s="535">
        <f>BS!E16</f>
        <v>0</v>
      </c>
      <c r="D22" s="535">
        <f>BS!F16</f>
        <v>-14089</v>
      </c>
      <c r="E22" s="478">
        <f t="shared" si="0"/>
        <v>14089</v>
      </c>
      <c r="F22" s="478">
        <f t="shared" si="1"/>
        <v>0</v>
      </c>
      <c r="G22" s="439" t="s">
        <v>668</v>
      </c>
      <c r="H22" s="487"/>
      <c r="I22" s="480" t="s">
        <v>667</v>
      </c>
      <c r="J22" s="480">
        <v>14089</v>
      </c>
      <c r="K22" s="481"/>
      <c r="L22" s="482"/>
      <c r="M22" s="483"/>
      <c r="N22" s="484"/>
      <c r="O22" s="482"/>
      <c r="P22" s="483"/>
      <c r="Q22" s="483"/>
      <c r="R22" s="440" t="s">
        <v>499</v>
      </c>
      <c r="T22" s="477"/>
      <c r="U22" s="477"/>
    </row>
    <row r="23" spans="2:21">
      <c r="B23" s="468" t="str">
        <f>BS!C17</f>
        <v>제품</v>
      </c>
      <c r="C23" s="535">
        <f>BS!E17</f>
        <v>2534717672</v>
      </c>
      <c r="D23" s="535">
        <f>BS!F17</f>
        <v>2349819825</v>
      </c>
      <c r="E23" s="478">
        <f t="shared" si="0"/>
        <v>184897847</v>
      </c>
      <c r="F23" s="478">
        <f t="shared" si="1"/>
        <v>0</v>
      </c>
      <c r="G23" s="439"/>
      <c r="H23" s="480"/>
      <c r="I23" s="480"/>
      <c r="J23" s="486"/>
      <c r="K23" s="481">
        <f>-E23+Q23-P23</f>
        <v>-184897847</v>
      </c>
      <c r="L23" s="482"/>
      <c r="M23" s="483"/>
      <c r="N23" s="484"/>
      <c r="O23" s="482"/>
      <c r="P23" s="483">
        <f>Q24</f>
        <v>0</v>
      </c>
      <c r="Q23" s="483"/>
      <c r="T23" s="477"/>
      <c r="U23" s="477"/>
    </row>
    <row r="24" spans="2:21">
      <c r="B24" s="468" t="str">
        <f>BS!C18</f>
        <v>제품평가충당금</v>
      </c>
      <c r="C24" s="535">
        <f>BS!E18</f>
        <v>-827921741</v>
      </c>
      <c r="D24" s="535">
        <f>BS!F18</f>
        <v>-725171962</v>
      </c>
      <c r="E24" s="478">
        <f t="shared" si="0"/>
        <v>-102749779</v>
      </c>
      <c r="F24" s="478">
        <f t="shared" si="1"/>
        <v>0</v>
      </c>
      <c r="G24" s="439" t="s">
        <v>668</v>
      </c>
      <c r="H24" s="480">
        <v>102749779</v>
      </c>
      <c r="I24" s="480" t="s">
        <v>667</v>
      </c>
      <c r="J24" s="487"/>
      <c r="K24" s="481"/>
      <c r="L24" s="482"/>
      <c r="M24" s="483"/>
      <c r="N24" s="484"/>
      <c r="O24" s="482"/>
      <c r="P24" s="483"/>
      <c r="Q24" s="483"/>
      <c r="R24" s="440" t="s">
        <v>707</v>
      </c>
      <c r="T24" s="477"/>
      <c r="U24" s="477"/>
    </row>
    <row r="25" spans="2:21">
      <c r="B25" s="468" t="str">
        <f>BS!C19</f>
        <v>원재료</v>
      </c>
      <c r="C25" s="535">
        <f>BS!E19</f>
        <v>464851515</v>
      </c>
      <c r="D25" s="535">
        <f>BS!F19</f>
        <v>354984836</v>
      </c>
      <c r="E25" s="478">
        <f t="shared" si="0"/>
        <v>109866679</v>
      </c>
      <c r="F25" s="478">
        <f t="shared" si="1"/>
        <v>0</v>
      </c>
      <c r="G25" s="439"/>
      <c r="H25" s="480"/>
      <c r="I25" s="480"/>
      <c r="J25" s="486"/>
      <c r="K25" s="481">
        <f>-E25+Q25-P25</f>
        <v>-109866679</v>
      </c>
      <c r="L25" s="482"/>
      <c r="M25" s="483"/>
      <c r="N25" s="484"/>
      <c r="O25" s="482"/>
      <c r="P25" s="483">
        <f>Q26</f>
        <v>0</v>
      </c>
      <c r="Q25" s="483"/>
      <c r="T25" s="477"/>
      <c r="U25" s="440"/>
    </row>
    <row r="26" spans="2:21">
      <c r="B26" s="468" t="str">
        <f>BS!C20</f>
        <v>원재료평가충당금</v>
      </c>
      <c r="C26" s="535">
        <f>BS!E20</f>
        <v>-44697318</v>
      </c>
      <c r="D26" s="535">
        <f>BS!F20</f>
        <v>-34479470</v>
      </c>
      <c r="E26" s="478">
        <f t="shared" si="0"/>
        <v>-10217848</v>
      </c>
      <c r="F26" s="478">
        <f t="shared" si="1"/>
        <v>0</v>
      </c>
      <c r="G26" s="439" t="s">
        <v>668</v>
      </c>
      <c r="H26" s="487">
        <v>10217848</v>
      </c>
      <c r="I26" s="480" t="s">
        <v>667</v>
      </c>
      <c r="J26" s="480"/>
      <c r="K26" s="481"/>
      <c r="L26" s="482"/>
      <c r="M26" s="483"/>
      <c r="N26" s="484"/>
      <c r="O26" s="482"/>
      <c r="P26" s="483"/>
      <c r="Q26" s="483"/>
      <c r="R26" s="440" t="s">
        <v>500</v>
      </c>
      <c r="T26" s="477"/>
      <c r="U26" s="477"/>
    </row>
    <row r="27" spans="2:21">
      <c r="B27" s="468" t="str">
        <f>BS!C21</f>
        <v>부재료</v>
      </c>
      <c r="C27" s="535">
        <f>BS!E21</f>
        <v>48405072</v>
      </c>
      <c r="D27" s="535">
        <f>BS!F21</f>
        <v>49267189</v>
      </c>
      <c r="E27" s="478">
        <f t="shared" ref="E27:E28" si="2">C27-D27</f>
        <v>-862117</v>
      </c>
      <c r="F27" s="478">
        <f t="shared" si="1"/>
        <v>0</v>
      </c>
      <c r="G27" s="542"/>
      <c r="H27" s="544"/>
      <c r="I27" s="543"/>
      <c r="J27" s="543"/>
      <c r="K27" s="481">
        <f>-E27+Q27</f>
        <v>862117</v>
      </c>
      <c r="L27" s="482"/>
      <c r="M27" s="483"/>
      <c r="N27" s="484"/>
      <c r="O27" s="482"/>
      <c r="P27" s="483"/>
      <c r="Q27" s="483"/>
      <c r="T27" s="477"/>
      <c r="U27" s="477"/>
    </row>
    <row r="28" spans="2:21">
      <c r="B28" s="468" t="str">
        <f>BS!C22</f>
        <v>부재료평가충당금</v>
      </c>
      <c r="C28" s="535">
        <f>BS!E22</f>
        <v>-20598322</v>
      </c>
      <c r="D28" s="535">
        <f>BS!F22</f>
        <v>-2358686</v>
      </c>
      <c r="E28" s="478">
        <f t="shared" si="2"/>
        <v>-18239636</v>
      </c>
      <c r="F28" s="478">
        <f t="shared" si="1"/>
        <v>0</v>
      </c>
      <c r="G28" s="542" t="s">
        <v>1222</v>
      </c>
      <c r="H28" s="544">
        <v>18239636</v>
      </c>
      <c r="I28" s="480" t="s">
        <v>667</v>
      </c>
      <c r="J28" s="543"/>
      <c r="K28" s="483"/>
      <c r="L28" s="482"/>
      <c r="M28" s="483"/>
      <c r="N28" s="484"/>
      <c r="O28" s="482"/>
      <c r="P28" s="483"/>
      <c r="Q28" s="483"/>
      <c r="T28" s="477"/>
      <c r="U28" s="477"/>
    </row>
    <row r="29" spans="2:21">
      <c r="B29" s="468" t="s">
        <v>701</v>
      </c>
      <c r="C29" s="535">
        <f>BS!E23</f>
        <v>0</v>
      </c>
      <c r="D29" s="535">
        <f>BS!F23</f>
        <v>0</v>
      </c>
      <c r="E29" s="478">
        <f>C29-D29</f>
        <v>0</v>
      </c>
      <c r="F29" s="478">
        <f t="shared" si="1"/>
        <v>0</v>
      </c>
      <c r="G29" s="439"/>
      <c r="H29" s="480"/>
      <c r="I29" s="480"/>
      <c r="J29" s="480"/>
      <c r="K29" s="481"/>
      <c r="L29" s="482"/>
      <c r="M29" s="483"/>
      <c r="N29" s="484"/>
      <c r="O29" s="482"/>
      <c r="P29" s="483"/>
      <c r="Q29" s="483"/>
      <c r="T29" s="477"/>
      <c r="U29" s="477"/>
    </row>
    <row r="30" spans="2:21">
      <c r="B30" s="468" t="str">
        <f>BS!C24</f>
        <v>기타유동자산</v>
      </c>
      <c r="C30" s="535"/>
      <c r="D30" s="535"/>
      <c r="E30" s="478"/>
      <c r="F30" s="478">
        <f t="shared" si="1"/>
        <v>0</v>
      </c>
      <c r="G30" s="439"/>
      <c r="H30" s="480"/>
      <c r="I30" s="480"/>
      <c r="J30" s="480"/>
      <c r="K30" s="481"/>
      <c r="L30" s="482"/>
      <c r="M30" s="483"/>
      <c r="N30" s="484"/>
      <c r="O30" s="482"/>
      <c r="P30" s="483"/>
      <c r="Q30" s="483"/>
      <c r="T30" s="477"/>
      <c r="U30" s="477"/>
    </row>
    <row r="31" spans="2:21">
      <c r="B31" s="468" t="str">
        <f>BS!C25</f>
        <v>선급금</v>
      </c>
      <c r="C31" s="535">
        <f>BS!E25</f>
        <v>394157762</v>
      </c>
      <c r="D31" s="535">
        <f>BS!F25</f>
        <v>2254829529</v>
      </c>
      <c r="E31" s="478">
        <f t="shared" si="0"/>
        <v>-1860671767</v>
      </c>
      <c r="F31" s="478">
        <f t="shared" si="1"/>
        <v>0</v>
      </c>
      <c r="G31" s="439"/>
      <c r="H31" s="480"/>
      <c r="I31" s="480"/>
      <c r="J31" s="480"/>
      <c r="K31" s="488">
        <v>1887671767</v>
      </c>
      <c r="L31" s="482"/>
      <c r="M31" s="483"/>
      <c r="N31" s="484"/>
      <c r="O31" s="482"/>
      <c r="P31" s="483">
        <f>Q68+T31</f>
        <v>0</v>
      </c>
      <c r="Q31" s="1152">
        <v>26999999.999999996</v>
      </c>
      <c r="R31" s="440" t="s">
        <v>2232</v>
      </c>
      <c r="T31" s="477"/>
      <c r="U31" s="477"/>
    </row>
    <row r="32" spans="2:21">
      <c r="B32" s="468" t="str">
        <f>BS!C26</f>
        <v>선급금대손충당금</v>
      </c>
      <c r="C32" s="535">
        <f>BS!E26</f>
        <v>0</v>
      </c>
      <c r="D32" s="535">
        <f>BS!F26</f>
        <v>0</v>
      </c>
      <c r="E32" s="478">
        <f t="shared" si="0"/>
        <v>0</v>
      </c>
      <c r="F32" s="478">
        <f t="shared" si="1"/>
        <v>0</v>
      </c>
      <c r="G32" s="439" t="s">
        <v>109</v>
      </c>
      <c r="H32" s="489"/>
      <c r="I32" s="480"/>
      <c r="J32" s="480"/>
      <c r="K32" s="481"/>
      <c r="L32" s="482"/>
      <c r="M32" s="483"/>
      <c r="N32" s="484"/>
      <c r="O32" s="482"/>
      <c r="P32" s="483"/>
      <c r="Q32" s="483"/>
      <c r="T32" s="477"/>
      <c r="U32" s="477"/>
    </row>
    <row r="33" spans="2:21">
      <c r="B33" s="468" t="str">
        <f>BS!C27</f>
        <v>선급비용</v>
      </c>
      <c r="C33" s="535">
        <f>BS!E27</f>
        <v>1698698289</v>
      </c>
      <c r="D33" s="535">
        <f>BS!F27</f>
        <v>473315521</v>
      </c>
      <c r="E33" s="478">
        <f t="shared" si="0"/>
        <v>1225382768</v>
      </c>
      <c r="F33" s="478">
        <f t="shared" si="1"/>
        <v>0</v>
      </c>
      <c r="G33" s="439"/>
      <c r="H33" s="480"/>
      <c r="I33" s="480"/>
      <c r="J33" s="480"/>
      <c r="K33" s="481">
        <f>-E33+Q33</f>
        <v>-1225382768</v>
      </c>
      <c r="L33" s="482"/>
      <c r="M33" s="483"/>
      <c r="N33" s="484"/>
      <c r="O33" s="482"/>
      <c r="P33" s="483"/>
      <c r="Q33" s="483"/>
      <c r="T33" s="477"/>
      <c r="U33" s="477"/>
    </row>
    <row r="34" spans="2:21">
      <c r="B34" s="468" t="str">
        <f>BS!C28</f>
        <v>환불자산</v>
      </c>
      <c r="C34" s="535">
        <f>BS!E28</f>
        <v>4272227</v>
      </c>
      <c r="D34" s="535">
        <f>BS!F28</f>
        <v>7692640</v>
      </c>
      <c r="E34" s="478">
        <f t="shared" si="0"/>
        <v>-3420413</v>
      </c>
      <c r="F34" s="478">
        <f t="shared" si="1"/>
        <v>0</v>
      </c>
      <c r="G34" s="691" t="s">
        <v>1583</v>
      </c>
      <c r="H34" s="692"/>
      <c r="I34" s="692"/>
      <c r="J34" s="692"/>
      <c r="K34" s="481">
        <f>-E34+Q34</f>
        <v>3420413</v>
      </c>
      <c r="L34" s="694"/>
      <c r="M34" s="693"/>
      <c r="N34" s="484"/>
      <c r="O34" s="694"/>
      <c r="P34" s="693"/>
      <c r="Q34" s="693"/>
      <c r="T34" s="477"/>
      <c r="U34" s="477"/>
    </row>
    <row r="35" spans="2:21">
      <c r="B35" s="468" t="str">
        <f>BS!C31</f>
        <v>임차보증금(유동)</v>
      </c>
      <c r="C35" s="535">
        <f>BS!E31</f>
        <v>0</v>
      </c>
      <c r="D35" s="535">
        <f>BS!F31</f>
        <v>0</v>
      </c>
      <c r="E35" s="478">
        <f>C35-D35</f>
        <v>0</v>
      </c>
      <c r="F35" s="478">
        <f t="shared" si="1"/>
        <v>0</v>
      </c>
      <c r="G35" s="439"/>
      <c r="H35" s="480"/>
      <c r="I35" s="480"/>
      <c r="J35" s="480"/>
      <c r="K35" s="481"/>
      <c r="L35" s="482"/>
      <c r="M35" s="483"/>
      <c r="N35" s="484"/>
      <c r="O35" s="544"/>
      <c r="P35" s="483"/>
      <c r="Q35" s="483"/>
      <c r="R35" s="440" t="s">
        <v>1880</v>
      </c>
      <c r="T35" s="477"/>
      <c r="U35" s="477"/>
    </row>
    <row r="36" spans="2:21">
      <c r="B36" s="468" t="s">
        <v>1220</v>
      </c>
      <c r="C36" s="535">
        <f>BS!E32</f>
        <v>0</v>
      </c>
      <c r="D36" s="535">
        <f>BS!F32</f>
        <v>1250001</v>
      </c>
      <c r="E36" s="478">
        <f>C36-D36</f>
        <v>-1250001</v>
      </c>
      <c r="F36" s="478">
        <f t="shared" si="1"/>
        <v>0</v>
      </c>
      <c r="G36" s="439"/>
      <c r="H36" s="480"/>
      <c r="I36" s="480"/>
      <c r="J36" s="480"/>
      <c r="K36" s="481"/>
      <c r="L36" s="482">
        <v>1250001</v>
      </c>
      <c r="M36" s="483"/>
      <c r="N36" s="484"/>
      <c r="O36" s="544"/>
      <c r="P36" s="483"/>
      <c r="Q36" s="483"/>
      <c r="R36" s="440" t="s">
        <v>1935</v>
      </c>
      <c r="T36" s="477"/>
      <c r="U36" s="477"/>
    </row>
    <row r="37" spans="2:21">
      <c r="B37" s="468" t="str">
        <f>BS!C33</f>
        <v>당기법인세자산</v>
      </c>
      <c r="C37" s="535">
        <f>BS!E33</f>
        <v>2154280</v>
      </c>
      <c r="D37" s="535">
        <f>BS!F33</f>
        <v>7479410</v>
      </c>
      <c r="E37" s="478">
        <f t="shared" si="0"/>
        <v>-5325130</v>
      </c>
      <c r="F37" s="478">
        <f t="shared" si="1"/>
        <v>0</v>
      </c>
      <c r="G37" s="439" t="s">
        <v>228</v>
      </c>
      <c r="H37" s="480">
        <f>PL!E85</f>
        <v>0</v>
      </c>
      <c r="I37" s="480"/>
      <c r="J37" s="480"/>
      <c r="K37" s="488">
        <v>5325130</v>
      </c>
      <c r="L37" s="482"/>
      <c r="M37" s="483"/>
      <c r="N37" s="484"/>
      <c r="O37" s="482"/>
      <c r="P37" s="491"/>
      <c r="Q37" s="483">
        <f>-Q72</f>
        <v>0</v>
      </c>
      <c r="R37" s="440" t="s">
        <v>366</v>
      </c>
      <c r="T37" s="477"/>
      <c r="U37" s="477"/>
    </row>
    <row r="38" spans="2:21">
      <c r="B38" s="539"/>
      <c r="C38" s="540"/>
      <c r="D38" s="540"/>
      <c r="E38" s="541"/>
      <c r="F38" s="541"/>
      <c r="G38" s="542"/>
      <c r="H38" s="543"/>
      <c r="I38" s="543"/>
      <c r="J38" s="543"/>
      <c r="K38" s="490"/>
      <c r="L38" s="482"/>
      <c r="M38" s="483"/>
      <c r="N38" s="484"/>
      <c r="O38" s="482"/>
      <c r="P38" s="491"/>
      <c r="Q38" s="483"/>
      <c r="T38" s="477"/>
      <c r="U38" s="477"/>
    </row>
    <row r="39" spans="2:21">
      <c r="B39" s="466" t="str">
        <f>BS!C34</f>
        <v>비유동자산</v>
      </c>
      <c r="C39" s="535"/>
      <c r="D39" s="535"/>
      <c r="E39" s="478"/>
      <c r="F39" s="478"/>
      <c r="G39" s="439"/>
      <c r="H39" s="480"/>
      <c r="I39" s="480"/>
      <c r="J39" s="480"/>
      <c r="K39" s="481"/>
      <c r="L39" s="482"/>
      <c r="M39" s="483"/>
      <c r="N39" s="484"/>
      <c r="O39" s="482"/>
      <c r="P39" s="483"/>
      <c r="Q39" s="483"/>
      <c r="T39" s="477"/>
      <c r="U39" s="477"/>
    </row>
    <row r="40" spans="2:21">
      <c r="B40" s="468" t="str">
        <f>BS!C35</f>
        <v>기타비유동금융자산</v>
      </c>
      <c r="C40" s="535"/>
      <c r="D40" s="535"/>
      <c r="E40" s="478"/>
      <c r="F40" s="478"/>
      <c r="G40" s="439"/>
      <c r="H40" s="480"/>
      <c r="I40" s="480"/>
      <c r="J40" s="480"/>
      <c r="K40" s="481"/>
      <c r="L40" s="482"/>
      <c r="M40" s="483"/>
      <c r="N40" s="484"/>
      <c r="O40" s="482"/>
      <c r="P40" s="483"/>
      <c r="Q40" s="483"/>
      <c r="T40" s="477"/>
      <c r="U40" s="477"/>
    </row>
    <row r="41" spans="2:21" ht="15" customHeight="1">
      <c r="B41" s="468" t="str">
        <f>BS!C36</f>
        <v>임차보증금</v>
      </c>
      <c r="C41" s="535">
        <f>BS!E36</f>
        <v>403800000</v>
      </c>
      <c r="D41" s="535">
        <f>BS!F36</f>
        <v>413778000</v>
      </c>
      <c r="E41" s="478">
        <f t="shared" si="0"/>
        <v>-9978000</v>
      </c>
      <c r="F41" s="478">
        <f t="shared" ref="F41:F71" si="3">E41+H41-J41+K41+L41-M41+N41-O41+P41-Q41</f>
        <v>0</v>
      </c>
      <c r="G41" s="439"/>
      <c r="H41" s="480"/>
      <c r="I41" s="480"/>
      <c r="J41" s="480"/>
      <c r="K41" s="481"/>
      <c r="L41" s="482">
        <v>15978000</v>
      </c>
      <c r="M41" s="490">
        <v>6000000</v>
      </c>
      <c r="N41" s="484"/>
      <c r="O41" s="482"/>
      <c r="P41" s="483"/>
      <c r="Q41" s="483"/>
      <c r="R41" s="440" t="s">
        <v>1735</v>
      </c>
      <c r="T41" s="477"/>
      <c r="U41" s="477"/>
    </row>
    <row r="42" spans="2:21" ht="15" customHeight="1">
      <c r="B42" s="468" t="str">
        <f>BS!C37</f>
        <v>임차보증금_현재가치할인차금</v>
      </c>
      <c r="C42" s="535">
        <f>BS!E37</f>
        <v>-27853494</v>
      </c>
      <c r="D42" s="535">
        <f>BS!F37</f>
        <v>-35581895</v>
      </c>
      <c r="E42" s="478">
        <f t="shared" ref="E42" si="4">C42-D42</f>
        <v>7728401</v>
      </c>
      <c r="F42" s="478">
        <f t="shared" si="3"/>
        <v>0</v>
      </c>
      <c r="G42" s="691"/>
      <c r="H42" s="692"/>
      <c r="I42" s="692" t="s">
        <v>208</v>
      </c>
      <c r="J42" s="692">
        <v>8029205</v>
      </c>
      <c r="K42" s="693"/>
      <c r="L42" s="694"/>
      <c r="M42" s="695"/>
      <c r="N42" s="484"/>
      <c r="O42" s="694"/>
      <c r="P42" s="1173">
        <v>300804</v>
      </c>
      <c r="Q42" s="693"/>
      <c r="R42" s="440" t="s">
        <v>2327</v>
      </c>
      <c r="T42" s="477"/>
      <c r="U42" s="477"/>
    </row>
    <row r="43" spans="2:21">
      <c r="B43" s="468" t="str">
        <f>BS!C38</f>
        <v>기타보증금</v>
      </c>
      <c r="C43" s="535">
        <f>BS!E38</f>
        <v>10135870</v>
      </c>
      <c r="D43" s="535">
        <f>BS!F38</f>
        <v>10024170</v>
      </c>
      <c r="E43" s="478">
        <f t="shared" si="0"/>
        <v>111700</v>
      </c>
      <c r="F43" s="478">
        <f t="shared" si="3"/>
        <v>0</v>
      </c>
      <c r="G43" s="439"/>
      <c r="H43" s="480"/>
      <c r="I43" s="480"/>
      <c r="J43" s="480"/>
      <c r="K43" s="481"/>
      <c r="L43" s="482">
        <v>528300</v>
      </c>
      <c r="M43" s="483">
        <v>640000</v>
      </c>
      <c r="N43" s="484"/>
      <c r="O43" s="482"/>
      <c r="P43" s="483"/>
      <c r="Q43" s="483"/>
      <c r="T43" s="477"/>
      <c r="U43" s="477"/>
    </row>
    <row r="44" spans="2:21">
      <c r="B44" s="468" t="str">
        <f>BS!C39</f>
        <v>당기손익-공정가치금융자산</v>
      </c>
      <c r="C44" s="535">
        <f>BS!E39</f>
        <v>172664940</v>
      </c>
      <c r="D44" s="535">
        <f>BS!F39</f>
        <v>172664940</v>
      </c>
      <c r="E44" s="478">
        <f>C44-D44</f>
        <v>0</v>
      </c>
      <c r="F44" s="478">
        <f t="shared" si="3"/>
        <v>0</v>
      </c>
      <c r="G44" s="439" t="s">
        <v>1988</v>
      </c>
      <c r="H44" s="480"/>
      <c r="I44" s="480"/>
      <c r="J44" s="480"/>
      <c r="K44" s="481"/>
      <c r="L44" s="482"/>
      <c r="M44" s="483"/>
      <c r="N44" s="484"/>
      <c r="O44" s="482"/>
      <c r="P44" s="483"/>
      <c r="Q44" s="483"/>
      <c r="T44" s="477"/>
      <c r="U44" s="477"/>
    </row>
    <row r="45" spans="2:21">
      <c r="B45" s="468" t="str">
        <f>BS!C40</f>
        <v>종속기업및관계기업투자</v>
      </c>
      <c r="C45" s="535"/>
      <c r="D45" s="535"/>
      <c r="E45" s="478"/>
      <c r="F45" s="478">
        <f t="shared" si="3"/>
        <v>0</v>
      </c>
      <c r="G45" s="439"/>
      <c r="H45" s="480"/>
      <c r="I45" s="480"/>
      <c r="J45" s="480"/>
      <c r="K45" s="481"/>
      <c r="L45" s="482"/>
      <c r="M45" s="483"/>
      <c r="N45" s="484"/>
      <c r="O45" s="482"/>
      <c r="P45" s="483"/>
      <c r="Q45" s="483"/>
      <c r="T45" s="477"/>
      <c r="U45" s="477"/>
    </row>
    <row r="46" spans="2:21">
      <c r="B46" s="468" t="str">
        <f>BS!C41</f>
        <v>종속기업투자</v>
      </c>
      <c r="C46" s="535">
        <f>BS!E41</f>
        <v>25348225181</v>
      </c>
      <c r="D46" s="535">
        <f>BS!F41</f>
        <v>348225681</v>
      </c>
      <c r="E46" s="478">
        <f t="shared" si="0"/>
        <v>24999999500</v>
      </c>
      <c r="F46" s="478">
        <f t="shared" si="3"/>
        <v>0</v>
      </c>
      <c r="G46" s="439" t="s">
        <v>547</v>
      </c>
      <c r="H46" s="480">
        <f>PL!E72</f>
        <v>0</v>
      </c>
      <c r="I46" s="480" t="s">
        <v>709</v>
      </c>
      <c r="J46" s="480"/>
      <c r="K46" s="481"/>
      <c r="L46" s="484"/>
      <c r="M46" s="483">
        <v>8000000000</v>
      </c>
      <c r="N46" s="484"/>
      <c r="O46" s="482"/>
      <c r="P46" s="483"/>
      <c r="Q46" s="483">
        <f>P47</f>
        <v>16999999500</v>
      </c>
      <c r="R46" s="440" t="s">
        <v>2324</v>
      </c>
      <c r="T46" s="477"/>
      <c r="U46" s="477"/>
    </row>
    <row r="47" spans="2:21">
      <c r="B47" s="468" t="str">
        <f>BS!C42</f>
        <v>관계기업투자</v>
      </c>
      <c r="C47" s="535">
        <f>BS!E42</f>
        <v>0</v>
      </c>
      <c r="D47" s="535">
        <f>BS!F42</f>
        <v>16999999500</v>
      </c>
      <c r="E47" s="478">
        <f>C47-D47</f>
        <v>-16999999500</v>
      </c>
      <c r="F47" s="478">
        <f t="shared" si="3"/>
        <v>0</v>
      </c>
      <c r="G47" s="439" t="s">
        <v>1436</v>
      </c>
      <c r="H47" s="480">
        <f>별도_AJE_26.2Q!G123</f>
        <v>0</v>
      </c>
      <c r="I47" s="480"/>
      <c r="J47" s="480"/>
      <c r="K47" s="481"/>
      <c r="L47" s="484"/>
      <c r="M47" s="483"/>
      <c r="N47" s="484"/>
      <c r="O47" s="482"/>
      <c r="P47" s="483">
        <v>16999999500</v>
      </c>
      <c r="Q47" s="483"/>
      <c r="T47" s="477"/>
      <c r="U47" s="477"/>
    </row>
    <row r="48" spans="2:21">
      <c r="B48" s="468" t="str">
        <f>BS!C43</f>
        <v>유형자산</v>
      </c>
      <c r="C48" s="535"/>
      <c r="D48" s="535"/>
      <c r="E48" s="478"/>
      <c r="F48" s="478">
        <f t="shared" si="3"/>
        <v>0</v>
      </c>
      <c r="G48" s="439"/>
      <c r="H48" s="480"/>
      <c r="I48" s="480"/>
      <c r="J48" s="480"/>
      <c r="K48" s="481"/>
      <c r="L48" s="482"/>
      <c r="M48" s="483"/>
      <c r="N48" s="484"/>
      <c r="O48" s="482"/>
      <c r="P48" s="483"/>
      <c r="Q48" s="483"/>
      <c r="S48" s="440">
        <f>SUM(S45:S46)</f>
        <v>0</v>
      </c>
      <c r="T48" s="477"/>
      <c r="U48" s="477"/>
    </row>
    <row r="49" spans="2:25">
      <c r="B49" s="468" t="str">
        <f>BS!C44</f>
        <v>토지</v>
      </c>
      <c r="C49" s="535">
        <f>BS!E44</f>
        <v>1115280040</v>
      </c>
      <c r="D49" s="535">
        <f>BS!F44</f>
        <v>557640020</v>
      </c>
      <c r="E49" s="478">
        <f t="shared" ref="E49:E51" si="5">C49-D49</f>
        <v>557640020</v>
      </c>
      <c r="F49" s="478">
        <f t="shared" si="3"/>
        <v>0</v>
      </c>
      <c r="G49" s="542"/>
      <c r="H49" s="543"/>
      <c r="I49" s="543"/>
      <c r="J49" s="543"/>
      <c r="K49" s="483"/>
      <c r="L49" s="482"/>
      <c r="M49" s="483"/>
      <c r="N49" s="484"/>
      <c r="O49" s="482"/>
      <c r="P49" s="483"/>
      <c r="Q49" s="907">
        <f>건중대체!M3</f>
        <v>557640020</v>
      </c>
      <c r="R49" s="440" t="s">
        <v>1785</v>
      </c>
      <c r="T49" s="477"/>
      <c r="U49" s="477"/>
    </row>
    <row r="50" spans="2:25">
      <c r="B50" s="468" t="str">
        <f>BS!C45</f>
        <v>건물</v>
      </c>
      <c r="C50" s="535">
        <f>BS!E45</f>
        <v>2832428420</v>
      </c>
      <c r="D50" s="535">
        <f>BS!F45</f>
        <v>1355889942</v>
      </c>
      <c r="E50" s="478">
        <f t="shared" si="5"/>
        <v>1476538478</v>
      </c>
      <c r="F50" s="478">
        <f t="shared" si="3"/>
        <v>0</v>
      </c>
      <c r="G50" s="691"/>
      <c r="H50" s="692"/>
      <c r="I50" s="692"/>
      <c r="J50" s="692"/>
      <c r="K50" s="693"/>
      <c r="L50" s="694"/>
      <c r="M50" s="693"/>
      <c r="N50" s="484"/>
      <c r="O50" s="694"/>
      <c r="P50" s="693"/>
      <c r="Q50" s="907">
        <f>건중대체!M4</f>
        <v>1476538478</v>
      </c>
      <c r="R50" s="440" t="s">
        <v>1785</v>
      </c>
      <c r="T50" s="477"/>
      <c r="U50" s="477"/>
    </row>
    <row r="51" spans="2:25">
      <c r="B51" s="468" t="str">
        <f>BS!C46</f>
        <v>감가상각누계액</v>
      </c>
      <c r="C51" s="535">
        <f>BS!E46</f>
        <v>-61959374</v>
      </c>
      <c r="D51" s="535">
        <f>BS!F46</f>
        <v>-31072481</v>
      </c>
      <c r="E51" s="478">
        <f t="shared" si="5"/>
        <v>-30886893</v>
      </c>
      <c r="F51" s="478">
        <f t="shared" si="3"/>
        <v>0</v>
      </c>
      <c r="G51" s="691" t="s">
        <v>15</v>
      </c>
      <c r="H51" s="692">
        <v>30886893</v>
      </c>
      <c r="I51" s="692"/>
      <c r="J51" s="692"/>
      <c r="K51" s="693"/>
      <c r="L51" s="694"/>
      <c r="M51" s="693"/>
      <c r="N51" s="484"/>
      <c r="O51" s="694"/>
      <c r="P51" s="693"/>
      <c r="Q51" s="693"/>
      <c r="T51" s="477"/>
      <c r="U51" s="477"/>
    </row>
    <row r="52" spans="2:25">
      <c r="B52" s="468" t="str">
        <f>BS!C47</f>
        <v>기계장치</v>
      </c>
      <c r="C52" s="535">
        <f>BS!E47</f>
        <v>2674264961</v>
      </c>
      <c r="D52" s="535">
        <f>BS!F47</f>
        <v>1819453967</v>
      </c>
      <c r="E52" s="478">
        <f t="shared" si="0"/>
        <v>854810994</v>
      </c>
      <c r="F52" s="478">
        <f t="shared" si="3"/>
        <v>0</v>
      </c>
      <c r="G52" s="439"/>
      <c r="H52" s="480"/>
      <c r="I52" s="480"/>
      <c r="J52" s="480"/>
      <c r="K52" s="481"/>
      <c r="L52" s="482"/>
      <c r="M52" s="483">
        <f>54041000+434058500</f>
        <v>488099500</v>
      </c>
      <c r="N52" s="484"/>
      <c r="O52" s="482"/>
      <c r="P52" s="1152">
        <f>Q79+Q31</f>
        <v>90000000</v>
      </c>
      <c r="Q52" s="907">
        <f>건중대체!M6</f>
        <v>456711494</v>
      </c>
      <c r="R52" s="440" t="s">
        <v>1859</v>
      </c>
      <c r="T52" s="477"/>
      <c r="U52" s="477"/>
    </row>
    <row r="53" spans="2:25">
      <c r="B53" s="468" t="str">
        <f>BS!C48</f>
        <v>감가상각누계액</v>
      </c>
      <c r="C53" s="535">
        <f>BS!E48</f>
        <v>-1323604760</v>
      </c>
      <c r="D53" s="535">
        <f>BS!F48</f>
        <v>-1210652849</v>
      </c>
      <c r="E53" s="478">
        <f t="shared" si="0"/>
        <v>-112951911</v>
      </c>
      <c r="F53" s="478">
        <f t="shared" si="3"/>
        <v>0</v>
      </c>
      <c r="G53" s="439" t="s">
        <v>15</v>
      </c>
      <c r="H53" s="480">
        <v>113701911</v>
      </c>
      <c r="I53" s="480" t="s">
        <v>1490</v>
      </c>
      <c r="J53" s="480">
        <v>750000</v>
      </c>
      <c r="K53" s="481"/>
      <c r="L53" s="482"/>
      <c r="M53" s="483"/>
      <c r="N53" s="484"/>
      <c r="O53" s="482"/>
      <c r="P53" s="483"/>
      <c r="Q53" s="483"/>
      <c r="R53" s="440" t="s">
        <v>1858</v>
      </c>
      <c r="T53" s="477"/>
      <c r="U53" s="477"/>
    </row>
    <row r="54" spans="2:25">
      <c r="B54" s="468" t="str">
        <f>BS!C49</f>
        <v>차량운반구</v>
      </c>
      <c r="C54" s="535">
        <f>BS!E49</f>
        <v>7974819</v>
      </c>
      <c r="D54" s="535">
        <f>BS!F49</f>
        <v>7974819</v>
      </c>
      <c r="E54" s="478">
        <f>C54-D54</f>
        <v>0</v>
      </c>
      <c r="F54" s="478">
        <f t="shared" si="3"/>
        <v>0</v>
      </c>
      <c r="G54" s="439" t="s">
        <v>673</v>
      </c>
      <c r="H54" s="480"/>
      <c r="I54" s="479" t="s">
        <v>672</v>
      </c>
      <c r="J54" s="479"/>
      <c r="K54" s="481"/>
      <c r="L54" s="484"/>
      <c r="M54" s="483"/>
      <c r="N54" s="484"/>
      <c r="O54" s="547"/>
      <c r="P54" s="483"/>
      <c r="Q54" s="483"/>
      <c r="R54" s="440" t="s">
        <v>1786</v>
      </c>
      <c r="T54" s="477"/>
      <c r="U54" s="477"/>
    </row>
    <row r="55" spans="2:25">
      <c r="B55" s="468" t="str">
        <f>BS!C50</f>
        <v>감가상각누계액</v>
      </c>
      <c r="C55" s="535">
        <f>BS!E50</f>
        <v>-7972819</v>
      </c>
      <c r="D55" s="535">
        <f>BS!F50</f>
        <v>-7972819</v>
      </c>
      <c r="E55" s="478">
        <f t="shared" si="0"/>
        <v>0</v>
      </c>
      <c r="F55" s="478">
        <f t="shared" si="3"/>
        <v>0</v>
      </c>
      <c r="G55" s="439" t="s">
        <v>15</v>
      </c>
      <c r="H55" s="480"/>
      <c r="I55" s="480"/>
      <c r="J55" s="480"/>
      <c r="K55" s="481"/>
      <c r="L55" s="482"/>
      <c r="M55" s="483"/>
      <c r="N55" s="484"/>
      <c r="O55" s="547"/>
      <c r="P55" s="483"/>
      <c r="Q55" s="483"/>
      <c r="T55" s="440"/>
      <c r="U55" s="440"/>
    </row>
    <row r="56" spans="2:25">
      <c r="B56" s="468" t="str">
        <f>BS!C51</f>
        <v>공구와기구</v>
      </c>
      <c r="C56" s="535">
        <f>BS!E51</f>
        <v>131100000</v>
      </c>
      <c r="D56" s="535">
        <f>BS!F51</f>
        <v>131100000</v>
      </c>
      <c r="E56" s="478">
        <f t="shared" si="0"/>
        <v>0</v>
      </c>
      <c r="F56" s="478">
        <f t="shared" si="3"/>
        <v>0</v>
      </c>
      <c r="G56" s="439"/>
      <c r="H56" s="480"/>
      <c r="I56" s="480"/>
      <c r="J56" s="480"/>
      <c r="K56" s="481"/>
      <c r="L56" s="482"/>
      <c r="M56" s="483"/>
      <c r="N56" s="484"/>
      <c r="O56" s="482"/>
      <c r="P56" s="483"/>
      <c r="Q56" s="483"/>
      <c r="T56" s="440"/>
      <c r="U56" s="440"/>
    </row>
    <row r="57" spans="2:25">
      <c r="B57" s="468" t="str">
        <f>BS!C52</f>
        <v>감가상각누계액</v>
      </c>
      <c r="C57" s="535">
        <f>BS!E52</f>
        <v>-67838194</v>
      </c>
      <c r="D57" s="535">
        <f>BS!F52</f>
        <v>-58155206</v>
      </c>
      <c r="E57" s="478">
        <f t="shared" si="0"/>
        <v>-9682988</v>
      </c>
      <c r="F57" s="478">
        <f t="shared" si="3"/>
        <v>0</v>
      </c>
      <c r="G57" s="439" t="s">
        <v>15</v>
      </c>
      <c r="H57" s="480">
        <v>9682988</v>
      </c>
      <c r="I57" s="480"/>
      <c r="J57" s="480"/>
      <c r="K57" s="481"/>
      <c r="L57" s="482"/>
      <c r="M57" s="483"/>
      <c r="N57" s="484"/>
      <c r="O57" s="482"/>
      <c r="P57" s="483"/>
      <c r="Q57" s="483"/>
      <c r="T57" s="440"/>
      <c r="U57" s="440"/>
    </row>
    <row r="58" spans="2:25">
      <c r="B58" s="468" t="str">
        <f>BS!C53</f>
        <v>집기비품</v>
      </c>
      <c r="C58" s="535">
        <f>BS!E53</f>
        <v>368187065</v>
      </c>
      <c r="D58" s="535">
        <f>BS!F53</f>
        <v>392461239</v>
      </c>
      <c r="E58" s="478">
        <f t="shared" si="0"/>
        <v>-24274174</v>
      </c>
      <c r="F58" s="478">
        <f>E58+H58-J58+K58+L58-M58+N58-O58+P58-Q58</f>
        <v>0</v>
      </c>
      <c r="G58" s="439" t="s">
        <v>2230</v>
      </c>
      <c r="H58" s="483">
        <f>3000+123000+4696402</f>
        <v>4822402</v>
      </c>
      <c r="I58" s="480"/>
      <c r="J58" s="480"/>
      <c r="K58" s="481"/>
      <c r="L58" s="482"/>
      <c r="M58" s="483">
        <f>3779090+30051182</f>
        <v>33830272</v>
      </c>
      <c r="N58" s="484"/>
      <c r="O58" s="482"/>
      <c r="P58" s="483">
        <f>173545411-H58</f>
        <v>168723009</v>
      </c>
      <c r="Q58" s="907">
        <f>건중대체!M7</f>
        <v>115440965</v>
      </c>
      <c r="R58" s="440" t="s">
        <v>1785</v>
      </c>
      <c r="T58" s="440"/>
      <c r="U58" s="440"/>
    </row>
    <row r="59" spans="2:25">
      <c r="B59" s="468" t="str">
        <f>BS!C54</f>
        <v>감가상각누계액</v>
      </c>
      <c r="C59" s="535">
        <f>BS!E54</f>
        <v>-189699106</v>
      </c>
      <c r="D59" s="535">
        <f>BS!F54</f>
        <v>-341221676</v>
      </c>
      <c r="E59" s="478">
        <f t="shared" si="0"/>
        <v>151522570</v>
      </c>
      <c r="F59" s="478">
        <f t="shared" si="3"/>
        <v>0</v>
      </c>
      <c r="G59" s="439" t="s">
        <v>15</v>
      </c>
      <c r="H59" s="483">
        <v>17200439</v>
      </c>
      <c r="I59" s="480"/>
      <c r="J59" s="480"/>
      <c r="K59" s="481"/>
      <c r="L59" s="482"/>
      <c r="M59" s="483"/>
      <c r="N59" s="484"/>
      <c r="O59" s="482"/>
      <c r="P59" s="483"/>
      <c r="Q59" s="483">
        <v>168723009</v>
      </c>
      <c r="R59" s="440" t="s">
        <v>2231</v>
      </c>
      <c r="T59" s="440"/>
      <c r="U59" s="440"/>
    </row>
    <row r="60" spans="2:25">
      <c r="B60" s="468" t="str">
        <f>BS!C55</f>
        <v>건설중인자산</v>
      </c>
      <c r="C60" s="535">
        <f>BS!E55</f>
        <v>1376213175</v>
      </c>
      <c r="D60" s="535">
        <f>BS!F55</f>
        <v>4039985025</v>
      </c>
      <c r="E60" s="478">
        <f t="shared" ref="E60" si="6">C60-D60</f>
        <v>-2663771850</v>
      </c>
      <c r="F60" s="478">
        <f t="shared" si="3"/>
        <v>0</v>
      </c>
      <c r="G60" s="542"/>
      <c r="H60" s="483"/>
      <c r="I60" s="543"/>
      <c r="J60" s="543"/>
      <c r="K60" s="483"/>
      <c r="L60" s="482"/>
      <c r="M60" s="483">
        <f>409818000+6747450</f>
        <v>416565450</v>
      </c>
      <c r="N60" s="484"/>
      <c r="O60" s="482"/>
      <c r="P60" s="907">
        <f>Q49+Q52+Q58+Q63+Q50</f>
        <v>3105368861</v>
      </c>
      <c r="Q60" s="483">
        <f>P76</f>
        <v>25031561</v>
      </c>
      <c r="R60" s="440" t="s">
        <v>1806</v>
      </c>
      <c r="T60" s="440"/>
      <c r="U60" s="440"/>
    </row>
    <row r="61" spans="2:25">
      <c r="B61" s="468" t="str">
        <f>BS!C56</f>
        <v>인테리어</v>
      </c>
      <c r="C61" s="535">
        <f>BS!E56</f>
        <v>131819200</v>
      </c>
      <c r="D61" s="535">
        <f>BS!F56</f>
        <v>218118382</v>
      </c>
      <c r="E61" s="478">
        <f t="shared" si="0"/>
        <v>-86299182</v>
      </c>
      <c r="F61" s="478">
        <f t="shared" si="3"/>
        <v>0</v>
      </c>
      <c r="G61" s="439" t="s">
        <v>1450</v>
      </c>
      <c r="H61" s="483">
        <v>3000</v>
      </c>
      <c r="I61" s="480"/>
      <c r="J61" s="480"/>
      <c r="K61" s="481"/>
      <c r="L61" s="482"/>
      <c r="M61" s="483"/>
      <c r="N61" s="484"/>
      <c r="O61" s="482"/>
      <c r="P61" s="483">
        <f>86299182-H61</f>
        <v>86296182</v>
      </c>
      <c r="Q61" s="483"/>
      <c r="T61" s="440"/>
      <c r="U61" s="440"/>
    </row>
    <row r="62" spans="2:25">
      <c r="B62" s="468" t="str">
        <f>BS!C57</f>
        <v>감가상각누계액</v>
      </c>
      <c r="C62" s="535">
        <f>BS!E57</f>
        <v>-131811200</v>
      </c>
      <c r="D62" s="535">
        <f>BS!F57</f>
        <v>-217473398</v>
      </c>
      <c r="E62" s="478">
        <f t="shared" si="0"/>
        <v>85662198</v>
      </c>
      <c r="F62" s="478">
        <f t="shared" si="3"/>
        <v>0</v>
      </c>
      <c r="G62" s="439" t="s">
        <v>15</v>
      </c>
      <c r="H62" s="483">
        <v>633984</v>
      </c>
      <c r="I62" s="480"/>
      <c r="J62" s="492"/>
      <c r="K62" s="485"/>
      <c r="L62" s="482"/>
      <c r="M62" s="483"/>
      <c r="N62" s="484"/>
      <c r="O62" s="482"/>
      <c r="P62" s="483"/>
      <c r="Q62" s="483">
        <v>86296182</v>
      </c>
      <c r="T62" s="440"/>
      <c r="U62" s="440"/>
    </row>
    <row r="63" spans="2:25">
      <c r="B63" s="468" t="str">
        <f>BS!C58</f>
        <v>시설장치</v>
      </c>
      <c r="C63" s="535">
        <f>BS!E58</f>
        <v>972487904</v>
      </c>
      <c r="D63" s="535">
        <f>BS!F58</f>
        <v>473450000</v>
      </c>
      <c r="E63" s="478">
        <f t="shared" ref="E63:E64" si="7">C63-D63</f>
        <v>499037904</v>
      </c>
      <c r="F63" s="478">
        <f t="shared" si="3"/>
        <v>0</v>
      </c>
      <c r="G63" s="542" t="s">
        <v>1450</v>
      </c>
      <c r="H63" s="483"/>
      <c r="I63" s="495" t="s">
        <v>1490</v>
      </c>
      <c r="J63" s="494"/>
      <c r="K63" s="485"/>
      <c r="L63" s="482"/>
      <c r="M63" s="483"/>
      <c r="N63" s="484"/>
      <c r="O63" s="482"/>
      <c r="P63" s="483"/>
      <c r="Q63" s="907">
        <f>건중대체!M5</f>
        <v>499037904</v>
      </c>
      <c r="R63" s="440" t="s">
        <v>1785</v>
      </c>
      <c r="T63" s="1048"/>
      <c r="U63" s="394"/>
      <c r="V63" s="394"/>
      <c r="W63" s="394"/>
      <c r="X63" s="394"/>
      <c r="Y63" s="394"/>
    </row>
    <row r="64" spans="2:25">
      <c r="B64" s="468" t="str">
        <f>BS!C59</f>
        <v>감가상각누계액</v>
      </c>
      <c r="C64" s="535">
        <f>BS!E59</f>
        <v>-169400862</v>
      </c>
      <c r="D64" s="535">
        <f>BS!F59</f>
        <v>-85582504</v>
      </c>
      <c r="E64" s="478">
        <f t="shared" si="7"/>
        <v>-83818358</v>
      </c>
      <c r="F64" s="478">
        <f t="shared" si="3"/>
        <v>0</v>
      </c>
      <c r="G64" s="542" t="s">
        <v>15</v>
      </c>
      <c r="H64" s="483">
        <v>83818358</v>
      </c>
      <c r="I64" s="495"/>
      <c r="J64" s="494"/>
      <c r="K64" s="485"/>
      <c r="L64" s="482"/>
      <c r="M64" s="483"/>
      <c r="N64" s="484"/>
      <c r="O64" s="482"/>
      <c r="P64" s="483"/>
      <c r="Q64" s="483"/>
      <c r="T64" s="440" t="s">
        <v>2319</v>
      </c>
      <c r="U64" s="440" t="s">
        <v>2320</v>
      </c>
      <c r="V64" s="440" t="s">
        <v>2325</v>
      </c>
      <c r="W64" s="440" t="s">
        <v>2326</v>
      </c>
    </row>
    <row r="65" spans="2:23">
      <c r="B65" s="468" t="str">
        <f>BS!C60</f>
        <v>사용권자산</v>
      </c>
      <c r="C65" s="535">
        <f>BS!E60</f>
        <v>1731999794</v>
      </c>
      <c r="D65" s="535">
        <f>BS!F60</f>
        <v>1784674683</v>
      </c>
      <c r="E65" s="478">
        <f>C65-D65</f>
        <v>-52674889</v>
      </c>
      <c r="F65" s="478">
        <f>E65+H65-J65+K65+L65-M65+N65-O65+P65-Q65</f>
        <v>0</v>
      </c>
      <c r="G65" s="439" t="s">
        <v>674</v>
      </c>
      <c r="H65" s="483"/>
      <c r="I65" s="493" t="s">
        <v>672</v>
      </c>
      <c r="J65" s="492">
        <v>452135</v>
      </c>
      <c r="K65" s="485"/>
      <c r="L65" s="482"/>
      <c r="M65" s="491"/>
      <c r="N65" s="484"/>
      <c r="O65" s="547"/>
      <c r="P65" s="490">
        <f>T65+J65</f>
        <v>62139942</v>
      </c>
      <c r="Q65" s="490">
        <f>T66</f>
        <v>9012918</v>
      </c>
      <c r="S65" s="440" t="s">
        <v>2317</v>
      </c>
      <c r="T65" s="440">
        <v>61687807</v>
      </c>
      <c r="U65" s="440">
        <v>43469341</v>
      </c>
      <c r="V65" s="440">
        <v>3682515</v>
      </c>
      <c r="W65" s="440">
        <v>15273120</v>
      </c>
    </row>
    <row r="66" spans="2:23">
      <c r="B66" s="468" t="str">
        <f>BS!C61</f>
        <v>사용권자산감가상각누계액</v>
      </c>
      <c r="C66" s="535">
        <f>BS!E61</f>
        <v>-370585998</v>
      </c>
      <c r="D66" s="535">
        <f>BS!F61</f>
        <v>-145809800</v>
      </c>
      <c r="E66" s="478">
        <f>C66-D66</f>
        <v>-224776198</v>
      </c>
      <c r="F66" s="478">
        <f>E66+H66-J66+K66+L66-M66+N66-O66+P66-Q66</f>
        <v>0</v>
      </c>
      <c r="G66" s="439" t="str">
        <f>G62</f>
        <v>감가상각비</v>
      </c>
      <c r="H66" s="483">
        <v>268245539</v>
      </c>
      <c r="I66" s="480"/>
      <c r="J66" s="492"/>
      <c r="K66" s="485"/>
      <c r="L66" s="482"/>
      <c r="M66" s="483"/>
      <c r="N66" s="484"/>
      <c r="O66" s="547"/>
      <c r="P66" s="483"/>
      <c r="Q66" s="490">
        <v>43469341</v>
      </c>
      <c r="S66" s="440" t="s">
        <v>2318</v>
      </c>
      <c r="T66" s="440">
        <v>9012918</v>
      </c>
      <c r="U66" s="440"/>
      <c r="V66" s="440">
        <v>2357959</v>
      </c>
      <c r="W66" s="440">
        <v>6354155</v>
      </c>
    </row>
    <row r="67" spans="2:23">
      <c r="B67" s="468" t="str">
        <f>BS!C62</f>
        <v>무형자산</v>
      </c>
      <c r="C67" s="535"/>
      <c r="D67" s="535"/>
      <c r="E67" s="478"/>
      <c r="F67" s="478"/>
      <c r="G67" s="439"/>
      <c r="H67" s="491"/>
      <c r="I67" s="480"/>
      <c r="J67" s="492"/>
      <c r="K67" s="485"/>
      <c r="L67" s="482"/>
      <c r="M67" s="483"/>
      <c r="N67" s="484"/>
      <c r="O67" s="482"/>
      <c r="P67" s="483"/>
      <c r="Q67" s="483"/>
      <c r="T67" s="440"/>
      <c r="U67" s="440"/>
    </row>
    <row r="68" spans="2:23">
      <c r="B68" s="468" t="str">
        <f>BS!C63</f>
        <v>특허권</v>
      </c>
      <c r="C68" s="535">
        <f>BS!E63</f>
        <v>49108768</v>
      </c>
      <c r="D68" s="535">
        <f>BS!F63</f>
        <v>18182933</v>
      </c>
      <c r="E68" s="478">
        <f t="shared" si="0"/>
        <v>30925835</v>
      </c>
      <c r="F68" s="478">
        <f t="shared" si="3"/>
        <v>0</v>
      </c>
      <c r="G68" s="439" t="s">
        <v>207</v>
      </c>
      <c r="H68" s="487">
        <v>7579149</v>
      </c>
      <c r="I68" s="480"/>
      <c r="J68" s="492"/>
      <c r="K68" s="485"/>
      <c r="L68" s="482"/>
      <c r="M68" s="494">
        <f>36656484+1848500</f>
        <v>38504984</v>
      </c>
      <c r="N68" s="495"/>
      <c r="O68" s="482"/>
      <c r="P68" s="483"/>
      <c r="Q68" s="483"/>
      <c r="R68" s="440" t="s">
        <v>1778</v>
      </c>
      <c r="T68" s="440"/>
      <c r="U68" s="440"/>
    </row>
    <row r="69" spans="2:23">
      <c r="B69" s="468" t="str">
        <f>BS!C64</f>
        <v>상표권</v>
      </c>
      <c r="C69" s="535">
        <f>BS!E64</f>
        <v>23719703</v>
      </c>
      <c r="D69" s="535">
        <f>BS!F64</f>
        <v>19838530</v>
      </c>
      <c r="E69" s="478">
        <f t="shared" si="0"/>
        <v>3881173</v>
      </c>
      <c r="F69" s="478">
        <f>E69+H69-J69+K69+L69-M69+N69-O69+P69-Q69</f>
        <v>0</v>
      </c>
      <c r="G69" s="439" t="s">
        <v>207</v>
      </c>
      <c r="H69" s="487">
        <v>6296322</v>
      </c>
      <c r="I69" s="480"/>
      <c r="J69" s="492"/>
      <c r="K69" s="485"/>
      <c r="L69" s="482"/>
      <c r="M69" s="490">
        <f>9652495+525000</f>
        <v>10177495</v>
      </c>
      <c r="N69" s="484"/>
      <c r="O69" s="482"/>
      <c r="P69" s="483"/>
      <c r="Q69" s="483"/>
      <c r="T69" s="440"/>
      <c r="U69" s="440"/>
    </row>
    <row r="70" spans="2:23">
      <c r="B70" s="468" t="str">
        <f>BS!C65</f>
        <v>개발비</v>
      </c>
      <c r="C70" s="535">
        <f>BS!E65</f>
        <v>0</v>
      </c>
      <c r="D70" s="535">
        <f>BS!F65</f>
        <v>0</v>
      </c>
      <c r="E70" s="478">
        <f t="shared" si="0"/>
        <v>0</v>
      </c>
      <c r="F70" s="478">
        <f t="shared" si="3"/>
        <v>0</v>
      </c>
      <c r="G70" s="439" t="s">
        <v>207</v>
      </c>
      <c r="H70" s="487"/>
      <c r="I70" s="480"/>
      <c r="J70" s="492"/>
      <c r="K70" s="485"/>
      <c r="L70" s="482"/>
      <c r="M70" s="483"/>
      <c r="N70" s="484"/>
      <c r="O70" s="482"/>
      <c r="P70" s="483"/>
      <c r="Q70" s="483"/>
      <c r="T70" s="440"/>
      <c r="U70" s="440"/>
    </row>
    <row r="71" spans="2:23">
      <c r="B71" s="468" t="str">
        <f>BS!C66</f>
        <v>소프트웨어</v>
      </c>
      <c r="C71" s="535">
        <f>BS!E66</f>
        <v>51893651</v>
      </c>
      <c r="D71" s="535">
        <f>BS!F66</f>
        <v>12347287</v>
      </c>
      <c r="E71" s="478">
        <f t="shared" si="0"/>
        <v>39546364</v>
      </c>
      <c r="F71" s="478">
        <f t="shared" si="3"/>
        <v>0</v>
      </c>
      <c r="G71" s="439" t="s">
        <v>207</v>
      </c>
      <c r="H71" s="487">
        <f>3826818*2</f>
        <v>7653636</v>
      </c>
      <c r="I71" s="480"/>
      <c r="J71" s="492"/>
      <c r="K71" s="485"/>
      <c r="L71" s="482"/>
      <c r="M71" s="483">
        <v>47200000</v>
      </c>
      <c r="N71" s="484"/>
      <c r="O71" s="482"/>
      <c r="P71" s="483"/>
      <c r="Q71" s="483"/>
      <c r="T71" s="440"/>
      <c r="U71" s="440"/>
    </row>
    <row r="72" spans="2:23">
      <c r="B72" s="466" t="str">
        <f>BS!C67</f>
        <v>이연법인세자산</v>
      </c>
      <c r="C72" s="536">
        <f>BS!E67</f>
        <v>2555104971</v>
      </c>
      <c r="D72" s="536">
        <f>BS!F67</f>
        <v>2555104971</v>
      </c>
      <c r="E72" s="478">
        <f t="shared" si="0"/>
        <v>0</v>
      </c>
      <c r="F72" s="478">
        <f>E72+H72-J72+K72+L72-M72+N72-O72+P72-Q72</f>
        <v>0</v>
      </c>
      <c r="G72" s="439"/>
      <c r="H72" s="486"/>
      <c r="I72" s="480"/>
      <c r="J72" s="492"/>
      <c r="K72" s="485"/>
      <c r="L72" s="482"/>
      <c r="M72" s="483"/>
      <c r="N72" s="484"/>
      <c r="O72" s="482"/>
      <c r="P72" s="483"/>
      <c r="Q72" s="483"/>
      <c r="T72" s="440"/>
      <c r="U72" s="440"/>
    </row>
    <row r="73" spans="2:23" s="501" customFormat="1">
      <c r="B73" s="466" t="str">
        <f>BS!C68</f>
        <v>자산총계</v>
      </c>
      <c r="C73" s="536">
        <f>SUM(C10:C72)</f>
        <v>54543045905</v>
      </c>
      <c r="D73" s="536">
        <f>SUM(D10:D72)</f>
        <v>55193887404</v>
      </c>
      <c r="E73" s="496"/>
      <c r="F73" s="496"/>
      <c r="G73" s="497"/>
      <c r="H73" s="486"/>
      <c r="I73" s="486"/>
      <c r="J73" s="498"/>
      <c r="K73" s="499"/>
      <c r="L73" s="383"/>
      <c r="M73" s="500"/>
      <c r="N73" s="383"/>
      <c r="O73" s="547"/>
      <c r="P73" s="491"/>
      <c r="Q73" s="500"/>
      <c r="R73" s="440"/>
      <c r="T73" s="502"/>
      <c r="U73" s="502"/>
    </row>
    <row r="74" spans="2:23" s="501" customFormat="1">
      <c r="B74" s="503"/>
      <c r="C74" s="537"/>
      <c r="D74" s="537"/>
      <c r="E74" s="504"/>
      <c r="F74" s="504"/>
      <c r="G74" s="505"/>
      <c r="H74" s="506"/>
      <c r="I74" s="506"/>
      <c r="J74" s="507"/>
      <c r="K74" s="499"/>
      <c r="L74" s="383"/>
      <c r="M74" s="500"/>
      <c r="N74" s="383"/>
      <c r="O74" s="547"/>
      <c r="P74" s="491"/>
      <c r="Q74" s="500"/>
      <c r="R74" s="440"/>
      <c r="T74" s="502"/>
      <c r="U74" s="502"/>
    </row>
    <row r="75" spans="2:23">
      <c r="B75" s="468" t="str">
        <f>BS!C69</f>
        <v>부채</v>
      </c>
      <c r="C75" s="535"/>
      <c r="D75" s="535"/>
      <c r="E75" s="478"/>
      <c r="F75" s="478"/>
      <c r="G75" s="439"/>
      <c r="H75" s="486"/>
      <c r="I75" s="480"/>
      <c r="J75" s="492"/>
      <c r="K75" s="485"/>
      <c r="L75" s="482"/>
      <c r="M75" s="483"/>
      <c r="N75" s="484"/>
      <c r="O75" s="482"/>
      <c r="P75" s="483"/>
      <c r="Q75" s="483"/>
      <c r="T75" s="477"/>
      <c r="U75" s="477"/>
    </row>
    <row r="76" spans="2:23">
      <c r="B76" s="508" t="s">
        <v>230</v>
      </c>
      <c r="C76" s="1174">
        <v>9637719</v>
      </c>
      <c r="D76" s="535">
        <v>6039610</v>
      </c>
      <c r="E76" s="478">
        <f>C76-D76</f>
        <v>3598109</v>
      </c>
      <c r="F76" s="478">
        <f>-E76+H76-J76+K76+L76-M76+N76-O76+P76-Q76</f>
        <v>0</v>
      </c>
      <c r="G76" s="439" t="s">
        <v>229</v>
      </c>
      <c r="H76" s="480">
        <f>PL!E80-H92</f>
        <v>71893278</v>
      </c>
      <c r="I76" s="480"/>
      <c r="J76" s="492"/>
      <c r="K76" s="718">
        <v>-93326730</v>
      </c>
      <c r="L76" s="482"/>
      <c r="M76" s="483"/>
      <c r="N76" s="484"/>
      <c r="O76" s="482"/>
      <c r="P76" s="483">
        <v>25031561</v>
      </c>
      <c r="Q76" s="483"/>
      <c r="R76" s="477" t="s">
        <v>1458</v>
      </c>
      <c r="T76" s="477"/>
      <c r="U76" s="477"/>
    </row>
    <row r="77" spans="2:23">
      <c r="B77" s="468" t="str">
        <f>BS!C71</f>
        <v>매입채무및기타채무</v>
      </c>
      <c r="C77" s="535"/>
      <c r="D77" s="535"/>
      <c r="E77" s="478">
        <f>C77-D77</f>
        <v>0</v>
      </c>
      <c r="F77" s="478">
        <f>-E77+H77-J77+K77+L77-M77+N77-O77+P77-Q77</f>
        <v>0</v>
      </c>
      <c r="G77" s="439"/>
      <c r="H77" s="486"/>
      <c r="I77" s="480"/>
      <c r="J77" s="492"/>
      <c r="K77" s="485"/>
      <c r="L77" s="482"/>
      <c r="M77" s="483"/>
      <c r="N77" s="484"/>
      <c r="O77" s="482"/>
      <c r="P77" s="483"/>
      <c r="Q77" s="483"/>
      <c r="R77" s="477"/>
      <c r="T77" s="477"/>
      <c r="U77" s="477"/>
    </row>
    <row r="78" spans="2:23">
      <c r="B78" s="468" t="str">
        <f>BS!C72</f>
        <v>매입채무</v>
      </c>
      <c r="C78" s="535">
        <f>BS!E72</f>
        <v>299203820</v>
      </c>
      <c r="D78" s="535">
        <f>BS!F72</f>
        <v>545684916</v>
      </c>
      <c r="E78" s="478">
        <f t="shared" si="0"/>
        <v>-246481096</v>
      </c>
      <c r="F78" s="478">
        <f t="shared" ref="F78:F106" si="8">-E78+H78-J78+K78+L78-M78+N78-O78+P78-Q78</f>
        <v>0</v>
      </c>
      <c r="G78" s="439"/>
      <c r="H78" s="480"/>
      <c r="I78" s="480"/>
      <c r="J78" s="492"/>
      <c r="K78" s="485">
        <f>E78-P78</f>
        <v>-246481096</v>
      </c>
      <c r="L78" s="482"/>
      <c r="M78" s="483"/>
      <c r="N78" s="484"/>
      <c r="O78" s="482"/>
      <c r="P78" s="483"/>
      <c r="Q78" s="483"/>
      <c r="T78" s="477"/>
      <c r="U78" s="477"/>
    </row>
    <row r="79" spans="2:23">
      <c r="B79" s="468" t="str">
        <f>BS!C73</f>
        <v>미지급금</v>
      </c>
      <c r="C79" s="535">
        <f>BS!E73</f>
        <v>207639910</v>
      </c>
      <c r="D79" s="535">
        <f>BS!F73</f>
        <v>293009113</v>
      </c>
      <c r="E79" s="478">
        <f t="shared" si="0"/>
        <v>-85369203</v>
      </c>
      <c r="F79" s="478">
        <f t="shared" si="8"/>
        <v>0</v>
      </c>
      <c r="G79" s="439"/>
      <c r="H79" s="480"/>
      <c r="I79" s="480"/>
      <c r="J79" s="492"/>
      <c r="K79" s="485">
        <f>E79-P79+Q79</f>
        <v>-22369203</v>
      </c>
      <c r="L79" s="482"/>
      <c r="M79" s="483"/>
      <c r="N79" s="484"/>
      <c r="O79" s="482"/>
      <c r="P79" s="483"/>
      <c r="Q79" s="1152">
        <v>63000000</v>
      </c>
      <c r="T79" s="477"/>
      <c r="U79" s="477"/>
    </row>
    <row r="80" spans="2:23">
      <c r="B80" s="468" t="str">
        <f>BS!C75</f>
        <v>미지급비용</v>
      </c>
      <c r="C80" s="535">
        <f>BS!E75-C76</f>
        <v>2543143341</v>
      </c>
      <c r="D80" s="535">
        <f>BS!F75-D76</f>
        <v>740022228</v>
      </c>
      <c r="E80" s="478">
        <f t="shared" si="0"/>
        <v>1803121113</v>
      </c>
      <c r="F80" s="478">
        <f>-E80+H80-J80+K80+L80-M80+N80-O80+P80-Q80</f>
        <v>0</v>
      </c>
      <c r="G80" s="439"/>
      <c r="H80" s="480"/>
      <c r="I80" s="480"/>
      <c r="J80" s="492"/>
      <c r="K80" s="485">
        <f t="shared" ref="K80" si="9">E80-P80</f>
        <v>1803121113</v>
      </c>
      <c r="L80" s="509"/>
      <c r="M80" s="483"/>
      <c r="N80" s="484"/>
      <c r="O80" s="482"/>
      <c r="P80" s="483"/>
      <c r="Q80" s="483"/>
      <c r="T80" s="477"/>
      <c r="U80" s="477"/>
    </row>
    <row r="81" spans="2:26">
      <c r="B81" s="468" t="s">
        <v>498</v>
      </c>
      <c r="C81" s="535">
        <f>BS!E74</f>
        <v>85200680</v>
      </c>
      <c r="D81" s="535">
        <f>BS!F74</f>
        <v>0</v>
      </c>
      <c r="E81" s="478">
        <f t="shared" si="0"/>
        <v>85200680</v>
      </c>
      <c r="F81" s="478">
        <f>-E81+H81-J81+K81+L81-M81+N81-O81+P81-Q81</f>
        <v>0</v>
      </c>
      <c r="G81" s="439"/>
      <c r="H81" s="480"/>
      <c r="I81" s="480"/>
      <c r="J81" s="492"/>
      <c r="K81" s="485">
        <f>E81</f>
        <v>85200680</v>
      </c>
      <c r="L81" s="482"/>
      <c r="M81" s="483"/>
      <c r="N81" s="484"/>
      <c r="O81" s="482"/>
      <c r="P81" s="483"/>
      <c r="Q81" s="483"/>
      <c r="T81" s="477"/>
      <c r="U81" s="477"/>
    </row>
    <row r="82" spans="2:26">
      <c r="B82" s="468" t="str">
        <f>BS!C76</f>
        <v>단기차입금</v>
      </c>
      <c r="C82" s="535">
        <f>BS!E76</f>
        <v>1120000000</v>
      </c>
      <c r="D82" s="535">
        <f>BS!F76</f>
        <v>1120000000</v>
      </c>
      <c r="E82" s="478">
        <f t="shared" si="0"/>
        <v>0</v>
      </c>
      <c r="F82" s="478">
        <f t="shared" si="8"/>
        <v>0</v>
      </c>
      <c r="G82" s="439"/>
      <c r="H82" s="480"/>
      <c r="I82" s="480"/>
      <c r="J82" s="492"/>
      <c r="K82" s="485"/>
      <c r="L82" s="482"/>
      <c r="M82" s="483"/>
      <c r="N82" s="493"/>
      <c r="O82" s="544"/>
      <c r="P82" s="483"/>
      <c r="Q82" s="483"/>
      <c r="T82" s="477"/>
      <c r="U82" s="477"/>
    </row>
    <row r="83" spans="2:26">
      <c r="B83" s="468" t="str">
        <f>BS!C77</f>
        <v>유동성장기차입금</v>
      </c>
      <c r="C83" s="535">
        <f>BS!E77</f>
        <v>0</v>
      </c>
      <c r="D83" s="535">
        <f>BS!F77</f>
        <v>83300000</v>
      </c>
      <c r="E83" s="478">
        <f t="shared" si="0"/>
        <v>-83300000</v>
      </c>
      <c r="F83" s="478">
        <f>-E83+H83-J83+K83+L83-M83+N83-O83+P83-Q83</f>
        <v>0</v>
      </c>
      <c r="G83" s="439"/>
      <c r="H83" s="480"/>
      <c r="I83" s="480"/>
      <c r="J83" s="492"/>
      <c r="K83" s="485"/>
      <c r="L83" s="482"/>
      <c r="M83" s="483"/>
      <c r="N83" s="484"/>
      <c r="O83" s="544">
        <v>83300000</v>
      </c>
      <c r="P83" s="483">
        <f>Q91</f>
        <v>0</v>
      </c>
      <c r="Q83" s="483">
        <f>P91</f>
        <v>0</v>
      </c>
      <c r="R83" s="440" t="s">
        <v>1734</v>
      </c>
      <c r="T83" s="477"/>
      <c r="U83" s="477"/>
    </row>
    <row r="84" spans="2:26">
      <c r="B84" s="468" t="str">
        <f>BS!C78</f>
        <v>유동성리스부채</v>
      </c>
      <c r="C84" s="535">
        <f>BS!E78</f>
        <v>537067117</v>
      </c>
      <c r="D84" s="535">
        <f>BS!F78</f>
        <v>545986082</v>
      </c>
      <c r="E84" s="478">
        <f>C84-D84</f>
        <v>-8918965</v>
      </c>
      <c r="F84" s="478">
        <f>-E84+H84-J84+K84+L84-M84+N84-O84+P84-Q84</f>
        <v>0</v>
      </c>
      <c r="G84" s="439"/>
      <c r="H84" s="480"/>
      <c r="I84" s="480"/>
      <c r="J84" s="492"/>
      <c r="K84" s="485"/>
      <c r="L84" s="482"/>
      <c r="M84" s="483"/>
      <c r="N84" s="484"/>
      <c r="O84" s="1065"/>
      <c r="P84" s="1063">
        <f>W66</f>
        <v>6354155</v>
      </c>
      <c r="Q84" s="483">
        <f>W65</f>
        <v>15273120</v>
      </c>
      <c r="T84" s="477"/>
      <c r="U84" s="477"/>
    </row>
    <row r="85" spans="2:26">
      <c r="B85" s="468" t="str">
        <f>BS!C79</f>
        <v>기타유동부채</v>
      </c>
      <c r="C85" s="535"/>
      <c r="D85" s="535"/>
      <c r="E85" s="478"/>
      <c r="F85" s="478">
        <f t="shared" si="8"/>
        <v>0</v>
      </c>
      <c r="G85" s="439"/>
      <c r="H85" s="480"/>
      <c r="I85" s="479"/>
      <c r="J85" s="492"/>
      <c r="K85" s="485"/>
      <c r="L85" s="482"/>
      <c r="M85" s="483"/>
      <c r="N85" s="484"/>
      <c r="O85" s="482"/>
      <c r="P85" s="483"/>
      <c r="Q85" s="483"/>
      <c r="T85" s="477"/>
      <c r="U85" s="477"/>
    </row>
    <row r="86" spans="2:26">
      <c r="B86" s="468" t="str">
        <f>BS!C80</f>
        <v>선수금</v>
      </c>
      <c r="C86" s="535">
        <f>BS!E80</f>
        <v>2215528322</v>
      </c>
      <c r="D86" s="535">
        <f>BS!F80</f>
        <v>2443300145</v>
      </c>
      <c r="E86" s="478">
        <f t="shared" si="0"/>
        <v>-227771823</v>
      </c>
      <c r="F86" s="478">
        <f t="shared" si="8"/>
        <v>0</v>
      </c>
      <c r="G86" s="439"/>
      <c r="H86" s="480"/>
      <c r="I86" s="480"/>
      <c r="J86" s="492"/>
      <c r="K86" s="485">
        <f>E86-P86</f>
        <v>-227771823</v>
      </c>
      <c r="L86" s="482"/>
      <c r="M86" s="483"/>
      <c r="N86" s="484"/>
      <c r="O86" s="482"/>
      <c r="P86" s="483"/>
      <c r="Q86" s="483"/>
      <c r="R86" s="440" t="s">
        <v>1221</v>
      </c>
      <c r="T86" s="477"/>
      <c r="U86" s="477"/>
    </row>
    <row r="87" spans="2:26">
      <c r="B87" s="468" t="str">
        <f>BS!C81</f>
        <v>환불부채</v>
      </c>
      <c r="C87" s="535">
        <f>BS!E81</f>
        <v>9395003</v>
      </c>
      <c r="D87" s="535">
        <f>BS!F81</f>
        <v>17343122</v>
      </c>
      <c r="E87" s="478">
        <f t="shared" si="0"/>
        <v>-7948119</v>
      </c>
      <c r="F87" s="478">
        <f>-E87+H87-J87+K87+L87-M87+N87-O87+P87-Q87</f>
        <v>0</v>
      </c>
      <c r="G87" s="439" t="s">
        <v>364</v>
      </c>
      <c r="H87" s="480">
        <f>E87</f>
        <v>-7948119</v>
      </c>
      <c r="I87" s="480"/>
      <c r="J87" s="498"/>
      <c r="K87" s="485"/>
      <c r="L87" s="482"/>
      <c r="M87" s="483"/>
      <c r="N87" s="484"/>
      <c r="O87" s="482"/>
      <c r="P87" s="483"/>
      <c r="Q87" s="483"/>
      <c r="T87" s="477"/>
      <c r="U87" s="477"/>
    </row>
    <row r="88" spans="2:26">
      <c r="B88" s="468" t="str">
        <f>BS!C82</f>
        <v>비유동부채</v>
      </c>
      <c r="C88" s="535"/>
      <c r="D88" s="535"/>
      <c r="E88" s="478"/>
      <c r="F88" s="478">
        <f>-E88+H88-J88+K88+L88-M88+N88-O88+P88-Q88</f>
        <v>0</v>
      </c>
      <c r="G88" s="439"/>
      <c r="H88" s="480"/>
      <c r="I88" s="480"/>
      <c r="J88" s="492"/>
      <c r="K88" s="485"/>
      <c r="L88" s="482"/>
      <c r="M88" s="483"/>
      <c r="N88" s="484"/>
      <c r="O88" s="482"/>
      <c r="P88" s="483"/>
      <c r="Q88" s="483"/>
      <c r="T88" s="477"/>
      <c r="U88" s="477"/>
    </row>
    <row r="89" spans="2:26">
      <c r="B89" s="468" t="str">
        <f>BS!C83</f>
        <v>기타비유동부채</v>
      </c>
      <c r="C89" s="535"/>
      <c r="D89" s="535"/>
      <c r="E89" s="478"/>
      <c r="F89" s="478">
        <f t="shared" si="8"/>
        <v>0</v>
      </c>
      <c r="G89" s="439"/>
      <c r="H89" s="480"/>
      <c r="I89" s="480"/>
      <c r="J89" s="492"/>
      <c r="K89" s="485"/>
      <c r="L89" s="482"/>
      <c r="M89" s="483"/>
      <c r="N89" s="484"/>
      <c r="O89" s="482"/>
      <c r="P89" s="483"/>
      <c r="Q89" s="483"/>
      <c r="T89" s="477"/>
      <c r="U89" s="477"/>
    </row>
    <row r="90" spans="2:26">
      <c r="B90" s="468" t="str">
        <f>BS!C84</f>
        <v>장기종업원급여부채</v>
      </c>
      <c r="C90" s="535">
        <f>BS!E84</f>
        <v>205709924</v>
      </c>
      <c r="D90" s="535">
        <f>BS!F84</f>
        <v>173088026</v>
      </c>
      <c r="E90" s="478">
        <f t="shared" si="0"/>
        <v>32621898</v>
      </c>
      <c r="F90" s="478">
        <f t="shared" si="8"/>
        <v>0</v>
      </c>
      <c r="G90" s="439" t="s">
        <v>11</v>
      </c>
      <c r="H90" s="480">
        <v>37001898</v>
      </c>
      <c r="I90" s="480"/>
      <c r="J90" s="492"/>
      <c r="K90" s="485">
        <v>-4380000</v>
      </c>
      <c r="L90" s="482"/>
      <c r="M90" s="483"/>
      <c r="N90" s="484"/>
      <c r="O90" s="482"/>
      <c r="P90" s="483"/>
      <c r="Q90" s="483"/>
      <c r="T90" s="477"/>
      <c r="U90" s="477"/>
    </row>
    <row r="91" spans="2:26">
      <c r="B91" s="468" t="str">
        <f>BS!C85</f>
        <v>장기차입금</v>
      </c>
      <c r="C91" s="535">
        <f>BS!E85</f>
        <v>4100000000</v>
      </c>
      <c r="D91" s="535">
        <f>BS!F85</f>
        <v>4100000000</v>
      </c>
      <c r="E91" s="478">
        <f t="shared" si="0"/>
        <v>0</v>
      </c>
      <c r="F91" s="478">
        <f t="shared" si="8"/>
        <v>0</v>
      </c>
      <c r="G91" s="439"/>
      <c r="H91" s="480"/>
      <c r="I91" s="480"/>
      <c r="J91" s="492"/>
      <c r="K91" s="485"/>
      <c r="L91" s="482"/>
      <c r="M91" s="483"/>
      <c r="N91" s="484"/>
      <c r="O91" s="482"/>
      <c r="P91" s="483"/>
      <c r="Q91" s="490"/>
      <c r="R91" s="440" t="s">
        <v>1789</v>
      </c>
      <c r="T91" s="477"/>
      <c r="U91" s="477"/>
    </row>
    <row r="92" spans="2:26">
      <c r="B92" s="468" t="str">
        <f>BS!C86</f>
        <v>리스부채</v>
      </c>
      <c r="C92" s="535">
        <f>BS!E86</f>
        <v>799358124</v>
      </c>
      <c r="D92" s="535">
        <f>BS!F86</f>
        <v>1049272823</v>
      </c>
      <c r="E92" s="478">
        <f>C92-D92</f>
        <v>-249914699</v>
      </c>
      <c r="F92" s="481">
        <f>-E92+H92-J92+K92+L92-M92+N92-O92+P92-Q92</f>
        <v>0</v>
      </c>
      <c r="G92" s="439" t="s">
        <v>229</v>
      </c>
      <c r="H92" s="487">
        <v>27061673</v>
      </c>
      <c r="I92" s="480"/>
      <c r="J92" s="492"/>
      <c r="K92" s="485"/>
      <c r="L92" s="482"/>
      <c r="M92" s="483"/>
      <c r="N92" s="484"/>
      <c r="O92" s="1066">
        <f>275651816-T92</f>
        <v>275936850</v>
      </c>
      <c r="P92" s="483">
        <f>V66</f>
        <v>2357959</v>
      </c>
      <c r="Q92" s="1064">
        <f>V65+T92</f>
        <v>3397481</v>
      </c>
      <c r="R92" s="440" t="s">
        <v>1861</v>
      </c>
      <c r="T92" s="477">
        <v>-285034</v>
      </c>
      <c r="U92" s="477"/>
      <c r="Z92" s="440">
        <f>O92-K92</f>
        <v>275936850</v>
      </c>
    </row>
    <row r="93" spans="2:26">
      <c r="B93" s="468" t="str">
        <f>BS!C87</f>
        <v>순확정급여부채</v>
      </c>
      <c r="C93" s="535"/>
      <c r="D93" s="535"/>
      <c r="E93" s="478"/>
      <c r="F93" s="478">
        <f>-E93+H93-J93+K93+L93-M93+N93-O93+P93-Q93</f>
        <v>0</v>
      </c>
      <c r="G93" s="439"/>
      <c r="H93" s="480"/>
      <c r="I93" s="480"/>
      <c r="J93" s="492"/>
      <c r="K93" s="485"/>
      <c r="L93" s="482"/>
      <c r="M93" s="483"/>
      <c r="N93" s="484"/>
      <c r="O93" s="482"/>
      <c r="P93" s="483"/>
      <c r="Q93" s="483"/>
      <c r="R93" s="394" t="s">
        <v>520</v>
      </c>
      <c r="T93" s="477"/>
      <c r="U93" s="477"/>
    </row>
    <row r="94" spans="2:26">
      <c r="B94" s="468" t="str">
        <f>BS!C88</f>
        <v>퇴직급여충당부채</v>
      </c>
      <c r="C94" s="535">
        <f>BS!E88</f>
        <v>710376650</v>
      </c>
      <c r="D94" s="535">
        <f>BS!F88</f>
        <v>1587206234</v>
      </c>
      <c r="E94" s="478">
        <f t="shared" si="0"/>
        <v>-876829584</v>
      </c>
      <c r="F94" s="478">
        <f>-E94+H94-J94+K94+L94-M94+N94-O94+P94-Q94</f>
        <v>0</v>
      </c>
      <c r="G94" s="439" t="s">
        <v>232</v>
      </c>
      <c r="H94" s="487">
        <f>94009695+94009695</f>
        <v>188019390</v>
      </c>
      <c r="I94" s="480"/>
      <c r="J94" s="492"/>
      <c r="K94" s="493">
        <v>-1064848974</v>
      </c>
      <c r="L94" s="482"/>
      <c r="M94" s="483"/>
      <c r="N94" s="484"/>
      <c r="O94" s="482"/>
      <c r="P94" s="483"/>
      <c r="Q94" s="490"/>
      <c r="T94" s="477"/>
      <c r="U94" s="502"/>
    </row>
    <row r="95" spans="2:26">
      <c r="B95" s="468" t="str">
        <f>BS!C89</f>
        <v>퇴직연금운용자산</v>
      </c>
      <c r="C95" s="535">
        <f>BS!E89</f>
        <v>0</v>
      </c>
      <c r="D95" s="535">
        <f>BS!F89</f>
        <v>0</v>
      </c>
      <c r="E95" s="478">
        <f t="shared" si="0"/>
        <v>0</v>
      </c>
      <c r="F95" s="478">
        <f t="shared" si="8"/>
        <v>0</v>
      </c>
      <c r="G95" s="439"/>
      <c r="H95" s="480"/>
      <c r="I95" s="480"/>
      <c r="J95" s="492"/>
      <c r="K95" s="485"/>
      <c r="L95" s="482"/>
      <c r="M95" s="483"/>
      <c r="N95" s="484"/>
      <c r="O95" s="482"/>
      <c r="P95" s="483"/>
      <c r="Q95" s="483"/>
      <c r="T95" s="477"/>
      <c r="U95" s="477"/>
    </row>
    <row r="96" spans="2:26">
      <c r="B96" s="468" t="str">
        <f>BS!C90</f>
        <v>이연법인세부채</v>
      </c>
      <c r="C96" s="535">
        <f>BS!E90</f>
        <v>0</v>
      </c>
      <c r="D96" s="535">
        <f>BS!F90</f>
        <v>0</v>
      </c>
      <c r="E96" s="478">
        <f t="shared" si="0"/>
        <v>0</v>
      </c>
      <c r="F96" s="478">
        <f t="shared" si="8"/>
        <v>0</v>
      </c>
      <c r="G96" s="439"/>
      <c r="H96" s="480"/>
      <c r="I96" s="480"/>
      <c r="J96" s="492"/>
      <c r="K96" s="485"/>
      <c r="L96" s="482"/>
      <c r="M96" s="483"/>
      <c r="N96" s="484"/>
      <c r="O96" s="482"/>
      <c r="P96" s="483"/>
      <c r="Q96" s="483"/>
      <c r="T96" s="477"/>
      <c r="U96" s="440"/>
    </row>
    <row r="97" spans="1:21" s="501" customFormat="1">
      <c r="B97" s="466" t="str">
        <f>BS!C91</f>
        <v>부채총계</v>
      </c>
      <c r="C97" s="536"/>
      <c r="D97" s="536"/>
      <c r="E97" s="496"/>
      <c r="F97" s="496">
        <f t="shared" si="8"/>
        <v>0</v>
      </c>
      <c r="G97" s="497"/>
      <c r="H97" s="486"/>
      <c r="I97" s="486"/>
      <c r="J97" s="498"/>
      <c r="K97" s="499"/>
      <c r="L97" s="383"/>
      <c r="M97" s="500"/>
      <c r="N97" s="383"/>
      <c r="O97" s="547"/>
      <c r="P97" s="491"/>
      <c r="Q97" s="500"/>
      <c r="S97" s="440">
        <v>21010158</v>
      </c>
      <c r="T97" s="477"/>
      <c r="U97" s="477"/>
    </row>
    <row r="98" spans="1:21" s="501" customFormat="1">
      <c r="B98" s="503"/>
      <c r="C98" s="537"/>
      <c r="D98" s="537"/>
      <c r="E98" s="504"/>
      <c r="F98" s="504"/>
      <c r="G98" s="505"/>
      <c r="H98" s="506"/>
      <c r="I98" s="506"/>
      <c r="J98" s="507"/>
      <c r="K98" s="485"/>
      <c r="L98" s="383"/>
      <c r="M98" s="500"/>
      <c r="N98" s="383"/>
      <c r="O98" s="547"/>
      <c r="P98" s="491"/>
      <c r="Q98" s="500"/>
      <c r="S98" s="440"/>
      <c r="T98" s="477"/>
      <c r="U98" s="502"/>
    </row>
    <row r="99" spans="1:21">
      <c r="A99" s="510"/>
      <c r="B99" s="468" t="str">
        <f>BS!C92</f>
        <v>자본</v>
      </c>
      <c r="C99" s="535">
        <f>BS!E92</f>
        <v>0</v>
      </c>
      <c r="D99" s="535">
        <f>BS!F92</f>
        <v>0</v>
      </c>
      <c r="E99" s="478">
        <f t="shared" ref="E99:E105" si="10">C99-D99</f>
        <v>0</v>
      </c>
      <c r="F99" s="478">
        <f t="shared" si="8"/>
        <v>0</v>
      </c>
      <c r="G99" s="511"/>
      <c r="H99" s="492"/>
      <c r="I99" s="492"/>
      <c r="J99" s="492"/>
      <c r="K99" s="479"/>
      <c r="L99" s="482"/>
      <c r="M99" s="483"/>
      <c r="N99" s="484"/>
      <c r="O99" s="482"/>
      <c r="P99" s="483"/>
      <c r="Q99" s="483"/>
      <c r="T99" s="477"/>
      <c r="U99" s="477"/>
    </row>
    <row r="100" spans="1:21">
      <c r="A100" s="510"/>
      <c r="B100" s="468" t="str">
        <f>BS!C93</f>
        <v>자본금</v>
      </c>
      <c r="C100" s="535"/>
      <c r="D100" s="535"/>
      <c r="E100" s="478"/>
      <c r="F100" s="478">
        <f t="shared" si="8"/>
        <v>0</v>
      </c>
      <c r="G100" s="511"/>
      <c r="H100" s="498"/>
      <c r="I100" s="492"/>
      <c r="J100" s="498"/>
      <c r="K100" s="485"/>
      <c r="L100" s="482"/>
      <c r="M100" s="483"/>
      <c r="N100" s="484"/>
      <c r="O100" s="482"/>
      <c r="P100" s="483"/>
      <c r="Q100" s="483"/>
      <c r="T100" s="477"/>
      <c r="U100" s="477"/>
    </row>
    <row r="101" spans="1:21">
      <c r="A101" s="510"/>
      <c r="B101" s="468" t="str">
        <f>BS!C94</f>
        <v>보통주자본금</v>
      </c>
      <c r="C101" s="535">
        <f>BS!E94</f>
        <v>5691191500</v>
      </c>
      <c r="D101" s="535">
        <f>BS!F94</f>
        <v>5691191500</v>
      </c>
      <c r="E101" s="478">
        <f t="shared" si="10"/>
        <v>0</v>
      </c>
      <c r="F101" s="478">
        <f t="shared" si="8"/>
        <v>0</v>
      </c>
      <c r="G101" s="512"/>
      <c r="H101" s="492"/>
      <c r="I101" s="492"/>
      <c r="J101" s="492"/>
      <c r="K101" s="485"/>
      <c r="L101" s="482"/>
      <c r="M101" s="483"/>
      <c r="N101" s="484"/>
      <c r="O101" s="482"/>
      <c r="P101" s="483"/>
      <c r="Q101" s="483"/>
      <c r="T101" s="440"/>
      <c r="U101" s="440"/>
    </row>
    <row r="102" spans="1:21">
      <c r="A102" s="510"/>
      <c r="B102" s="468" t="str">
        <f>BS!C95</f>
        <v>자본잉여금</v>
      </c>
      <c r="C102" s="535"/>
      <c r="D102" s="535"/>
      <c r="E102" s="478"/>
      <c r="F102" s="478">
        <f t="shared" si="8"/>
        <v>0</v>
      </c>
      <c r="G102" s="512"/>
      <c r="H102" s="492"/>
      <c r="I102" s="498"/>
      <c r="J102" s="498"/>
      <c r="K102" s="485"/>
      <c r="L102" s="482"/>
      <c r="M102" s="483"/>
      <c r="N102" s="484"/>
      <c r="O102" s="482"/>
      <c r="P102" s="483"/>
      <c r="Q102" s="483"/>
      <c r="T102" s="440"/>
      <c r="U102" s="440"/>
    </row>
    <row r="103" spans="1:21">
      <c r="A103" s="510"/>
      <c r="B103" s="468" t="str">
        <f>BS!C96</f>
        <v>주식발행초과금</v>
      </c>
      <c r="C103" s="535">
        <f>BS!E96</f>
        <v>45157382298</v>
      </c>
      <c r="D103" s="535">
        <f>BS!F96</f>
        <v>45157382298</v>
      </c>
      <c r="E103" s="478">
        <f t="shared" si="10"/>
        <v>0</v>
      </c>
      <c r="F103" s="478">
        <f t="shared" si="8"/>
        <v>0</v>
      </c>
      <c r="G103" s="512"/>
      <c r="H103" s="492"/>
      <c r="I103" s="492"/>
      <c r="J103" s="492"/>
      <c r="K103" s="485"/>
      <c r="L103" s="482"/>
      <c r="M103" s="483"/>
      <c r="N103" s="484"/>
      <c r="O103" s="482"/>
      <c r="P103" s="483"/>
      <c r="Q103" s="483">
        <f>P105</f>
        <v>0</v>
      </c>
      <c r="T103" s="477"/>
      <c r="U103" s="477"/>
    </row>
    <row r="104" spans="1:21">
      <c r="A104" s="510"/>
      <c r="B104" s="468" t="str">
        <f>BS!C97</f>
        <v>기타자본항목</v>
      </c>
      <c r="C104" s="535"/>
      <c r="D104" s="535"/>
      <c r="E104" s="478"/>
      <c r="F104" s="478">
        <f t="shared" si="8"/>
        <v>0</v>
      </c>
      <c r="G104" s="512"/>
      <c r="H104" s="492"/>
      <c r="I104" s="492"/>
      <c r="J104" s="492"/>
      <c r="K104" s="485"/>
      <c r="L104" s="482"/>
      <c r="M104" s="483"/>
      <c r="N104" s="484"/>
      <c r="O104" s="482"/>
      <c r="P104" s="483"/>
      <c r="Q104" s="483"/>
      <c r="T104" s="477"/>
      <c r="U104" s="477"/>
    </row>
    <row r="105" spans="1:21">
      <c r="A105" s="510"/>
      <c r="B105" s="468" t="str">
        <f>BS!C98</f>
        <v>주식매수선택권</v>
      </c>
      <c r="C105" s="535">
        <f>BS!E98</f>
        <v>424627793</v>
      </c>
      <c r="D105" s="535">
        <f>BS!F98</f>
        <v>424627793</v>
      </c>
      <c r="E105" s="478">
        <f t="shared" si="10"/>
        <v>0</v>
      </c>
      <c r="F105" s="478">
        <f t="shared" si="8"/>
        <v>0</v>
      </c>
      <c r="G105" s="512" t="s">
        <v>231</v>
      </c>
      <c r="H105" s="492">
        <f>PL!E30</f>
        <v>0</v>
      </c>
      <c r="I105" s="492"/>
      <c r="J105" s="492"/>
      <c r="K105" s="485"/>
      <c r="L105" s="482"/>
      <c r="M105" s="483"/>
      <c r="N105" s="484"/>
      <c r="O105" s="482"/>
      <c r="P105" s="559"/>
      <c r="Q105" s="483"/>
      <c r="R105" s="440" t="s">
        <v>658</v>
      </c>
      <c r="T105" s="477"/>
      <c r="U105" s="477"/>
    </row>
    <row r="106" spans="1:21">
      <c r="A106" s="510"/>
      <c r="B106" s="468" t="str">
        <f>BS!C99</f>
        <v>이익잉여금(결손금)</v>
      </c>
      <c r="C106" s="535"/>
      <c r="D106" s="535"/>
      <c r="E106" s="478"/>
      <c r="F106" s="478">
        <f t="shared" si="8"/>
        <v>0</v>
      </c>
      <c r="G106" s="512"/>
      <c r="H106" s="492"/>
      <c r="I106" s="492"/>
      <c r="J106" s="492"/>
      <c r="K106" s="485"/>
      <c r="L106" s="482"/>
      <c r="M106" s="483"/>
      <c r="N106" s="484"/>
      <c r="O106" s="482"/>
      <c r="P106" s="483"/>
      <c r="Q106" s="483"/>
      <c r="T106" s="477"/>
      <c r="U106" s="477"/>
    </row>
    <row r="107" spans="1:21">
      <c r="A107" s="510"/>
      <c r="B107" s="468" t="str">
        <f>BS!C100</f>
        <v>처분전이익잉여금</v>
      </c>
      <c r="C107" s="535">
        <f>BS!E100</f>
        <v>-9572416296</v>
      </c>
      <c r="D107" s="535">
        <f>BS!F100</f>
        <v>-8783566486</v>
      </c>
      <c r="E107" s="478">
        <f>C107-D107</f>
        <v>-788849810</v>
      </c>
      <c r="F107" s="478">
        <f>-E107+H107-J107+K107+L107-M107+N107-O107+P107-Q107</f>
        <v>0</v>
      </c>
      <c r="G107" s="512" t="s">
        <v>665</v>
      </c>
      <c r="H107" s="492">
        <f>PL!E86</f>
        <v>-788849810</v>
      </c>
      <c r="I107" s="492"/>
      <c r="J107" s="492"/>
      <c r="K107" s="485"/>
      <c r="L107" s="482"/>
      <c r="M107" s="483"/>
      <c r="N107" s="484"/>
      <c r="O107" s="482"/>
      <c r="P107" s="491">
        <f>CE!F24</f>
        <v>0</v>
      </c>
      <c r="Q107" s="483"/>
      <c r="R107" s="440" t="s">
        <v>365</v>
      </c>
      <c r="T107" s="513"/>
      <c r="U107" s="477"/>
    </row>
    <row r="108" spans="1:21">
      <c r="A108" s="510"/>
      <c r="B108" s="468" t="str">
        <f>BS!C101</f>
        <v>자본총계</v>
      </c>
      <c r="C108" s="535"/>
      <c r="D108" s="535"/>
      <c r="E108" s="478"/>
      <c r="F108" s="478"/>
      <c r="G108" s="512"/>
      <c r="H108" s="492"/>
      <c r="I108" s="492"/>
      <c r="J108" s="492"/>
      <c r="K108" s="485"/>
      <c r="L108" s="482"/>
      <c r="M108" s="483"/>
      <c r="N108" s="484"/>
      <c r="O108" s="482"/>
      <c r="P108" s="549"/>
      <c r="Q108" s="549"/>
      <c r="T108" s="514"/>
    </row>
    <row r="109" spans="1:21">
      <c r="B109" s="433" t="s">
        <v>151</v>
      </c>
      <c r="C109" s="538">
        <f>SUM(C77:C108)+C76</f>
        <v>54543045905</v>
      </c>
      <c r="D109" s="538">
        <f>SUM(D77:D108)+D76</f>
        <v>55193887404</v>
      </c>
      <c r="E109" s="515"/>
      <c r="F109" s="515"/>
      <c r="G109" s="516"/>
      <c r="H109" s="517"/>
      <c r="I109" s="517"/>
      <c r="J109" s="518"/>
      <c r="K109" s="519"/>
      <c r="L109" s="519"/>
      <c r="M109" s="519"/>
      <c r="N109" s="519"/>
      <c r="O109" s="519"/>
      <c r="P109" s="519"/>
      <c r="Q109" s="519"/>
    </row>
    <row r="110" spans="1:21" s="523" customFormat="1" ht="15.45" thickBot="1">
      <c r="B110" s="434"/>
      <c r="C110" s="520" t="b">
        <f>C109=C73</f>
        <v>1</v>
      </c>
      <c r="D110" s="520" t="b">
        <f>D109=D73</f>
        <v>1</v>
      </c>
      <c r="E110" s="521"/>
      <c r="F110" s="521"/>
      <c r="G110" s="521" t="s">
        <v>76</v>
      </c>
      <c r="H110" s="522">
        <f>SUM(H12:H108)</f>
        <v>123022777</v>
      </c>
      <c r="I110" s="522"/>
      <c r="J110" s="522">
        <f>SUM(J12:J108)</f>
        <v>60918619</v>
      </c>
      <c r="K110" s="522">
        <f>SUM(K11:K108)</f>
        <v>1119347968</v>
      </c>
      <c r="L110" s="522">
        <f t="shared" ref="L110:P110" si="11">SUM(L11:L108)</f>
        <v>17756301</v>
      </c>
      <c r="M110" s="522">
        <f>SUM(M11:M108)</f>
        <v>9041017701</v>
      </c>
      <c r="N110" s="522">
        <f>SUM(N11:N108)</f>
        <v>0</v>
      </c>
      <c r="O110" s="522">
        <f t="shared" si="11"/>
        <v>359236850</v>
      </c>
      <c r="P110" s="522">
        <f t="shared" si="11"/>
        <v>20546571973</v>
      </c>
      <c r="Q110" s="522">
        <f>SUM(Q11:Q108)+L11</f>
        <v>20546571973</v>
      </c>
      <c r="T110" s="524"/>
      <c r="U110" s="524"/>
    </row>
    <row r="111" spans="1:21" s="523" customFormat="1" ht="15.45" thickBot="1">
      <c r="B111" s="434"/>
      <c r="C111" s="525">
        <f>C109-BS!E102</f>
        <v>0</v>
      </c>
      <c r="D111" s="525">
        <f>D109-BS!F102</f>
        <v>0</v>
      </c>
      <c r="E111" s="521"/>
      <c r="F111" s="521"/>
      <c r="G111" s="521" t="s">
        <v>152</v>
      </c>
      <c r="H111" s="524">
        <f>CF!D4+CF!D5+CF!D65</f>
        <v>62104158</v>
      </c>
      <c r="I111" s="524"/>
      <c r="J111" s="524"/>
      <c r="K111" s="524">
        <f>CF!D26+CF!D36+CF!D35+CF!D34</f>
        <v>1119347968</v>
      </c>
      <c r="L111" s="524">
        <f>CF!D37</f>
        <v>-9023261400</v>
      </c>
      <c r="M111" s="524"/>
      <c r="N111" s="524">
        <f>CF!D55</f>
        <v>-359236850</v>
      </c>
      <c r="O111" s="524"/>
      <c r="P111" s="524"/>
      <c r="Q111" s="560">
        <f>P110-Q110</f>
        <v>0</v>
      </c>
      <c r="T111" s="524"/>
      <c r="U111" s="524"/>
    </row>
    <row r="112" spans="1:21" s="523" customFormat="1" ht="15.45" thickBot="1">
      <c r="B112" s="435" t="s">
        <v>153</v>
      </c>
      <c r="C112" s="526">
        <f>D11</f>
        <v>19169211185</v>
      </c>
      <c r="D112" s="525"/>
      <c r="E112" s="521"/>
      <c r="F112" s="521"/>
      <c r="G112" s="521" t="s">
        <v>154</v>
      </c>
      <c r="H112" s="560">
        <f>H110-J110-H111</f>
        <v>0</v>
      </c>
      <c r="I112" s="524"/>
      <c r="J112" s="524"/>
      <c r="K112" s="561">
        <f>K110-K111</f>
        <v>0</v>
      </c>
      <c r="L112" s="560">
        <f>L110-M110-L111</f>
        <v>0</v>
      </c>
      <c r="M112" s="524"/>
      <c r="N112" s="560">
        <f>N110-O110-N111</f>
        <v>0</v>
      </c>
      <c r="O112" s="524"/>
      <c r="P112" s="524"/>
      <c r="Q112" s="383"/>
      <c r="T112" s="524"/>
      <c r="U112" s="524"/>
    </row>
    <row r="113" spans="2:21" s="523" customFormat="1">
      <c r="B113" s="436" t="s">
        <v>144</v>
      </c>
      <c r="C113" s="527">
        <f>SUM(H110,K110,L110,N110,P110)-SUM(Q110,O110,M110,J110)</f>
        <v>-8201046124</v>
      </c>
      <c r="D113" s="525"/>
      <c r="E113" s="521"/>
      <c r="F113" s="521"/>
      <c r="G113" s="521"/>
      <c r="H113" s="524"/>
      <c r="I113" s="524"/>
      <c r="J113" s="524"/>
      <c r="K113" s="524"/>
      <c r="L113" s="524"/>
      <c r="M113" s="383"/>
      <c r="N113" s="524"/>
      <c r="O113" s="524"/>
      <c r="P113" s="524"/>
      <c r="Q113" s="524"/>
      <c r="T113" s="524"/>
      <c r="U113" s="524"/>
    </row>
    <row r="114" spans="2:21" s="523" customFormat="1">
      <c r="B114" s="437" t="s">
        <v>155</v>
      </c>
      <c r="C114" s="528">
        <f>C112+C113</f>
        <v>10968165061</v>
      </c>
      <c r="D114" s="525"/>
      <c r="E114" s="521"/>
      <c r="F114" s="521"/>
      <c r="G114" s="521"/>
      <c r="H114" s="524"/>
      <c r="I114" s="524"/>
      <c r="J114" s="524"/>
      <c r="K114" s="524"/>
      <c r="L114" s="383"/>
      <c r="M114" s="524"/>
      <c r="N114" s="524"/>
      <c r="O114" s="524"/>
      <c r="P114" s="524"/>
      <c r="Q114" s="524"/>
    </row>
    <row r="115" spans="2:21" s="523" customFormat="1">
      <c r="B115" s="434"/>
      <c r="C115" s="525"/>
      <c r="D115" s="525"/>
      <c r="E115" s="521"/>
      <c r="F115" s="521"/>
      <c r="G115" s="521"/>
      <c r="H115" s="524"/>
      <c r="I115" s="524"/>
      <c r="J115" s="524"/>
      <c r="K115" s="524"/>
      <c r="L115" s="383"/>
      <c r="M115" s="524"/>
      <c r="N115" s="524"/>
      <c r="O115" s="524"/>
      <c r="P115" s="524"/>
      <c r="Q115" s="524"/>
    </row>
    <row r="116" spans="2:21" s="523" customFormat="1">
      <c r="B116" s="438" t="s">
        <v>156</v>
      </c>
      <c r="C116" s="525">
        <f>C11</f>
        <v>10968165061</v>
      </c>
      <c r="D116" s="525"/>
      <c r="E116" s="521"/>
      <c r="F116" s="521"/>
      <c r="G116" s="521"/>
      <c r="H116" s="524"/>
      <c r="I116" s="524"/>
      <c r="J116" s="524"/>
      <c r="K116" s="524"/>
      <c r="L116" s="383"/>
      <c r="M116" s="524"/>
      <c r="N116" s="524"/>
      <c r="O116" s="524"/>
      <c r="P116" s="524"/>
      <c r="Q116" s="524"/>
      <c r="T116" s="524"/>
      <c r="U116" s="524"/>
    </row>
    <row r="117" spans="2:21" s="523" customFormat="1" ht="15.45" thickBot="1">
      <c r="B117" s="434"/>
      <c r="C117" s="525"/>
      <c r="D117" s="525"/>
      <c r="E117" s="521"/>
      <c r="H117" s="524"/>
      <c r="I117" s="524"/>
      <c r="J117" s="524"/>
      <c r="K117" s="524"/>
      <c r="L117" s="383"/>
      <c r="M117" s="524"/>
      <c r="N117" s="524"/>
      <c r="O117" s="524"/>
      <c r="P117" s="524"/>
      <c r="Q117" s="524"/>
      <c r="T117" s="524"/>
      <c r="U117" s="524"/>
    </row>
    <row r="118" spans="2:21" s="523" customFormat="1" ht="15.45" thickBot="1">
      <c r="B118" s="562" t="s">
        <v>157</v>
      </c>
      <c r="C118" s="563">
        <f>C114-C116</f>
        <v>0</v>
      </c>
      <c r="D118" s="434"/>
      <c r="H118" s="524"/>
      <c r="I118" s="524"/>
      <c r="J118" s="524"/>
      <c r="K118" s="524"/>
      <c r="L118" s="383"/>
      <c r="M118" s="524"/>
      <c r="N118" s="524"/>
      <c r="O118" s="524"/>
      <c r="P118" s="524"/>
      <c r="Q118" s="524"/>
      <c r="T118" s="524"/>
      <c r="U118" s="524"/>
    </row>
    <row r="119" spans="2:21">
      <c r="B119" s="32"/>
      <c r="C119" s="32" t="b">
        <f>C116=C114</f>
        <v>1</v>
      </c>
      <c r="D119" s="32"/>
      <c r="L119" s="465"/>
    </row>
    <row r="120" spans="2:21">
      <c r="C120" s="529"/>
      <c r="D120" s="394"/>
      <c r="E120" s="394"/>
      <c r="L120" s="465"/>
    </row>
    <row r="121" spans="2:21">
      <c r="C121" s="530"/>
      <c r="D121" s="530"/>
      <c r="E121" s="530"/>
    </row>
    <row r="122" spans="2:21">
      <c r="C122" s="530"/>
      <c r="D122" s="530"/>
      <c r="E122" s="530"/>
    </row>
    <row r="125" spans="2:21">
      <c r="F125" s="531"/>
      <c r="G125" s="532"/>
    </row>
  </sheetData>
  <mergeCells count="8">
    <mergeCell ref="G6:J6"/>
    <mergeCell ref="G7:H7"/>
    <mergeCell ref="I7:J7"/>
    <mergeCell ref="B6:B7"/>
    <mergeCell ref="C6:C7"/>
    <mergeCell ref="D6:D7"/>
    <mergeCell ref="E6:E7"/>
    <mergeCell ref="F6:F7"/>
  </mergeCells>
  <phoneticPr fontId="17" type="noConversion"/>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64DEE4AD-153B-45B6-B972-130AAD6D7961}">
            <xm:f>NOT(ISERROR(SEARCH("true",A1)))</xm:f>
            <xm:f>"true"</xm:f>
            <x14:dxf>
              <fill>
                <patternFill>
                  <bgColor theme="9" tint="0.79998168889431442"/>
                </patternFill>
              </fill>
            </x14:dxf>
          </x14:cfRule>
          <x14:cfRule type="containsText" priority="2" operator="containsText" id="{0E22ABDA-6B57-4000-BF6D-CD7618391041}">
            <xm:f>NOT(ISERROR(SEARCH("false",A1)))</xm:f>
            <xm:f>"false"</xm:f>
            <x14:dxf>
              <fill>
                <patternFill>
                  <bgColor rgb="FFFF0000"/>
                </patternFill>
              </fill>
            </x14:dxf>
          </x14:cfRule>
          <xm:sqref>A1:XFD42 G43:XFD60 A43:F64 G61:S62 U61:XFD62 T62 G63:R64 T63:U65 Z63:XFD65 A65:R66 T66:XFD66 A67:XFD1048576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8"/>
  <dimension ref="A1:O180"/>
  <sheetViews>
    <sheetView showGridLines="0" zoomScale="85" zoomScaleNormal="85" workbookViewId="0">
      <selection activeCell="O9" sqref="O9"/>
    </sheetView>
  </sheetViews>
  <sheetFormatPr defaultColWidth="8.5703125" defaultRowHeight="15"/>
  <cols>
    <col min="1" max="1" width="8.5703125" style="332"/>
    <col min="2" max="2" width="2.5703125" style="332" bestFit="1" customWidth="1"/>
    <col min="3" max="3" width="11.42578125" style="332" bestFit="1" customWidth="1"/>
    <col min="4" max="4" width="14.140625" style="332" bestFit="1" customWidth="1"/>
    <col min="5" max="5" width="15.92578125" style="332" bestFit="1" customWidth="1"/>
    <col min="6" max="6" width="12.2109375" style="332" bestFit="1" customWidth="1"/>
    <col min="7" max="9" width="8.5703125" style="332"/>
    <col min="10" max="10" width="15.5" style="332" bestFit="1" customWidth="1"/>
    <col min="11" max="11" width="15.5" style="332" customWidth="1"/>
    <col min="12" max="12" width="15.5" style="1147" customWidth="1"/>
    <col min="13" max="13" width="12.92578125" style="1137" bestFit="1" customWidth="1"/>
    <col min="14" max="14" width="19" style="332" bestFit="1" customWidth="1"/>
    <col min="15" max="15" width="12.92578125" style="1137" bestFit="1" customWidth="1"/>
    <col min="16" max="16384" width="8.5703125" style="332"/>
  </cols>
  <sheetData>
    <row r="1" spans="1:15">
      <c r="C1" s="1151">
        <f>SUM(C3:C180)</f>
        <v>3105368861</v>
      </c>
      <c r="F1" s="1151">
        <f>SUM(F3:F180)</f>
        <v>3105368861</v>
      </c>
    </row>
    <row r="2" spans="1:15">
      <c r="A2" s="1136" t="s">
        <v>2220</v>
      </c>
      <c r="B2" s="1136" t="s">
        <v>2221</v>
      </c>
      <c r="C2" s="1136" t="s">
        <v>2222</v>
      </c>
      <c r="D2" s="1136" t="s">
        <v>2223</v>
      </c>
      <c r="E2" s="1136" t="s">
        <v>2224</v>
      </c>
      <c r="F2" s="1136" t="s">
        <v>2225</v>
      </c>
      <c r="G2" s="1136" t="s">
        <v>2226</v>
      </c>
      <c r="H2" s="1136" t="s">
        <v>2227</v>
      </c>
      <c r="I2" s="1136" t="s">
        <v>2228</v>
      </c>
      <c r="J2" s="1136" t="s">
        <v>2229</v>
      </c>
    </row>
    <row r="3" spans="1:15">
      <c r="A3" s="1138" t="s">
        <v>2048</v>
      </c>
      <c r="B3" s="1138" t="s">
        <v>2049</v>
      </c>
      <c r="C3" s="1139">
        <v>424596500</v>
      </c>
      <c r="D3" s="1140" t="s">
        <v>2050</v>
      </c>
      <c r="E3" s="1140"/>
      <c r="F3" s="1139" t="s">
        <v>1111</v>
      </c>
      <c r="G3" s="1140" t="s">
        <v>2051</v>
      </c>
      <c r="H3" s="1140" t="s">
        <v>2052</v>
      </c>
      <c r="I3" s="1140" t="s">
        <v>1884</v>
      </c>
      <c r="J3" s="1138" t="s">
        <v>2048</v>
      </c>
      <c r="K3" s="1141"/>
      <c r="L3" s="1148" t="s">
        <v>2050</v>
      </c>
      <c r="M3" s="1137">
        <f>SUMIFS($C:$C,$D:$D,L3)</f>
        <v>557640020</v>
      </c>
      <c r="N3" s="332" t="s">
        <v>2189</v>
      </c>
      <c r="O3" s="1137">
        <f>SUMIFS($F:$F,$E:$E,N3)</f>
        <v>3105368861</v>
      </c>
    </row>
    <row r="4" spans="1:15">
      <c r="A4" s="1138" t="s">
        <v>2048</v>
      </c>
      <c r="B4" s="1138" t="s">
        <v>2049</v>
      </c>
      <c r="C4" s="1139">
        <v>105085000</v>
      </c>
      <c r="D4" s="1140" t="s">
        <v>2050</v>
      </c>
      <c r="E4" s="1140"/>
      <c r="F4" s="1139" t="s">
        <v>1111</v>
      </c>
      <c r="G4" s="1140" t="s">
        <v>2051</v>
      </c>
      <c r="H4" s="1140" t="s">
        <v>2053</v>
      </c>
      <c r="I4" s="1140" t="s">
        <v>1883</v>
      </c>
      <c r="J4" s="1138" t="s">
        <v>2048</v>
      </c>
      <c r="K4" s="1141"/>
      <c r="L4" s="1148" t="s">
        <v>2056</v>
      </c>
      <c r="M4" s="1137">
        <f t="shared" ref="M4:M7" si="0">SUMIFS($C:$C,$D:$D,L4)</f>
        <v>1476538478</v>
      </c>
    </row>
    <row r="5" spans="1:15">
      <c r="A5" s="1138" t="s">
        <v>2048</v>
      </c>
      <c r="B5" s="1138" t="s">
        <v>2049</v>
      </c>
      <c r="C5" s="1139">
        <v>18612025</v>
      </c>
      <c r="D5" s="1140" t="s">
        <v>2050</v>
      </c>
      <c r="E5" s="1140"/>
      <c r="F5" s="1139" t="s">
        <v>1111</v>
      </c>
      <c r="G5" s="1140" t="s">
        <v>2051</v>
      </c>
      <c r="H5" s="1140" t="s">
        <v>2054</v>
      </c>
      <c r="I5" s="1140" t="s">
        <v>1882</v>
      </c>
      <c r="J5" s="1138" t="s">
        <v>2048</v>
      </c>
      <c r="K5" s="1141"/>
      <c r="L5" s="1148" t="s">
        <v>2057</v>
      </c>
      <c r="M5" s="1137">
        <f t="shared" si="0"/>
        <v>499037904</v>
      </c>
    </row>
    <row r="6" spans="1:15">
      <c r="A6" s="1138" t="s">
        <v>2048</v>
      </c>
      <c r="B6" s="1138" t="s">
        <v>2049</v>
      </c>
      <c r="C6" s="1139">
        <v>9346495</v>
      </c>
      <c r="D6" s="1140" t="s">
        <v>2050</v>
      </c>
      <c r="E6" s="1140"/>
      <c r="F6" s="1139" t="s">
        <v>1111</v>
      </c>
      <c r="G6" s="1140" t="s">
        <v>2051</v>
      </c>
      <c r="H6" s="1140" t="s">
        <v>2055</v>
      </c>
      <c r="I6" s="1140" t="s">
        <v>1881</v>
      </c>
      <c r="J6" s="1138" t="s">
        <v>2048</v>
      </c>
      <c r="K6" s="1141"/>
      <c r="L6" s="1148" t="s">
        <v>2061</v>
      </c>
      <c r="M6" s="1137">
        <f t="shared" si="0"/>
        <v>456711494</v>
      </c>
    </row>
    <row r="7" spans="1:15">
      <c r="A7" s="1138" t="s">
        <v>2048</v>
      </c>
      <c r="B7" s="1138" t="s">
        <v>2049</v>
      </c>
      <c r="C7" s="1139">
        <v>848130500</v>
      </c>
      <c r="D7" s="1140" t="s">
        <v>2056</v>
      </c>
      <c r="E7" s="1142"/>
      <c r="F7" s="1139" t="s">
        <v>1111</v>
      </c>
      <c r="G7" s="1140" t="s">
        <v>2051</v>
      </c>
      <c r="H7" s="1140" t="s">
        <v>2052</v>
      </c>
      <c r="I7" s="1140" t="s">
        <v>1884</v>
      </c>
      <c r="J7" s="1138" t="s">
        <v>2048</v>
      </c>
      <c r="K7" s="1141"/>
      <c r="L7" s="1148" t="s">
        <v>2065</v>
      </c>
      <c r="M7" s="1137">
        <f t="shared" si="0"/>
        <v>115440965</v>
      </c>
    </row>
    <row r="8" spans="1:15" ht="17.600000000000001">
      <c r="A8" s="1138" t="s">
        <v>2048</v>
      </c>
      <c r="B8" s="1138" t="s">
        <v>2049</v>
      </c>
      <c r="C8" s="1139">
        <v>438826000</v>
      </c>
      <c r="D8" s="1140" t="s">
        <v>2056</v>
      </c>
      <c r="E8" s="1140"/>
      <c r="F8" s="1139" t="s">
        <v>1111</v>
      </c>
      <c r="G8" s="1140" t="s">
        <v>2051</v>
      </c>
      <c r="H8" s="1140" t="s">
        <v>2053</v>
      </c>
      <c r="I8" s="1140" t="s">
        <v>1883</v>
      </c>
      <c r="J8" s="1138" t="s">
        <v>2048</v>
      </c>
      <c r="K8" s="1141"/>
      <c r="L8"/>
    </row>
    <row r="9" spans="1:15" ht="17.600000000000001">
      <c r="A9" s="1138" t="s">
        <v>2048</v>
      </c>
      <c r="B9" s="1138" t="s">
        <v>2049</v>
      </c>
      <c r="C9" s="1139">
        <v>48250252</v>
      </c>
      <c r="D9" s="1140" t="s">
        <v>2056</v>
      </c>
      <c r="E9" s="1140"/>
      <c r="F9" s="1139" t="s">
        <v>1111</v>
      </c>
      <c r="G9" s="1140" t="s">
        <v>2051</v>
      </c>
      <c r="H9" s="1140" t="s">
        <v>2054</v>
      </c>
      <c r="I9" s="1140" t="s">
        <v>1882</v>
      </c>
      <c r="J9" s="1138" t="s">
        <v>2048</v>
      </c>
      <c r="K9" s="1141"/>
      <c r="L9"/>
      <c r="M9" s="1137">
        <f>SUM(M3:M8)</f>
        <v>3105368861</v>
      </c>
      <c r="O9" s="1137">
        <f>SUM(O3:O8)</f>
        <v>3105368861</v>
      </c>
    </row>
    <row r="10" spans="1:15" ht="17.600000000000001">
      <c r="A10" s="1138" t="s">
        <v>2048</v>
      </c>
      <c r="B10" s="1138" t="s">
        <v>2049</v>
      </c>
      <c r="C10" s="1139">
        <v>20683190</v>
      </c>
      <c r="D10" s="1140" t="s">
        <v>2056</v>
      </c>
      <c r="E10" s="1140"/>
      <c r="F10" s="1139" t="s">
        <v>1111</v>
      </c>
      <c r="G10" s="1140" t="s">
        <v>2051</v>
      </c>
      <c r="H10" s="1140" t="s">
        <v>2055</v>
      </c>
      <c r="I10" s="1140" t="s">
        <v>1881</v>
      </c>
      <c r="J10" s="1138" t="s">
        <v>2048</v>
      </c>
      <c r="K10" s="1141"/>
      <c r="L10"/>
      <c r="O10" s="1137" t="b">
        <f>O9=M9</f>
        <v>1</v>
      </c>
    </row>
    <row r="11" spans="1:15" ht="17.600000000000001">
      <c r="A11" s="1138" t="s">
        <v>2048</v>
      </c>
      <c r="B11" s="1138" t="s">
        <v>2049</v>
      </c>
      <c r="C11" s="1139">
        <v>5500000</v>
      </c>
      <c r="D11" s="1140" t="s">
        <v>2057</v>
      </c>
      <c r="E11" s="1140"/>
      <c r="F11" s="1139" t="s">
        <v>1111</v>
      </c>
      <c r="G11" s="1140" t="s">
        <v>2058</v>
      </c>
      <c r="H11" s="1140" t="s">
        <v>2059</v>
      </c>
      <c r="I11" s="1140" t="s">
        <v>2060</v>
      </c>
      <c r="J11" s="1138" t="s">
        <v>2048</v>
      </c>
      <c r="K11" s="1141"/>
      <c r="L11"/>
    </row>
    <row r="12" spans="1:15" ht="17.600000000000001">
      <c r="A12" s="1138" t="s">
        <v>2048</v>
      </c>
      <c r="B12" s="1138" t="s">
        <v>2049</v>
      </c>
      <c r="C12" s="1139">
        <v>13000000</v>
      </c>
      <c r="D12" s="1140" t="s">
        <v>2061</v>
      </c>
      <c r="E12" s="1140"/>
      <c r="F12" s="1139" t="s">
        <v>1111</v>
      </c>
      <c r="G12" s="1140" t="s">
        <v>2062</v>
      </c>
      <c r="H12" s="1140" t="s">
        <v>2063</v>
      </c>
      <c r="I12" s="1140" t="s">
        <v>2064</v>
      </c>
      <c r="J12" s="1138" t="s">
        <v>2048</v>
      </c>
      <c r="K12" s="1141"/>
      <c r="L12" s="1149"/>
      <c r="M12"/>
      <c r="N12"/>
      <c r="O12"/>
    </row>
    <row r="13" spans="1:15" ht="17.600000000000001">
      <c r="A13" s="1138" t="s">
        <v>2048</v>
      </c>
      <c r="B13" s="1138" t="s">
        <v>2049</v>
      </c>
      <c r="C13" s="1139">
        <v>4100000</v>
      </c>
      <c r="D13" s="1140" t="s">
        <v>2065</v>
      </c>
      <c r="E13" s="1140"/>
      <c r="F13" s="1139" t="s">
        <v>1111</v>
      </c>
      <c r="G13" s="1140" t="s">
        <v>2066</v>
      </c>
      <c r="H13" s="1140" t="s">
        <v>2067</v>
      </c>
      <c r="I13" s="1140" t="s">
        <v>2068</v>
      </c>
      <c r="J13" s="1138" t="s">
        <v>2048</v>
      </c>
      <c r="K13" s="1141"/>
      <c r="L13" s="1149"/>
      <c r="M13"/>
      <c r="N13"/>
      <c r="O13"/>
    </row>
    <row r="14" spans="1:15" ht="17.600000000000001">
      <c r="A14" s="1138" t="s">
        <v>2048</v>
      </c>
      <c r="B14" s="1138" t="s">
        <v>2049</v>
      </c>
      <c r="C14" s="1139">
        <v>1654650</v>
      </c>
      <c r="D14" s="1140" t="s">
        <v>2065</v>
      </c>
      <c r="E14" s="1140"/>
      <c r="F14" s="1139" t="s">
        <v>1111</v>
      </c>
      <c r="G14" s="1140" t="s">
        <v>2069</v>
      </c>
      <c r="H14" s="1140" t="s">
        <v>2070</v>
      </c>
      <c r="I14" s="1140" t="s">
        <v>2071</v>
      </c>
      <c r="J14" s="1138" t="s">
        <v>2048</v>
      </c>
      <c r="K14" s="1141"/>
      <c r="L14" s="1149"/>
      <c r="M14"/>
      <c r="N14"/>
      <c r="O14"/>
    </row>
    <row r="15" spans="1:15" ht="17.600000000000001">
      <c r="A15" s="1138" t="s">
        <v>2048</v>
      </c>
      <c r="B15" s="1138" t="s">
        <v>2049</v>
      </c>
      <c r="C15" s="1139">
        <v>58000000</v>
      </c>
      <c r="D15" s="1140" t="s">
        <v>2061</v>
      </c>
      <c r="E15" s="1140"/>
      <c r="F15" s="1139" t="s">
        <v>1111</v>
      </c>
      <c r="G15" s="1140" t="s">
        <v>2072</v>
      </c>
      <c r="H15" s="1140" t="s">
        <v>2073</v>
      </c>
      <c r="I15" s="1140" t="s">
        <v>2074</v>
      </c>
      <c r="J15" s="1138" t="s">
        <v>2048</v>
      </c>
      <c r="K15" s="1141"/>
      <c r="L15" s="1149"/>
      <c r="M15"/>
      <c r="N15"/>
      <c r="O15"/>
    </row>
    <row r="16" spans="1:15" ht="17.600000000000001">
      <c r="A16" s="1138" t="s">
        <v>2048</v>
      </c>
      <c r="B16" s="1138" t="s">
        <v>2049</v>
      </c>
      <c r="C16" s="1139">
        <v>5624000</v>
      </c>
      <c r="D16" s="1140" t="s">
        <v>2061</v>
      </c>
      <c r="E16" s="1140"/>
      <c r="F16" s="1139" t="s">
        <v>1111</v>
      </c>
      <c r="G16" s="1140" t="s">
        <v>2075</v>
      </c>
      <c r="H16" s="1140" t="s">
        <v>2076</v>
      </c>
      <c r="I16" s="1140" t="s">
        <v>2077</v>
      </c>
      <c r="J16" s="1138" t="s">
        <v>2048</v>
      </c>
      <c r="K16" s="1141"/>
      <c r="L16" s="1149"/>
      <c r="M16"/>
      <c r="N16"/>
      <c r="O16"/>
    </row>
    <row r="17" spans="1:15" ht="17.600000000000001">
      <c r="A17" s="1138" t="s">
        <v>2048</v>
      </c>
      <c r="B17" s="1138" t="s">
        <v>2049</v>
      </c>
      <c r="C17" s="1139">
        <v>2996000</v>
      </c>
      <c r="D17" s="1140" t="s">
        <v>2065</v>
      </c>
      <c r="E17" s="1140"/>
      <c r="F17" s="1139" t="s">
        <v>1111</v>
      </c>
      <c r="G17" s="1140" t="s">
        <v>2078</v>
      </c>
      <c r="H17" s="1140" t="s">
        <v>2079</v>
      </c>
      <c r="I17" s="1140" t="s">
        <v>2080</v>
      </c>
      <c r="J17" s="1138" t="s">
        <v>2048</v>
      </c>
      <c r="K17" s="1141"/>
      <c r="L17" s="1149"/>
      <c r="M17"/>
      <c r="N17"/>
      <c r="O17"/>
    </row>
    <row r="18" spans="1:15" ht="17.600000000000001">
      <c r="A18" s="1138" t="s">
        <v>2048</v>
      </c>
      <c r="B18" s="1138" t="s">
        <v>2049</v>
      </c>
      <c r="C18" s="1139">
        <v>522900</v>
      </c>
      <c r="D18" s="1140" t="s">
        <v>2065</v>
      </c>
      <c r="E18" s="1140"/>
      <c r="F18" s="1139" t="s">
        <v>1111</v>
      </c>
      <c r="G18" s="1140" t="s">
        <v>2081</v>
      </c>
      <c r="H18" s="1140" t="s">
        <v>2079</v>
      </c>
      <c r="I18" s="1140" t="s">
        <v>2080</v>
      </c>
      <c r="J18" s="1138" t="s">
        <v>2048</v>
      </c>
      <c r="K18" s="1141"/>
      <c r="L18" s="1149"/>
      <c r="M18"/>
      <c r="N18"/>
      <c r="O18"/>
    </row>
    <row r="19" spans="1:15" ht="17.600000000000001">
      <c r="A19" s="1138" t="s">
        <v>2048</v>
      </c>
      <c r="B19" s="1138" t="s">
        <v>2049</v>
      </c>
      <c r="C19" s="1139">
        <v>4700000</v>
      </c>
      <c r="D19" s="1140" t="s">
        <v>2065</v>
      </c>
      <c r="E19" s="1140"/>
      <c r="F19" s="1139" t="s">
        <v>1111</v>
      </c>
      <c r="G19" s="1140" t="s">
        <v>2082</v>
      </c>
      <c r="H19" s="1140" t="s">
        <v>2079</v>
      </c>
      <c r="I19" s="1140" t="s">
        <v>2080</v>
      </c>
      <c r="J19" s="1138" t="s">
        <v>2048</v>
      </c>
      <c r="K19" s="1141"/>
      <c r="L19" s="1149"/>
      <c r="M19"/>
      <c r="N19"/>
      <c r="O19"/>
    </row>
    <row r="20" spans="1:15" ht="17.600000000000001">
      <c r="A20" s="1138" t="s">
        <v>2048</v>
      </c>
      <c r="B20" s="1138" t="s">
        <v>2049</v>
      </c>
      <c r="C20" s="1139">
        <v>1170000</v>
      </c>
      <c r="D20" s="1140" t="s">
        <v>2065</v>
      </c>
      <c r="E20" s="1140"/>
      <c r="F20" s="1139" t="s">
        <v>1111</v>
      </c>
      <c r="G20" s="1140" t="s">
        <v>2083</v>
      </c>
      <c r="H20" s="1140" t="s">
        <v>2079</v>
      </c>
      <c r="I20" s="1140" t="s">
        <v>2080</v>
      </c>
      <c r="J20" s="1138" t="s">
        <v>2048</v>
      </c>
      <c r="K20" s="1141"/>
      <c r="L20" s="1149"/>
      <c r="M20"/>
      <c r="N20"/>
      <c r="O20"/>
    </row>
    <row r="21" spans="1:15" ht="17.600000000000001">
      <c r="A21" s="1138" t="s">
        <v>2048</v>
      </c>
      <c r="B21" s="1138" t="s">
        <v>2049</v>
      </c>
      <c r="C21" s="1139">
        <v>4050000</v>
      </c>
      <c r="D21" s="1140" t="s">
        <v>2061</v>
      </c>
      <c r="E21" s="1140"/>
      <c r="F21" s="1139" t="s">
        <v>1111</v>
      </c>
      <c r="G21" s="1140" t="s">
        <v>2084</v>
      </c>
      <c r="H21" s="1140" t="s">
        <v>2085</v>
      </c>
      <c r="I21" s="1140" t="s">
        <v>2086</v>
      </c>
      <c r="J21" s="1138" t="s">
        <v>2048</v>
      </c>
      <c r="K21" s="1141"/>
      <c r="L21" s="1149"/>
      <c r="M21"/>
      <c r="N21"/>
      <c r="O21"/>
    </row>
    <row r="22" spans="1:15" ht="17.600000000000001">
      <c r="A22" s="1138" t="s">
        <v>2048</v>
      </c>
      <c r="B22" s="1138" t="s">
        <v>2049</v>
      </c>
      <c r="C22" s="1139">
        <v>22480000</v>
      </c>
      <c r="D22" s="1140" t="s">
        <v>2061</v>
      </c>
      <c r="E22" s="1140"/>
      <c r="F22" s="1139" t="s">
        <v>1111</v>
      </c>
      <c r="G22" s="1140" t="s">
        <v>2087</v>
      </c>
      <c r="H22" s="1140" t="s">
        <v>2088</v>
      </c>
      <c r="I22" s="1140" t="s">
        <v>2089</v>
      </c>
      <c r="J22" s="1138" t="s">
        <v>2048</v>
      </c>
      <c r="K22" s="1141"/>
      <c r="L22" s="1149"/>
      <c r="M22"/>
      <c r="N22"/>
      <c r="O22"/>
    </row>
    <row r="23" spans="1:15" ht="17.600000000000001">
      <c r="A23" s="1138" t="s">
        <v>2048</v>
      </c>
      <c r="B23" s="1138" t="s">
        <v>2049</v>
      </c>
      <c r="C23" s="1139">
        <v>60000000</v>
      </c>
      <c r="D23" s="1140" t="s">
        <v>2061</v>
      </c>
      <c r="E23" s="1140"/>
      <c r="F23" s="1139" t="s">
        <v>1111</v>
      </c>
      <c r="G23" s="1140" t="s">
        <v>2090</v>
      </c>
      <c r="H23" s="1140" t="s">
        <v>1783</v>
      </c>
      <c r="I23" s="1140" t="s">
        <v>1784</v>
      </c>
      <c r="J23" s="1138" t="s">
        <v>2048</v>
      </c>
      <c r="K23" s="1141"/>
      <c r="L23" s="1149"/>
      <c r="M23"/>
      <c r="N23"/>
      <c r="O23"/>
    </row>
    <row r="24" spans="1:15" ht="17.600000000000001">
      <c r="A24" s="1138" t="s">
        <v>2048</v>
      </c>
      <c r="B24" s="1138" t="s">
        <v>2049</v>
      </c>
      <c r="C24" s="1139">
        <v>3000000</v>
      </c>
      <c r="D24" s="1140" t="s">
        <v>2065</v>
      </c>
      <c r="E24" s="1140"/>
      <c r="F24" s="1139" t="s">
        <v>1111</v>
      </c>
      <c r="G24" s="1140" t="s">
        <v>2091</v>
      </c>
      <c r="H24" s="1140" t="s">
        <v>1783</v>
      </c>
      <c r="I24" s="1140" t="s">
        <v>1784</v>
      </c>
      <c r="J24" s="1138" t="s">
        <v>2048</v>
      </c>
      <c r="K24" s="1141"/>
      <c r="L24" s="1149"/>
      <c r="M24"/>
      <c r="N24"/>
      <c r="O24"/>
    </row>
    <row r="25" spans="1:15" ht="17.600000000000001">
      <c r="A25" s="1138" t="s">
        <v>2048</v>
      </c>
      <c r="B25" s="1138" t="s">
        <v>2049</v>
      </c>
      <c r="C25" s="1139">
        <v>8700000</v>
      </c>
      <c r="D25" s="1140" t="s">
        <v>2061</v>
      </c>
      <c r="E25" s="1140"/>
      <c r="F25" s="1139" t="s">
        <v>1111</v>
      </c>
      <c r="G25" s="1140" t="s">
        <v>2092</v>
      </c>
      <c r="H25" s="1140" t="s">
        <v>1783</v>
      </c>
      <c r="I25" s="1140" t="s">
        <v>1784</v>
      </c>
      <c r="J25" s="1138" t="s">
        <v>2048</v>
      </c>
      <c r="K25" s="1141"/>
      <c r="L25" s="1149"/>
      <c r="M25"/>
      <c r="N25"/>
      <c r="O25"/>
    </row>
    <row r="26" spans="1:15" ht="17.600000000000001">
      <c r="A26" s="1138" t="s">
        <v>2048</v>
      </c>
      <c r="B26" s="1138" t="s">
        <v>2049</v>
      </c>
      <c r="C26" s="1139">
        <v>3600000</v>
      </c>
      <c r="D26" s="1140" t="s">
        <v>2061</v>
      </c>
      <c r="E26" s="1140"/>
      <c r="F26" s="1139" t="s">
        <v>1111</v>
      </c>
      <c r="G26" s="1140" t="s">
        <v>2093</v>
      </c>
      <c r="H26" s="1140" t="s">
        <v>1783</v>
      </c>
      <c r="I26" s="1140" t="s">
        <v>1784</v>
      </c>
      <c r="J26" s="1138" t="s">
        <v>2048</v>
      </c>
      <c r="K26" s="1141"/>
      <c r="L26" s="1149"/>
      <c r="M26"/>
      <c r="N26"/>
      <c r="O26"/>
    </row>
    <row r="27" spans="1:15" ht="17.600000000000001">
      <c r="A27" s="1138" t="s">
        <v>2048</v>
      </c>
      <c r="B27" s="1138" t="s">
        <v>2049</v>
      </c>
      <c r="C27" s="1139">
        <v>9000000</v>
      </c>
      <c r="D27" s="1140" t="s">
        <v>2061</v>
      </c>
      <c r="E27" s="1140"/>
      <c r="F27" s="1139" t="s">
        <v>1111</v>
      </c>
      <c r="G27" s="1140" t="s">
        <v>2094</v>
      </c>
      <c r="H27" s="1140" t="s">
        <v>2095</v>
      </c>
      <c r="I27" s="1140" t="s">
        <v>2096</v>
      </c>
      <c r="J27" s="1138" t="s">
        <v>2048</v>
      </c>
      <c r="K27" s="1141"/>
      <c r="L27" s="1149"/>
      <c r="M27"/>
      <c r="N27"/>
      <c r="O27"/>
    </row>
    <row r="28" spans="1:15" ht="17.600000000000001">
      <c r="A28" s="1138" t="s">
        <v>2048</v>
      </c>
      <c r="B28" s="1138" t="s">
        <v>2049</v>
      </c>
      <c r="C28" s="1139">
        <v>407500000</v>
      </c>
      <c r="D28" s="1140" t="s">
        <v>2057</v>
      </c>
      <c r="E28" s="1140"/>
      <c r="F28" s="1139" t="s">
        <v>1111</v>
      </c>
      <c r="G28" s="1140" t="s">
        <v>2097</v>
      </c>
      <c r="H28" s="1140" t="s">
        <v>2098</v>
      </c>
      <c r="I28" s="1140" t="s">
        <v>2099</v>
      </c>
      <c r="J28" s="1138" t="s">
        <v>2048</v>
      </c>
      <c r="K28" s="1141"/>
      <c r="L28" s="1149"/>
      <c r="M28"/>
      <c r="N28"/>
      <c r="O28"/>
    </row>
    <row r="29" spans="1:15" ht="17.600000000000001">
      <c r="A29" s="1138" t="s">
        <v>2048</v>
      </c>
      <c r="B29" s="1138" t="s">
        <v>2049</v>
      </c>
      <c r="C29" s="1139">
        <v>9500000</v>
      </c>
      <c r="D29" s="1140" t="s">
        <v>2057</v>
      </c>
      <c r="E29" s="1140"/>
      <c r="F29" s="1139" t="s">
        <v>1111</v>
      </c>
      <c r="G29" s="1140" t="s">
        <v>2100</v>
      </c>
      <c r="H29" s="1140" t="s">
        <v>2098</v>
      </c>
      <c r="I29" s="1140" t="s">
        <v>2099</v>
      </c>
      <c r="J29" s="1138" t="s">
        <v>2048</v>
      </c>
      <c r="K29" s="1141"/>
      <c r="L29" s="1149"/>
      <c r="M29"/>
      <c r="N29"/>
      <c r="O29"/>
    </row>
    <row r="30" spans="1:15" ht="17.600000000000001">
      <c r="A30" s="1138" t="s">
        <v>2048</v>
      </c>
      <c r="B30" s="1138" t="s">
        <v>2049</v>
      </c>
      <c r="C30" s="1139">
        <v>7500000</v>
      </c>
      <c r="D30" s="1140" t="s">
        <v>2057</v>
      </c>
      <c r="E30" s="1140"/>
      <c r="F30" s="1139" t="s">
        <v>1111</v>
      </c>
      <c r="G30" s="1140" t="s">
        <v>2101</v>
      </c>
      <c r="H30" s="1140" t="s">
        <v>2098</v>
      </c>
      <c r="I30" s="1140" t="s">
        <v>2099</v>
      </c>
      <c r="J30" s="1138" t="s">
        <v>2048</v>
      </c>
      <c r="K30" s="1141"/>
      <c r="L30" s="1149"/>
      <c r="M30"/>
      <c r="N30"/>
      <c r="O30"/>
    </row>
    <row r="31" spans="1:15" ht="17.600000000000001">
      <c r="A31" s="1138" t="s">
        <v>2048</v>
      </c>
      <c r="B31" s="1138" t="s">
        <v>2049</v>
      </c>
      <c r="C31" s="1139">
        <v>4000000</v>
      </c>
      <c r="D31" s="1140" t="s">
        <v>2057</v>
      </c>
      <c r="E31" s="1140"/>
      <c r="F31" s="1139" t="s">
        <v>1111</v>
      </c>
      <c r="G31" s="1140" t="s">
        <v>2102</v>
      </c>
      <c r="H31" s="1140" t="s">
        <v>2098</v>
      </c>
      <c r="I31" s="1140" t="s">
        <v>2099</v>
      </c>
      <c r="J31" s="1138" t="s">
        <v>2048</v>
      </c>
      <c r="K31" s="1141"/>
      <c r="L31" s="1149"/>
      <c r="M31"/>
      <c r="N31"/>
      <c r="O31"/>
    </row>
    <row r="32" spans="1:15" ht="17.600000000000001">
      <c r="A32" s="1138" t="s">
        <v>2048</v>
      </c>
      <c r="B32" s="1138" t="s">
        <v>2049</v>
      </c>
      <c r="C32" s="1139">
        <v>11000000</v>
      </c>
      <c r="D32" s="1140" t="s">
        <v>2061</v>
      </c>
      <c r="E32" s="1140"/>
      <c r="F32" s="1139" t="s">
        <v>1111</v>
      </c>
      <c r="G32" s="1140" t="s">
        <v>2103</v>
      </c>
      <c r="H32" s="1140" t="s">
        <v>2104</v>
      </c>
      <c r="I32" s="1140" t="s">
        <v>2105</v>
      </c>
      <c r="J32" s="1138" t="s">
        <v>2048</v>
      </c>
      <c r="K32" s="1141"/>
      <c r="L32" s="1149"/>
      <c r="M32"/>
      <c r="N32"/>
      <c r="O32"/>
    </row>
    <row r="33" spans="1:15" ht="17.600000000000001">
      <c r="A33" s="1138" t="s">
        <v>2048</v>
      </c>
      <c r="B33" s="1138" t="s">
        <v>2049</v>
      </c>
      <c r="C33" s="1139">
        <v>420000</v>
      </c>
      <c r="D33" s="1140" t="s">
        <v>2065</v>
      </c>
      <c r="E33" s="1140"/>
      <c r="F33" s="1139" t="s">
        <v>1111</v>
      </c>
      <c r="G33" s="1140" t="s">
        <v>2106</v>
      </c>
      <c r="H33" s="1140" t="s">
        <v>2107</v>
      </c>
      <c r="I33" s="1140" t="s">
        <v>2108</v>
      </c>
      <c r="J33" s="1138" t="s">
        <v>2048</v>
      </c>
      <c r="K33" s="1141"/>
      <c r="L33" s="1149"/>
      <c r="M33"/>
      <c r="N33"/>
      <c r="O33"/>
    </row>
    <row r="34" spans="1:15" ht="17.600000000000001">
      <c r="A34" s="1138" t="s">
        <v>2048</v>
      </c>
      <c r="B34" s="1138" t="s">
        <v>2049</v>
      </c>
      <c r="C34" s="1139">
        <v>37350000</v>
      </c>
      <c r="D34" s="1140" t="s">
        <v>2065</v>
      </c>
      <c r="E34" s="1140"/>
      <c r="F34" s="1139" t="s">
        <v>1111</v>
      </c>
      <c r="G34" s="1140" t="s">
        <v>2109</v>
      </c>
      <c r="H34" s="1140" t="s">
        <v>2110</v>
      </c>
      <c r="I34" s="1140" t="s">
        <v>2111</v>
      </c>
      <c r="J34" s="1138" t="s">
        <v>2048</v>
      </c>
      <c r="K34" s="1141"/>
      <c r="L34" s="1149"/>
      <c r="M34"/>
      <c r="N34"/>
      <c r="O34"/>
    </row>
    <row r="35" spans="1:15" ht="17.600000000000001">
      <c r="A35" s="1138" t="s">
        <v>2048</v>
      </c>
      <c r="B35" s="1138" t="s">
        <v>2049</v>
      </c>
      <c r="C35" s="1139">
        <v>4000000</v>
      </c>
      <c r="D35" s="1140" t="s">
        <v>2061</v>
      </c>
      <c r="E35" s="1140"/>
      <c r="F35" s="1139" t="s">
        <v>1111</v>
      </c>
      <c r="G35" s="1140" t="s">
        <v>2112</v>
      </c>
      <c r="H35" s="1140" t="s">
        <v>2113</v>
      </c>
      <c r="I35" s="1140" t="s">
        <v>2114</v>
      </c>
      <c r="J35" s="1138" t="s">
        <v>2048</v>
      </c>
      <c r="K35" s="1141"/>
      <c r="L35" s="1149"/>
      <c r="M35"/>
      <c r="N35"/>
      <c r="O35"/>
    </row>
    <row r="36" spans="1:15" ht="17.600000000000001">
      <c r="A36" s="1138" t="s">
        <v>2048</v>
      </c>
      <c r="B36" s="1138" t="s">
        <v>2049</v>
      </c>
      <c r="C36" s="1139">
        <v>50000000</v>
      </c>
      <c r="D36" s="1140" t="s">
        <v>2061</v>
      </c>
      <c r="E36" s="1140"/>
      <c r="F36" s="1139" t="s">
        <v>1111</v>
      </c>
      <c r="G36" s="1140" t="s">
        <v>2115</v>
      </c>
      <c r="H36" s="1140" t="s">
        <v>2116</v>
      </c>
      <c r="I36" s="1140" t="s">
        <v>2117</v>
      </c>
      <c r="J36" s="1138" t="s">
        <v>2048</v>
      </c>
      <c r="K36" s="1141"/>
      <c r="L36" s="1149"/>
      <c r="M36"/>
      <c r="N36"/>
      <c r="O36"/>
    </row>
    <row r="37" spans="1:15" ht="17.600000000000001">
      <c r="A37" s="1138" t="s">
        <v>2048</v>
      </c>
      <c r="B37" s="1138" t="s">
        <v>2049</v>
      </c>
      <c r="C37" s="1139">
        <v>35450000</v>
      </c>
      <c r="D37" s="1140" t="s">
        <v>2057</v>
      </c>
      <c r="E37" s="1140"/>
      <c r="F37" s="1139" t="s">
        <v>1111</v>
      </c>
      <c r="G37" s="1140" t="s">
        <v>332</v>
      </c>
      <c r="H37" s="1140" t="s">
        <v>2118</v>
      </c>
      <c r="I37" s="1140" t="s">
        <v>2119</v>
      </c>
      <c r="J37" s="1138" t="s">
        <v>2048</v>
      </c>
      <c r="K37" s="1141"/>
      <c r="L37" s="1149"/>
      <c r="M37"/>
      <c r="N37"/>
      <c r="O37"/>
    </row>
    <row r="38" spans="1:15" ht="17.600000000000001">
      <c r="A38" s="1138" t="s">
        <v>2048</v>
      </c>
      <c r="B38" s="1138" t="s">
        <v>2049</v>
      </c>
      <c r="C38" s="1139">
        <v>6403000</v>
      </c>
      <c r="D38" s="1140" t="s">
        <v>2065</v>
      </c>
      <c r="E38" s="1140"/>
      <c r="F38" s="1139" t="s">
        <v>1111</v>
      </c>
      <c r="G38" s="1140" t="s">
        <v>2120</v>
      </c>
      <c r="H38" s="1140" t="s">
        <v>2121</v>
      </c>
      <c r="I38" s="1140" t="s">
        <v>2122</v>
      </c>
      <c r="J38" s="1138" t="s">
        <v>2048</v>
      </c>
      <c r="K38" s="1141"/>
      <c r="L38" s="1149"/>
      <c r="M38"/>
      <c r="N38"/>
      <c r="O38"/>
    </row>
    <row r="39" spans="1:15" ht="17.600000000000001">
      <c r="A39" s="1138" t="s">
        <v>2048</v>
      </c>
      <c r="B39" s="1138" t="s">
        <v>2049</v>
      </c>
      <c r="C39" s="1139">
        <v>7164000</v>
      </c>
      <c r="D39" s="1140" t="s">
        <v>2065</v>
      </c>
      <c r="E39" s="1140"/>
      <c r="F39" s="1139" t="s">
        <v>1111</v>
      </c>
      <c r="G39" s="1140" t="s">
        <v>2123</v>
      </c>
      <c r="H39" s="1140" t="s">
        <v>2124</v>
      </c>
      <c r="I39" s="1140" t="s">
        <v>2125</v>
      </c>
      <c r="J39" s="1138" t="s">
        <v>2048</v>
      </c>
      <c r="K39" s="1141"/>
      <c r="L39" s="1149"/>
      <c r="M39"/>
      <c r="N39"/>
      <c r="O39"/>
    </row>
    <row r="40" spans="1:15" ht="17.600000000000001">
      <c r="A40" s="1138" t="s">
        <v>2048</v>
      </c>
      <c r="B40" s="1138" t="s">
        <v>2049</v>
      </c>
      <c r="C40" s="1139">
        <v>4562000</v>
      </c>
      <c r="D40" s="1140" t="s">
        <v>2065</v>
      </c>
      <c r="E40" s="1140"/>
      <c r="F40" s="1139" t="s">
        <v>1111</v>
      </c>
      <c r="G40" s="1140" t="s">
        <v>2126</v>
      </c>
      <c r="H40" s="1140" t="s">
        <v>2127</v>
      </c>
      <c r="I40" s="1140" t="s">
        <v>2128</v>
      </c>
      <c r="J40" s="1138" t="s">
        <v>2048</v>
      </c>
      <c r="K40" s="1141"/>
      <c r="L40" s="1149"/>
      <c r="M40"/>
      <c r="N40"/>
      <c r="O40"/>
    </row>
    <row r="41" spans="1:15" ht="17.600000000000001">
      <c r="A41" s="1138" t="s">
        <v>2048</v>
      </c>
      <c r="B41" s="1138" t="s">
        <v>2049</v>
      </c>
      <c r="C41" s="1139">
        <v>8650000</v>
      </c>
      <c r="D41" s="1140" t="s">
        <v>2065</v>
      </c>
      <c r="E41" s="1140"/>
      <c r="F41" s="1139" t="s">
        <v>1111</v>
      </c>
      <c r="G41" s="1140" t="s">
        <v>2129</v>
      </c>
      <c r="H41" s="1140" t="s">
        <v>2130</v>
      </c>
      <c r="I41" s="1140" t="s">
        <v>2131</v>
      </c>
      <c r="J41" s="1138" t="s">
        <v>2048</v>
      </c>
      <c r="K41" s="1141"/>
      <c r="L41" s="1149"/>
      <c r="M41"/>
      <c r="N41"/>
      <c r="O41"/>
    </row>
    <row r="42" spans="1:15" ht="17.600000000000001">
      <c r="A42" s="1138" t="s">
        <v>2048</v>
      </c>
      <c r="B42" s="1138" t="s">
        <v>2049</v>
      </c>
      <c r="C42" s="1139">
        <v>5070000</v>
      </c>
      <c r="D42" s="1140" t="s">
        <v>2065</v>
      </c>
      <c r="E42" s="1140"/>
      <c r="F42" s="1139" t="s">
        <v>1111</v>
      </c>
      <c r="G42" s="1140" t="s">
        <v>2132</v>
      </c>
      <c r="H42" s="1140" t="s">
        <v>2130</v>
      </c>
      <c r="I42" s="1140" t="s">
        <v>2131</v>
      </c>
      <c r="J42" s="1138" t="s">
        <v>2048</v>
      </c>
      <c r="K42" s="1141"/>
      <c r="L42" s="1149"/>
      <c r="M42"/>
      <c r="N42"/>
      <c r="O42"/>
    </row>
    <row r="43" spans="1:15" ht="17.600000000000001">
      <c r="A43" s="1138" t="s">
        <v>2048</v>
      </c>
      <c r="B43" s="1138" t="s">
        <v>2049</v>
      </c>
      <c r="C43" s="1139">
        <v>66500000</v>
      </c>
      <c r="D43" s="1140" t="s">
        <v>2061</v>
      </c>
      <c r="E43" s="1140"/>
      <c r="F43" s="1139" t="s">
        <v>1111</v>
      </c>
      <c r="G43" s="1140" t="s">
        <v>2133</v>
      </c>
      <c r="H43" s="1140" t="s">
        <v>2134</v>
      </c>
      <c r="I43" s="1140" t="s">
        <v>2135</v>
      </c>
      <c r="J43" s="1138" t="s">
        <v>2048</v>
      </c>
      <c r="K43" s="1141"/>
      <c r="L43" s="1149"/>
      <c r="M43"/>
      <c r="N43"/>
      <c r="O43"/>
    </row>
    <row r="44" spans="1:15" ht="17.600000000000001">
      <c r="A44" s="1138" t="s">
        <v>2048</v>
      </c>
      <c r="B44" s="1138" t="s">
        <v>2049</v>
      </c>
      <c r="C44" s="1139">
        <v>23593000</v>
      </c>
      <c r="D44" s="1140" t="s">
        <v>2061</v>
      </c>
      <c r="E44" s="1140"/>
      <c r="F44" s="1139" t="s">
        <v>1111</v>
      </c>
      <c r="G44" s="1140" t="s">
        <v>2136</v>
      </c>
      <c r="H44" s="1140" t="s">
        <v>2137</v>
      </c>
      <c r="I44" s="1140" t="s">
        <v>2138</v>
      </c>
      <c r="J44" s="1138" t="s">
        <v>2048</v>
      </c>
      <c r="K44" s="1141"/>
      <c r="L44" s="1149"/>
      <c r="M44"/>
      <c r="N44"/>
      <c r="O44"/>
    </row>
    <row r="45" spans="1:15" ht="17.600000000000001">
      <c r="A45" s="1138" t="s">
        <v>2048</v>
      </c>
      <c r="B45" s="1138" t="s">
        <v>2049</v>
      </c>
      <c r="C45" s="1139">
        <v>1525000</v>
      </c>
      <c r="D45" s="1140" t="s">
        <v>2061</v>
      </c>
      <c r="E45" s="1140"/>
      <c r="F45" s="1139" t="s">
        <v>1111</v>
      </c>
      <c r="G45" s="1140" t="s">
        <v>2139</v>
      </c>
      <c r="H45" s="1140" t="s">
        <v>2137</v>
      </c>
      <c r="I45" s="1140" t="s">
        <v>2138</v>
      </c>
      <c r="J45" s="1138" t="s">
        <v>2048</v>
      </c>
      <c r="K45" s="1141"/>
      <c r="L45" s="1149"/>
      <c r="M45"/>
      <c r="N45"/>
      <c r="O45"/>
    </row>
    <row r="46" spans="1:15" ht="17.600000000000001">
      <c r="A46" s="1138" t="s">
        <v>2048</v>
      </c>
      <c r="B46" s="1138" t="s">
        <v>2049</v>
      </c>
      <c r="C46" s="1139">
        <v>1075000</v>
      </c>
      <c r="D46" s="1140" t="s">
        <v>2065</v>
      </c>
      <c r="E46" s="1140"/>
      <c r="F46" s="1139" t="s">
        <v>1111</v>
      </c>
      <c r="G46" s="1140" t="s">
        <v>2140</v>
      </c>
      <c r="H46" s="1140" t="s">
        <v>2141</v>
      </c>
      <c r="I46" s="1140" t="s">
        <v>2142</v>
      </c>
      <c r="J46" s="1138" t="s">
        <v>2048</v>
      </c>
      <c r="K46" s="1141"/>
      <c r="L46" s="1149"/>
      <c r="M46"/>
      <c r="N46"/>
      <c r="O46"/>
    </row>
    <row r="47" spans="1:15" ht="17.600000000000001">
      <c r="A47" s="1138" t="s">
        <v>2048</v>
      </c>
      <c r="B47" s="1138" t="s">
        <v>2049</v>
      </c>
      <c r="C47" s="1139">
        <v>17140000</v>
      </c>
      <c r="D47" s="1140" t="s">
        <v>2061</v>
      </c>
      <c r="E47" s="1140"/>
      <c r="F47" s="1139" t="s">
        <v>1111</v>
      </c>
      <c r="G47" s="1140" t="s">
        <v>2143</v>
      </c>
      <c r="H47" s="1140" t="s">
        <v>2144</v>
      </c>
      <c r="I47" s="1140" t="s">
        <v>2145</v>
      </c>
      <c r="J47" s="1138" t="s">
        <v>2048</v>
      </c>
      <c r="K47" s="1141"/>
      <c r="L47" s="1149"/>
      <c r="M47"/>
      <c r="N47"/>
      <c r="O47"/>
    </row>
    <row r="48" spans="1:15" ht="17.600000000000001">
      <c r="A48" s="1138" t="s">
        <v>2048</v>
      </c>
      <c r="B48" s="1138" t="s">
        <v>2049</v>
      </c>
      <c r="C48" s="1139">
        <v>6318182</v>
      </c>
      <c r="D48" s="1140" t="s">
        <v>2065</v>
      </c>
      <c r="E48" s="1140"/>
      <c r="F48" s="1139" t="s">
        <v>1111</v>
      </c>
      <c r="G48" s="1140" t="s">
        <v>2146</v>
      </c>
      <c r="H48" s="1140" t="s">
        <v>2147</v>
      </c>
      <c r="I48" s="1140" t="s">
        <v>2148</v>
      </c>
      <c r="J48" s="1138" t="s">
        <v>2048</v>
      </c>
      <c r="K48" s="1141"/>
      <c r="L48" s="1149"/>
      <c r="M48"/>
      <c r="N48"/>
      <c r="O48"/>
    </row>
    <row r="49" spans="1:15" ht="17.600000000000001">
      <c r="A49" s="1138" t="s">
        <v>2048</v>
      </c>
      <c r="B49" s="1138" t="s">
        <v>2049</v>
      </c>
      <c r="C49" s="1139">
        <v>14714000</v>
      </c>
      <c r="D49" s="1140" t="s">
        <v>2061</v>
      </c>
      <c r="E49" s="1140"/>
      <c r="F49" s="1139" t="s">
        <v>1111</v>
      </c>
      <c r="G49" s="1140" t="s">
        <v>2149</v>
      </c>
      <c r="H49" s="1140" t="s">
        <v>2150</v>
      </c>
      <c r="I49" s="1140" t="s">
        <v>2151</v>
      </c>
      <c r="J49" s="1138" t="s">
        <v>2048</v>
      </c>
      <c r="K49" s="1141"/>
      <c r="L49" s="1149"/>
      <c r="M49"/>
      <c r="N49"/>
      <c r="O49"/>
    </row>
    <row r="50" spans="1:15" ht="17.600000000000001">
      <c r="A50" s="1138" t="s">
        <v>2048</v>
      </c>
      <c r="B50" s="1138" t="s">
        <v>2049</v>
      </c>
      <c r="C50" s="1139">
        <v>1950000</v>
      </c>
      <c r="D50" s="1140" t="s">
        <v>2065</v>
      </c>
      <c r="E50" s="1140"/>
      <c r="F50" s="1139" t="s">
        <v>1111</v>
      </c>
      <c r="G50" s="1140" t="s">
        <v>2152</v>
      </c>
      <c r="H50" s="1140" t="s">
        <v>2153</v>
      </c>
      <c r="I50" s="1140" t="s">
        <v>2154</v>
      </c>
      <c r="J50" s="1138" t="s">
        <v>2048</v>
      </c>
      <c r="K50" s="1141"/>
      <c r="L50" s="1149"/>
      <c r="M50"/>
      <c r="N50"/>
      <c r="O50"/>
    </row>
    <row r="51" spans="1:15" ht="17.600000000000001">
      <c r="A51" s="1138" t="s">
        <v>2048</v>
      </c>
      <c r="B51" s="1138" t="s">
        <v>2049</v>
      </c>
      <c r="C51" s="1139">
        <v>637273</v>
      </c>
      <c r="D51" s="1140" t="s">
        <v>2065</v>
      </c>
      <c r="E51" s="1140"/>
      <c r="F51" s="1139" t="s">
        <v>1111</v>
      </c>
      <c r="G51" s="1140" t="s">
        <v>2155</v>
      </c>
      <c r="H51" s="1140" t="s">
        <v>2156</v>
      </c>
      <c r="I51" s="1140" t="s">
        <v>2157</v>
      </c>
      <c r="J51" s="1138" t="s">
        <v>2048</v>
      </c>
      <c r="K51" s="1141"/>
      <c r="L51" s="1149"/>
      <c r="M51"/>
      <c r="N51"/>
      <c r="O51"/>
    </row>
    <row r="52" spans="1:15" ht="17.600000000000001">
      <c r="A52" s="1138" t="s">
        <v>2048</v>
      </c>
      <c r="B52" s="1138" t="s">
        <v>2049</v>
      </c>
      <c r="C52" s="1139">
        <v>28500000</v>
      </c>
      <c r="D52" s="1140" t="s">
        <v>2061</v>
      </c>
      <c r="E52" s="1140"/>
      <c r="F52" s="1139" t="s">
        <v>1111</v>
      </c>
      <c r="G52" s="1140" t="s">
        <v>2158</v>
      </c>
      <c r="H52" s="1140" t="s">
        <v>2159</v>
      </c>
      <c r="I52" s="1140" t="s">
        <v>2160</v>
      </c>
      <c r="J52" s="1138" t="s">
        <v>2048</v>
      </c>
      <c r="K52" s="1141"/>
      <c r="L52" s="1149"/>
      <c r="M52"/>
      <c r="N52"/>
      <c r="O52"/>
    </row>
    <row r="53" spans="1:15" ht="17.600000000000001">
      <c r="A53" s="1138" t="s">
        <v>2048</v>
      </c>
      <c r="B53" s="1138" t="s">
        <v>2049</v>
      </c>
      <c r="C53" s="1139">
        <v>8500000</v>
      </c>
      <c r="D53" s="1140" t="s">
        <v>2061</v>
      </c>
      <c r="E53" s="1140"/>
      <c r="F53" s="1139" t="s">
        <v>1111</v>
      </c>
      <c r="G53" s="1140" t="s">
        <v>2161</v>
      </c>
      <c r="H53" s="1140" t="s">
        <v>2162</v>
      </c>
      <c r="I53" s="1140" t="s">
        <v>2163</v>
      </c>
      <c r="J53" s="1138" t="s">
        <v>2048</v>
      </c>
      <c r="K53" s="1141"/>
      <c r="L53" s="1149"/>
      <c r="M53"/>
      <c r="N53"/>
      <c r="O53"/>
    </row>
    <row r="54" spans="1:15" ht="17.600000000000001">
      <c r="A54" s="1138" t="s">
        <v>2048</v>
      </c>
      <c r="B54" s="1138" t="s">
        <v>2049</v>
      </c>
      <c r="C54" s="1139">
        <v>426364</v>
      </c>
      <c r="D54" s="1140" t="s">
        <v>2065</v>
      </c>
      <c r="E54" s="1140"/>
      <c r="F54" s="1139" t="s">
        <v>1111</v>
      </c>
      <c r="G54" s="1140" t="s">
        <v>2164</v>
      </c>
      <c r="H54" s="1140" t="s">
        <v>2165</v>
      </c>
      <c r="I54" s="1140" t="s">
        <v>2166</v>
      </c>
      <c r="J54" s="1138" t="s">
        <v>2048</v>
      </c>
      <c r="K54" s="1141"/>
      <c r="L54" s="1149"/>
      <c r="M54"/>
      <c r="N54"/>
      <c r="O54"/>
    </row>
    <row r="55" spans="1:15" ht="17.600000000000001">
      <c r="A55" s="1138" t="s">
        <v>2048</v>
      </c>
      <c r="B55" s="1138" t="s">
        <v>2049</v>
      </c>
      <c r="C55" s="1139">
        <v>1900000</v>
      </c>
      <c r="D55" s="1140" t="s">
        <v>2065</v>
      </c>
      <c r="E55" s="1140"/>
      <c r="F55" s="1139" t="s">
        <v>1111</v>
      </c>
      <c r="G55" s="1140" t="s">
        <v>2167</v>
      </c>
      <c r="H55" s="1140" t="s">
        <v>2168</v>
      </c>
      <c r="I55" s="1140" t="s">
        <v>2169</v>
      </c>
      <c r="J55" s="1138" t="s">
        <v>2048</v>
      </c>
      <c r="K55" s="1141"/>
      <c r="L55" s="1149"/>
      <c r="M55"/>
      <c r="N55"/>
      <c r="O55"/>
    </row>
    <row r="56" spans="1:15" ht="17.600000000000001">
      <c r="A56" s="1138" t="s">
        <v>2048</v>
      </c>
      <c r="B56" s="1138" t="s">
        <v>2049</v>
      </c>
      <c r="C56" s="1139">
        <v>3420000</v>
      </c>
      <c r="D56" s="1140" t="s">
        <v>2065</v>
      </c>
      <c r="E56" s="1140"/>
      <c r="F56" s="1139" t="s">
        <v>1111</v>
      </c>
      <c r="G56" s="1140" t="s">
        <v>2170</v>
      </c>
      <c r="H56" s="1140" t="s">
        <v>2171</v>
      </c>
      <c r="I56" s="1140" t="s">
        <v>2172</v>
      </c>
      <c r="J56" s="1138" t="s">
        <v>2048</v>
      </c>
      <c r="K56" s="1141"/>
      <c r="L56" s="1149"/>
      <c r="M56"/>
      <c r="N56"/>
      <c r="O56"/>
    </row>
    <row r="57" spans="1:15" ht="17.600000000000001">
      <c r="A57" s="1138" t="s">
        <v>2048</v>
      </c>
      <c r="B57" s="1138" t="s">
        <v>2049</v>
      </c>
      <c r="C57" s="1139">
        <v>1981818</v>
      </c>
      <c r="D57" s="1140" t="s">
        <v>2065</v>
      </c>
      <c r="E57" s="1140"/>
      <c r="F57" s="1139" t="s">
        <v>1111</v>
      </c>
      <c r="G57" s="1140" t="s">
        <v>2173</v>
      </c>
      <c r="H57" s="1140" t="s">
        <v>2174</v>
      </c>
      <c r="I57" s="1140" t="s">
        <v>2175</v>
      </c>
      <c r="J57" s="1138" t="s">
        <v>2048</v>
      </c>
      <c r="K57" s="1141"/>
      <c r="L57" s="1149"/>
      <c r="M57"/>
      <c r="N57"/>
      <c r="O57"/>
    </row>
    <row r="58" spans="1:15" ht="17.600000000000001">
      <c r="A58" s="1138" t="s">
        <v>2048</v>
      </c>
      <c r="B58" s="1138" t="s">
        <v>2049</v>
      </c>
      <c r="C58" s="1139">
        <v>11300000</v>
      </c>
      <c r="D58" s="1140" t="s">
        <v>2061</v>
      </c>
      <c r="E58" s="1140"/>
      <c r="F58" s="1139" t="s">
        <v>1111</v>
      </c>
      <c r="G58" s="1140" t="s">
        <v>2176</v>
      </c>
      <c r="H58" s="1140" t="s">
        <v>2177</v>
      </c>
      <c r="I58" s="1140" t="s">
        <v>2178</v>
      </c>
      <c r="J58" s="1138" t="s">
        <v>2048</v>
      </c>
      <c r="K58" s="1141"/>
      <c r="L58" s="1149"/>
      <c r="M58"/>
      <c r="N58"/>
      <c r="O58"/>
    </row>
    <row r="59" spans="1:15" ht="17.600000000000001">
      <c r="A59" s="1138" t="s">
        <v>2048</v>
      </c>
      <c r="B59" s="1138" t="s">
        <v>2049</v>
      </c>
      <c r="C59" s="1139">
        <v>19000000</v>
      </c>
      <c r="D59" s="1140" t="s">
        <v>2061</v>
      </c>
      <c r="E59" s="1140"/>
      <c r="F59" s="1139" t="s">
        <v>1111</v>
      </c>
      <c r="G59" s="1140" t="s">
        <v>2179</v>
      </c>
      <c r="H59" s="1140" t="s">
        <v>2177</v>
      </c>
      <c r="I59" s="1140" t="s">
        <v>2178</v>
      </c>
      <c r="J59" s="1138" t="s">
        <v>2048</v>
      </c>
      <c r="K59" s="1141"/>
      <c r="L59" s="1149"/>
      <c r="M59"/>
      <c r="N59"/>
      <c r="O59"/>
    </row>
    <row r="60" spans="1:15" ht="17.600000000000001">
      <c r="A60" s="1138" t="s">
        <v>2048</v>
      </c>
      <c r="B60" s="1138" t="s">
        <v>2049</v>
      </c>
      <c r="C60" s="1139">
        <v>2145000</v>
      </c>
      <c r="D60" s="1140" t="s">
        <v>2061</v>
      </c>
      <c r="E60" s="1140"/>
      <c r="F60" s="1139" t="s">
        <v>1111</v>
      </c>
      <c r="G60" s="1140" t="s">
        <v>2180</v>
      </c>
      <c r="H60" s="1140" t="s">
        <v>2181</v>
      </c>
      <c r="I60" s="1140" t="s">
        <v>2182</v>
      </c>
      <c r="J60" s="1138" t="s">
        <v>2048</v>
      </c>
      <c r="K60" s="1141"/>
      <c r="L60" s="1149"/>
      <c r="M60"/>
      <c r="N60"/>
      <c r="O60"/>
    </row>
    <row r="61" spans="1:15" ht="17.600000000000001">
      <c r="A61" s="1138" t="s">
        <v>2048</v>
      </c>
      <c r="B61" s="1138" t="s">
        <v>2049</v>
      </c>
      <c r="C61" s="1139">
        <v>3322300</v>
      </c>
      <c r="D61" s="1140" t="s">
        <v>2065</v>
      </c>
      <c r="E61" s="1140"/>
      <c r="F61" s="1139" t="s">
        <v>1111</v>
      </c>
      <c r="G61" s="1140" t="s">
        <v>2183</v>
      </c>
      <c r="H61" s="1140" t="s">
        <v>2184</v>
      </c>
      <c r="I61" s="1140" t="s">
        <v>2185</v>
      </c>
      <c r="J61" s="1138" t="s">
        <v>2048</v>
      </c>
      <c r="K61" s="1141"/>
      <c r="L61" s="1149"/>
      <c r="M61"/>
      <c r="N61"/>
      <c r="O61"/>
    </row>
    <row r="62" spans="1:15" ht="17.600000000000001">
      <c r="A62" s="1138" t="s">
        <v>2048</v>
      </c>
      <c r="B62" s="1138" t="s">
        <v>2049</v>
      </c>
      <c r="C62" s="1139">
        <v>2781000</v>
      </c>
      <c r="D62" s="1140" t="s">
        <v>2065</v>
      </c>
      <c r="E62" s="1140"/>
      <c r="F62" s="1139" t="s">
        <v>1111</v>
      </c>
      <c r="G62" s="1140" t="s">
        <v>2186</v>
      </c>
      <c r="H62" s="1140" t="s">
        <v>2187</v>
      </c>
      <c r="I62" s="1140" t="s">
        <v>2188</v>
      </c>
      <c r="J62" s="1138" t="s">
        <v>2048</v>
      </c>
      <c r="K62" s="1141"/>
      <c r="L62" s="1149"/>
      <c r="M62"/>
      <c r="N62"/>
      <c r="O62"/>
    </row>
    <row r="63" spans="1:15">
      <c r="A63" s="1138" t="s">
        <v>2048</v>
      </c>
      <c r="B63" s="1138" t="s">
        <v>2049</v>
      </c>
      <c r="C63" s="1139" t="s">
        <v>1111</v>
      </c>
      <c r="D63" s="1140"/>
      <c r="E63" s="1140" t="s">
        <v>2189</v>
      </c>
      <c r="F63" s="1139">
        <v>28500000</v>
      </c>
      <c r="G63" s="1140" t="s">
        <v>2190</v>
      </c>
      <c r="H63" s="1140" t="s">
        <v>2159</v>
      </c>
      <c r="I63" s="1140" t="s">
        <v>2160</v>
      </c>
      <c r="J63" s="1138" t="s">
        <v>2048</v>
      </c>
      <c r="K63" s="1141"/>
      <c r="L63" s="1148"/>
    </row>
    <row r="64" spans="1:15">
      <c r="A64" s="1138" t="s">
        <v>2048</v>
      </c>
      <c r="B64" s="1138" t="s">
        <v>2049</v>
      </c>
      <c r="C64" s="1139" t="s">
        <v>1111</v>
      </c>
      <c r="D64" s="1140"/>
      <c r="E64" s="1140" t="s">
        <v>2189</v>
      </c>
      <c r="F64" s="1139">
        <v>25118000</v>
      </c>
      <c r="G64" s="1140" t="s">
        <v>2190</v>
      </c>
      <c r="H64" s="1140" t="s">
        <v>2137</v>
      </c>
      <c r="I64" s="1140" t="s">
        <v>2138</v>
      </c>
      <c r="J64" s="1138" t="s">
        <v>2048</v>
      </c>
      <c r="K64" s="1141"/>
      <c r="L64" s="1148"/>
    </row>
    <row r="65" spans="1:12">
      <c r="A65" s="1138" t="s">
        <v>2048</v>
      </c>
      <c r="B65" s="1138" t="s">
        <v>2049</v>
      </c>
      <c r="C65" s="1139" t="s">
        <v>1111</v>
      </c>
      <c r="D65" s="1140"/>
      <c r="E65" s="1140" t="s">
        <v>2189</v>
      </c>
      <c r="F65" s="1139">
        <v>3420000</v>
      </c>
      <c r="G65" s="1140" t="s">
        <v>2190</v>
      </c>
      <c r="H65" s="1140" t="s">
        <v>2171</v>
      </c>
      <c r="I65" s="1140" t="s">
        <v>2172</v>
      </c>
      <c r="J65" s="1138" t="s">
        <v>2048</v>
      </c>
      <c r="K65" s="1141"/>
      <c r="L65" s="1148"/>
    </row>
    <row r="66" spans="1:12">
      <c r="A66" s="1138" t="s">
        <v>2048</v>
      </c>
      <c r="B66" s="1138" t="s">
        <v>2049</v>
      </c>
      <c r="C66" s="1139" t="s">
        <v>1111</v>
      </c>
      <c r="D66" s="1140"/>
      <c r="E66" s="1140" t="s">
        <v>2189</v>
      </c>
      <c r="F66" s="1139">
        <v>9000000</v>
      </c>
      <c r="G66" s="1140" t="s">
        <v>2190</v>
      </c>
      <c r="H66" s="1140" t="s">
        <v>2095</v>
      </c>
      <c r="I66" s="1140" t="s">
        <v>2096</v>
      </c>
      <c r="J66" s="1138" t="s">
        <v>2048</v>
      </c>
      <c r="K66" s="1141"/>
      <c r="L66" s="1148"/>
    </row>
    <row r="67" spans="1:12">
      <c r="A67" s="1138" t="s">
        <v>2048</v>
      </c>
      <c r="B67" s="1138" t="s">
        <v>2049</v>
      </c>
      <c r="C67" s="1139" t="s">
        <v>1111</v>
      </c>
      <c r="D67" s="1140"/>
      <c r="E67" s="1140" t="s">
        <v>2189</v>
      </c>
      <c r="F67" s="1139">
        <v>66500000</v>
      </c>
      <c r="G67" s="1140" t="s">
        <v>2190</v>
      </c>
      <c r="H67" s="1140" t="s">
        <v>2134</v>
      </c>
      <c r="I67" s="1140" t="s">
        <v>2135</v>
      </c>
      <c r="J67" s="1138" t="s">
        <v>2048</v>
      </c>
      <c r="K67" s="1141"/>
      <c r="L67" s="1148"/>
    </row>
    <row r="68" spans="1:12">
      <c r="A68" s="1138" t="s">
        <v>2048</v>
      </c>
      <c r="B68" s="1138" t="s">
        <v>2049</v>
      </c>
      <c r="C68" s="1139" t="s">
        <v>1111</v>
      </c>
      <c r="D68" s="1140"/>
      <c r="E68" s="1140" t="s">
        <v>2189</v>
      </c>
      <c r="F68" s="1139">
        <v>9388900</v>
      </c>
      <c r="G68" s="1140" t="s">
        <v>2190</v>
      </c>
      <c r="H68" s="1140" t="s">
        <v>2079</v>
      </c>
      <c r="I68" s="1140" t="s">
        <v>2080</v>
      </c>
      <c r="J68" s="1138" t="s">
        <v>2048</v>
      </c>
      <c r="K68" s="1141"/>
      <c r="L68" s="1148"/>
    </row>
    <row r="69" spans="1:12">
      <c r="A69" s="1138" t="s">
        <v>2048</v>
      </c>
      <c r="B69" s="1138" t="s">
        <v>2049</v>
      </c>
      <c r="C69" s="1139" t="s">
        <v>1111</v>
      </c>
      <c r="D69" s="1140"/>
      <c r="E69" s="1140" t="s">
        <v>2189</v>
      </c>
      <c r="F69" s="1139">
        <v>6318182</v>
      </c>
      <c r="G69" s="1140" t="s">
        <v>2190</v>
      </c>
      <c r="H69" s="1140" t="s">
        <v>2147</v>
      </c>
      <c r="I69" s="1140" t="s">
        <v>2148</v>
      </c>
      <c r="J69" s="1138" t="s">
        <v>2048</v>
      </c>
      <c r="K69" s="1141"/>
      <c r="L69" s="1148"/>
    </row>
    <row r="70" spans="1:12">
      <c r="A70" s="1138" t="s">
        <v>2048</v>
      </c>
      <c r="B70" s="1138" t="s">
        <v>2049</v>
      </c>
      <c r="C70" s="1139" t="s">
        <v>1111</v>
      </c>
      <c r="D70" s="1140"/>
      <c r="E70" s="1140" t="s">
        <v>2189</v>
      </c>
      <c r="F70" s="1139">
        <v>1900000</v>
      </c>
      <c r="G70" s="1140" t="s">
        <v>2190</v>
      </c>
      <c r="H70" s="1140" t="s">
        <v>2168</v>
      </c>
      <c r="I70" s="1140" t="s">
        <v>2169</v>
      </c>
      <c r="J70" s="1138" t="s">
        <v>2048</v>
      </c>
      <c r="K70" s="1141"/>
      <c r="L70" s="1148"/>
    </row>
    <row r="71" spans="1:12">
      <c r="A71" s="1138" t="s">
        <v>2048</v>
      </c>
      <c r="B71" s="1138" t="s">
        <v>2049</v>
      </c>
      <c r="C71" s="1139" t="s">
        <v>1111</v>
      </c>
      <c r="D71" s="1140"/>
      <c r="E71" s="1140" t="s">
        <v>2189</v>
      </c>
      <c r="F71" s="1139">
        <v>58000000</v>
      </c>
      <c r="G71" s="1140" t="s">
        <v>2190</v>
      </c>
      <c r="H71" s="1140" t="s">
        <v>2073</v>
      </c>
      <c r="I71" s="1140" t="s">
        <v>2074</v>
      </c>
      <c r="J71" s="1138" t="s">
        <v>2048</v>
      </c>
      <c r="K71" s="1141"/>
      <c r="L71" s="1148"/>
    </row>
    <row r="72" spans="1:12">
      <c r="A72" s="1138" t="s">
        <v>2048</v>
      </c>
      <c r="B72" s="1138" t="s">
        <v>2049</v>
      </c>
      <c r="C72" s="1139" t="s">
        <v>1111</v>
      </c>
      <c r="D72" s="1140"/>
      <c r="E72" s="1140" t="s">
        <v>2189</v>
      </c>
      <c r="F72" s="1139">
        <v>75300000</v>
      </c>
      <c r="G72" s="1140" t="s">
        <v>2190</v>
      </c>
      <c r="H72" s="1140" t="s">
        <v>1783</v>
      </c>
      <c r="I72" s="1140" t="s">
        <v>1784</v>
      </c>
      <c r="J72" s="1138" t="s">
        <v>2048</v>
      </c>
      <c r="K72" s="1141"/>
      <c r="L72" s="1148"/>
    </row>
    <row r="73" spans="1:12">
      <c r="A73" s="1138" t="s">
        <v>2048</v>
      </c>
      <c r="B73" s="1138" t="s">
        <v>2049</v>
      </c>
      <c r="C73" s="1139" t="s">
        <v>1111</v>
      </c>
      <c r="D73" s="1140"/>
      <c r="E73" s="1140" t="s">
        <v>2189</v>
      </c>
      <c r="F73" s="1139">
        <v>22480000</v>
      </c>
      <c r="G73" s="1140" t="s">
        <v>2190</v>
      </c>
      <c r="H73" s="1140" t="s">
        <v>2088</v>
      </c>
      <c r="I73" s="1140" t="s">
        <v>2089</v>
      </c>
      <c r="J73" s="1138" t="s">
        <v>2048</v>
      </c>
      <c r="K73" s="1141"/>
      <c r="L73" s="1148"/>
    </row>
    <row r="74" spans="1:12">
      <c r="A74" s="1138" t="s">
        <v>2048</v>
      </c>
      <c r="B74" s="1138" t="s">
        <v>2049</v>
      </c>
      <c r="C74" s="1139" t="s">
        <v>1111</v>
      </c>
      <c r="D74" s="1140"/>
      <c r="E74" s="1140" t="s">
        <v>2189</v>
      </c>
      <c r="F74" s="1139">
        <v>17140000</v>
      </c>
      <c r="G74" s="1140" t="s">
        <v>2190</v>
      </c>
      <c r="H74" s="1140" t="s">
        <v>2144</v>
      </c>
      <c r="I74" s="1140" t="s">
        <v>2145</v>
      </c>
      <c r="J74" s="1138" t="s">
        <v>2048</v>
      </c>
      <c r="K74" s="1141"/>
      <c r="L74" s="1148"/>
    </row>
    <row r="75" spans="1:12">
      <c r="A75" s="1138" t="s">
        <v>2048</v>
      </c>
      <c r="B75" s="1138" t="s">
        <v>2049</v>
      </c>
      <c r="C75" s="1139" t="s">
        <v>1111</v>
      </c>
      <c r="D75" s="1140"/>
      <c r="E75" s="1140" t="s">
        <v>2189</v>
      </c>
      <c r="F75" s="1139">
        <v>543911000</v>
      </c>
      <c r="G75" s="1140" t="s">
        <v>2190</v>
      </c>
      <c r="H75" s="1140" t="s">
        <v>2053</v>
      </c>
      <c r="I75" s="1140" t="s">
        <v>1883</v>
      </c>
      <c r="J75" s="1138" t="s">
        <v>2048</v>
      </c>
      <c r="K75" s="1141"/>
      <c r="L75" s="1148"/>
    </row>
    <row r="76" spans="1:12">
      <c r="A76" s="1138" t="s">
        <v>2048</v>
      </c>
      <c r="B76" s="1138" t="s">
        <v>2049</v>
      </c>
      <c r="C76" s="1139" t="s">
        <v>1111</v>
      </c>
      <c r="D76" s="1140"/>
      <c r="E76" s="1140" t="s">
        <v>2189</v>
      </c>
      <c r="F76" s="1139">
        <v>1272727000</v>
      </c>
      <c r="G76" s="1140" t="s">
        <v>2190</v>
      </c>
      <c r="H76" s="1140" t="s">
        <v>2052</v>
      </c>
      <c r="I76" s="1140" t="s">
        <v>1884</v>
      </c>
      <c r="J76" s="1138" t="s">
        <v>2048</v>
      </c>
      <c r="K76" s="1141"/>
      <c r="L76" s="1148"/>
    </row>
    <row r="77" spans="1:12">
      <c r="A77" s="1138" t="s">
        <v>2048</v>
      </c>
      <c r="B77" s="1138" t="s">
        <v>2049</v>
      </c>
      <c r="C77" s="1139" t="s">
        <v>1111</v>
      </c>
      <c r="D77" s="1140"/>
      <c r="E77" s="1140" t="s">
        <v>2189</v>
      </c>
      <c r="F77" s="1139">
        <v>66862277</v>
      </c>
      <c r="G77" s="1140" t="s">
        <v>2190</v>
      </c>
      <c r="H77" s="1140" t="s">
        <v>2054</v>
      </c>
      <c r="I77" s="1140" t="s">
        <v>1882</v>
      </c>
      <c r="J77" s="1138" t="s">
        <v>2048</v>
      </c>
      <c r="K77" s="1141"/>
      <c r="L77" s="1148"/>
    </row>
    <row r="78" spans="1:12">
      <c r="A78" s="1138" t="s">
        <v>2048</v>
      </c>
      <c r="B78" s="1138" t="s">
        <v>2049</v>
      </c>
      <c r="C78" s="1139" t="s">
        <v>1111</v>
      </c>
      <c r="D78" s="1140"/>
      <c r="E78" s="1140" t="s">
        <v>2189</v>
      </c>
      <c r="F78" s="1139">
        <v>30029685</v>
      </c>
      <c r="G78" s="1140" t="s">
        <v>2190</v>
      </c>
      <c r="H78" s="1140" t="s">
        <v>2055</v>
      </c>
      <c r="I78" s="1140" t="s">
        <v>1881</v>
      </c>
      <c r="J78" s="1138" t="s">
        <v>2048</v>
      </c>
      <c r="K78" s="1141"/>
      <c r="L78" s="1148"/>
    </row>
    <row r="79" spans="1:12">
      <c r="A79" s="1138" t="s">
        <v>2048</v>
      </c>
      <c r="B79" s="1138" t="s">
        <v>2049</v>
      </c>
      <c r="C79" s="1139" t="s">
        <v>1111</v>
      </c>
      <c r="D79" s="1140"/>
      <c r="E79" s="1140" t="s">
        <v>2189</v>
      </c>
      <c r="F79" s="1139">
        <v>30300000</v>
      </c>
      <c r="G79" s="1140" t="s">
        <v>2190</v>
      </c>
      <c r="H79" s="1140" t="s">
        <v>2177</v>
      </c>
      <c r="I79" s="1140" t="s">
        <v>2178</v>
      </c>
      <c r="J79" s="1138" t="s">
        <v>2048</v>
      </c>
      <c r="K79" s="1141"/>
      <c r="L79" s="1148"/>
    </row>
    <row r="80" spans="1:12">
      <c r="A80" s="1138" t="s">
        <v>2048</v>
      </c>
      <c r="B80" s="1138" t="s">
        <v>2049</v>
      </c>
      <c r="C80" s="1139" t="s">
        <v>1111</v>
      </c>
      <c r="D80" s="1140"/>
      <c r="E80" s="1140" t="s">
        <v>2189</v>
      </c>
      <c r="F80" s="1139">
        <v>35450000</v>
      </c>
      <c r="G80" s="1140" t="s">
        <v>2190</v>
      </c>
      <c r="H80" s="1140" t="s">
        <v>2118</v>
      </c>
      <c r="I80" s="1140" t="s">
        <v>2119</v>
      </c>
      <c r="J80" s="1138" t="s">
        <v>2048</v>
      </c>
      <c r="K80" s="1141"/>
      <c r="L80" s="1148"/>
    </row>
    <row r="81" spans="1:12">
      <c r="A81" s="1138" t="s">
        <v>2048</v>
      </c>
      <c r="B81" s="1138" t="s">
        <v>2049</v>
      </c>
      <c r="C81" s="1139" t="s">
        <v>1111</v>
      </c>
      <c r="D81" s="1140"/>
      <c r="E81" s="1140" t="s">
        <v>2189</v>
      </c>
      <c r="F81" s="1139">
        <v>428500000</v>
      </c>
      <c r="G81" s="1140" t="s">
        <v>2190</v>
      </c>
      <c r="H81" s="1140" t="s">
        <v>2098</v>
      </c>
      <c r="I81" s="1140" t="s">
        <v>2099</v>
      </c>
      <c r="J81" s="1138" t="s">
        <v>2048</v>
      </c>
      <c r="K81" s="1141"/>
      <c r="L81" s="1148"/>
    </row>
    <row r="82" spans="1:12">
      <c r="A82" s="1138" t="s">
        <v>2048</v>
      </c>
      <c r="B82" s="1138" t="s">
        <v>2049</v>
      </c>
      <c r="C82" s="1139" t="s">
        <v>1111</v>
      </c>
      <c r="D82" s="1140"/>
      <c r="E82" s="1140" t="s">
        <v>2189</v>
      </c>
      <c r="F82" s="1139">
        <v>13720000</v>
      </c>
      <c r="G82" s="1140" t="s">
        <v>2190</v>
      </c>
      <c r="H82" s="1140" t="s">
        <v>2130</v>
      </c>
      <c r="I82" s="1140" t="s">
        <v>2131</v>
      </c>
      <c r="J82" s="1138" t="s">
        <v>2048</v>
      </c>
      <c r="K82" s="1141"/>
      <c r="L82" s="1148"/>
    </row>
    <row r="83" spans="1:12">
      <c r="A83" s="1138" t="s">
        <v>2048</v>
      </c>
      <c r="B83" s="1138" t="s">
        <v>2049</v>
      </c>
      <c r="C83" s="1139" t="s">
        <v>1111</v>
      </c>
      <c r="D83" s="1140"/>
      <c r="E83" s="1140" t="s">
        <v>2189</v>
      </c>
      <c r="F83" s="1139">
        <v>13000000</v>
      </c>
      <c r="G83" s="1140" t="s">
        <v>2190</v>
      </c>
      <c r="H83" s="1140" t="s">
        <v>2063</v>
      </c>
      <c r="I83" s="1140" t="s">
        <v>2064</v>
      </c>
      <c r="J83" s="1138" t="s">
        <v>2048</v>
      </c>
      <c r="K83" s="1141"/>
      <c r="L83" s="1148"/>
    </row>
    <row r="84" spans="1:12">
      <c r="A84" s="1138" t="s">
        <v>2048</v>
      </c>
      <c r="B84" s="1138" t="s">
        <v>2049</v>
      </c>
      <c r="C84" s="1139" t="s">
        <v>1111</v>
      </c>
      <c r="D84" s="1140"/>
      <c r="E84" s="1140" t="s">
        <v>2189</v>
      </c>
      <c r="F84" s="1139">
        <v>1075000</v>
      </c>
      <c r="G84" s="1140" t="s">
        <v>2190</v>
      </c>
      <c r="H84" s="1140" t="s">
        <v>2141</v>
      </c>
      <c r="I84" s="1140" t="s">
        <v>2142</v>
      </c>
      <c r="J84" s="1138" t="s">
        <v>2048</v>
      </c>
      <c r="K84" s="1141"/>
      <c r="L84" s="1148"/>
    </row>
    <row r="85" spans="1:12">
      <c r="A85" s="1138" t="s">
        <v>2048</v>
      </c>
      <c r="B85" s="1138" t="s">
        <v>2049</v>
      </c>
      <c r="C85" s="1139" t="s">
        <v>1111</v>
      </c>
      <c r="D85" s="1140"/>
      <c r="E85" s="1140" t="s">
        <v>2189</v>
      </c>
      <c r="F85" s="1139">
        <v>37350000</v>
      </c>
      <c r="G85" s="1140" t="s">
        <v>2190</v>
      </c>
      <c r="H85" s="1140" t="s">
        <v>2110</v>
      </c>
      <c r="I85" s="1140" t="s">
        <v>2111</v>
      </c>
      <c r="J85" s="1138" t="s">
        <v>2048</v>
      </c>
      <c r="K85" s="1141"/>
      <c r="L85" s="1148"/>
    </row>
    <row r="86" spans="1:12">
      <c r="A86" s="1138" t="s">
        <v>2048</v>
      </c>
      <c r="B86" s="1138" t="s">
        <v>2049</v>
      </c>
      <c r="C86" s="1139" t="s">
        <v>1111</v>
      </c>
      <c r="D86" s="1140"/>
      <c r="E86" s="1140" t="s">
        <v>2189</v>
      </c>
      <c r="F86" s="1139">
        <v>4100000</v>
      </c>
      <c r="G86" s="1140" t="s">
        <v>2190</v>
      </c>
      <c r="H86" s="1140" t="s">
        <v>2067</v>
      </c>
      <c r="I86" s="1140" t="s">
        <v>2068</v>
      </c>
      <c r="J86" s="1138" t="s">
        <v>2048</v>
      </c>
      <c r="K86" s="1141"/>
      <c r="L86" s="1148"/>
    </row>
    <row r="87" spans="1:12">
      <c r="A87" s="1138" t="s">
        <v>2048</v>
      </c>
      <c r="B87" s="1138" t="s">
        <v>2049</v>
      </c>
      <c r="C87" s="1139" t="s">
        <v>1111</v>
      </c>
      <c r="D87" s="1140"/>
      <c r="E87" s="1140" t="s">
        <v>2189</v>
      </c>
      <c r="F87" s="1139">
        <v>50000000</v>
      </c>
      <c r="G87" s="1140" t="s">
        <v>2190</v>
      </c>
      <c r="H87" s="1140" t="s">
        <v>2116</v>
      </c>
      <c r="I87" s="1140" t="s">
        <v>2117</v>
      </c>
      <c r="J87" s="1138" t="s">
        <v>2048</v>
      </c>
      <c r="K87" s="1141"/>
      <c r="L87" s="1148"/>
    </row>
    <row r="88" spans="1:12">
      <c r="A88" s="1138" t="s">
        <v>2048</v>
      </c>
      <c r="B88" s="1138" t="s">
        <v>2049</v>
      </c>
      <c r="C88" s="1139" t="s">
        <v>1111</v>
      </c>
      <c r="D88" s="1140"/>
      <c r="E88" s="1140" t="s">
        <v>2189</v>
      </c>
      <c r="F88" s="1139">
        <v>4562000</v>
      </c>
      <c r="G88" s="1140" t="s">
        <v>2190</v>
      </c>
      <c r="H88" s="1140" t="s">
        <v>2127</v>
      </c>
      <c r="I88" s="1140" t="s">
        <v>2128</v>
      </c>
      <c r="J88" s="1138" t="s">
        <v>2048</v>
      </c>
      <c r="K88" s="1141"/>
      <c r="L88" s="1148"/>
    </row>
    <row r="89" spans="1:12">
      <c r="A89" s="1138" t="s">
        <v>2048</v>
      </c>
      <c r="B89" s="1138" t="s">
        <v>2049</v>
      </c>
      <c r="C89" s="1139" t="s">
        <v>1111</v>
      </c>
      <c r="D89" s="1140"/>
      <c r="E89" s="1140" t="s">
        <v>2189</v>
      </c>
      <c r="F89" s="1139">
        <v>14714000</v>
      </c>
      <c r="G89" s="1140" t="s">
        <v>2190</v>
      </c>
      <c r="H89" s="1140" t="s">
        <v>2150</v>
      </c>
      <c r="I89" s="1140" t="s">
        <v>2151</v>
      </c>
      <c r="J89" s="1138" t="s">
        <v>2048</v>
      </c>
      <c r="K89" s="1141"/>
      <c r="L89" s="1148"/>
    </row>
    <row r="90" spans="1:12">
      <c r="A90" s="1138" t="s">
        <v>2048</v>
      </c>
      <c r="B90" s="1138" t="s">
        <v>2049</v>
      </c>
      <c r="C90" s="1139" t="s">
        <v>1111</v>
      </c>
      <c r="D90" s="1140"/>
      <c r="E90" s="1140" t="s">
        <v>2189</v>
      </c>
      <c r="F90" s="1139">
        <v>8500000</v>
      </c>
      <c r="G90" s="1140" t="s">
        <v>2190</v>
      </c>
      <c r="H90" s="1140" t="s">
        <v>2162</v>
      </c>
      <c r="I90" s="1140" t="s">
        <v>2163</v>
      </c>
      <c r="J90" s="1138" t="s">
        <v>2048</v>
      </c>
      <c r="K90" s="1141"/>
      <c r="L90" s="1148"/>
    </row>
    <row r="91" spans="1:12">
      <c r="A91" s="1138" t="s">
        <v>2048</v>
      </c>
      <c r="B91" s="1138" t="s">
        <v>2049</v>
      </c>
      <c r="C91" s="1139" t="s">
        <v>1111</v>
      </c>
      <c r="D91" s="1140"/>
      <c r="E91" s="1140" t="s">
        <v>2189</v>
      </c>
      <c r="F91" s="1139">
        <v>5500000</v>
      </c>
      <c r="G91" s="1140" t="s">
        <v>2190</v>
      </c>
      <c r="H91" s="1140" t="s">
        <v>2059</v>
      </c>
      <c r="I91" s="1140" t="s">
        <v>2060</v>
      </c>
      <c r="J91" s="1138" t="s">
        <v>2048</v>
      </c>
      <c r="K91" s="1141"/>
      <c r="L91" s="1148"/>
    </row>
    <row r="92" spans="1:12">
      <c r="A92" s="1138" t="s">
        <v>2048</v>
      </c>
      <c r="B92" s="1138" t="s">
        <v>2049</v>
      </c>
      <c r="C92" s="1139" t="s">
        <v>1111</v>
      </c>
      <c r="D92" s="1140"/>
      <c r="E92" s="1140" t="s">
        <v>2189</v>
      </c>
      <c r="F92" s="1139">
        <v>6403000</v>
      </c>
      <c r="G92" s="1140" t="s">
        <v>2190</v>
      </c>
      <c r="H92" s="1140" t="s">
        <v>2121</v>
      </c>
      <c r="I92" s="1140" t="s">
        <v>2122</v>
      </c>
      <c r="J92" s="1138" t="s">
        <v>2048</v>
      </c>
      <c r="K92" s="1141"/>
      <c r="L92" s="1148"/>
    </row>
    <row r="93" spans="1:12">
      <c r="A93" s="1138" t="s">
        <v>2048</v>
      </c>
      <c r="B93" s="1138" t="s">
        <v>2049</v>
      </c>
      <c r="C93" s="1139" t="s">
        <v>1111</v>
      </c>
      <c r="D93" s="1140"/>
      <c r="E93" s="1140" t="s">
        <v>2189</v>
      </c>
      <c r="F93" s="1139">
        <v>5624000</v>
      </c>
      <c r="G93" s="1140" t="s">
        <v>2190</v>
      </c>
      <c r="H93" s="1140" t="s">
        <v>2076</v>
      </c>
      <c r="I93" s="1140" t="s">
        <v>2077</v>
      </c>
      <c r="J93" s="1138" t="s">
        <v>2048</v>
      </c>
      <c r="K93" s="1141"/>
      <c r="L93" s="1148"/>
    </row>
    <row r="94" spans="1:12">
      <c r="A94" s="1138" t="s">
        <v>2048</v>
      </c>
      <c r="B94" s="1138" t="s">
        <v>2049</v>
      </c>
      <c r="C94" s="1139" t="s">
        <v>1111</v>
      </c>
      <c r="D94" s="1140"/>
      <c r="E94" s="1140" t="s">
        <v>2189</v>
      </c>
      <c r="F94" s="1139">
        <v>2145000</v>
      </c>
      <c r="G94" s="1140" t="s">
        <v>2190</v>
      </c>
      <c r="H94" s="1140" t="s">
        <v>2181</v>
      </c>
      <c r="I94" s="1140" t="s">
        <v>2182</v>
      </c>
      <c r="J94" s="1138" t="s">
        <v>2048</v>
      </c>
      <c r="K94" s="1141"/>
      <c r="L94" s="1148"/>
    </row>
    <row r="95" spans="1:12">
      <c r="A95" s="1138" t="s">
        <v>2048</v>
      </c>
      <c r="B95" s="1138" t="s">
        <v>2049</v>
      </c>
      <c r="C95" s="1139" t="s">
        <v>1111</v>
      </c>
      <c r="D95" s="1140"/>
      <c r="E95" s="1140" t="s">
        <v>2189</v>
      </c>
      <c r="F95" s="1139">
        <v>11000000</v>
      </c>
      <c r="G95" s="1140" t="s">
        <v>2190</v>
      </c>
      <c r="H95" s="1140" t="s">
        <v>2104</v>
      </c>
      <c r="I95" s="1140" t="s">
        <v>2105</v>
      </c>
      <c r="J95" s="1138" t="s">
        <v>2048</v>
      </c>
      <c r="K95" s="1141"/>
      <c r="L95" s="1148"/>
    </row>
    <row r="96" spans="1:12">
      <c r="A96" s="1138" t="s">
        <v>2048</v>
      </c>
      <c r="B96" s="1138" t="s">
        <v>2049</v>
      </c>
      <c r="C96" s="1139" t="s">
        <v>1111</v>
      </c>
      <c r="D96" s="1140"/>
      <c r="E96" s="1140" t="s">
        <v>2189</v>
      </c>
      <c r="F96" s="1139">
        <v>637273</v>
      </c>
      <c r="G96" s="1140" t="s">
        <v>2190</v>
      </c>
      <c r="H96" s="1140" t="s">
        <v>2156</v>
      </c>
      <c r="I96" s="1140" t="s">
        <v>2157</v>
      </c>
      <c r="J96" s="1138" t="s">
        <v>2048</v>
      </c>
      <c r="K96" s="1141"/>
      <c r="L96" s="1148"/>
    </row>
    <row r="97" spans="1:12">
      <c r="A97" s="1138" t="s">
        <v>2048</v>
      </c>
      <c r="B97" s="1138" t="s">
        <v>2049</v>
      </c>
      <c r="C97" s="1139" t="s">
        <v>1111</v>
      </c>
      <c r="D97" s="1140"/>
      <c r="E97" s="1140" t="s">
        <v>2189</v>
      </c>
      <c r="F97" s="1139">
        <v>1981818</v>
      </c>
      <c r="G97" s="1140" t="s">
        <v>2190</v>
      </c>
      <c r="H97" s="1140" t="s">
        <v>2174</v>
      </c>
      <c r="I97" s="1140" t="s">
        <v>2175</v>
      </c>
      <c r="J97" s="1138" t="s">
        <v>2048</v>
      </c>
      <c r="K97" s="1141"/>
      <c r="L97" s="1148"/>
    </row>
    <row r="98" spans="1:12">
      <c r="A98" s="1138" t="s">
        <v>2048</v>
      </c>
      <c r="B98" s="1138" t="s">
        <v>2049</v>
      </c>
      <c r="C98" s="1139" t="s">
        <v>1111</v>
      </c>
      <c r="D98" s="1140"/>
      <c r="E98" s="1140" t="s">
        <v>2189</v>
      </c>
      <c r="F98" s="1139">
        <v>4050000</v>
      </c>
      <c r="G98" s="1140" t="s">
        <v>2190</v>
      </c>
      <c r="H98" s="1140" t="s">
        <v>2085</v>
      </c>
      <c r="I98" s="1140" t="s">
        <v>2086</v>
      </c>
      <c r="J98" s="1138" t="s">
        <v>2048</v>
      </c>
      <c r="K98" s="1141"/>
      <c r="L98" s="1148"/>
    </row>
    <row r="99" spans="1:12">
      <c r="A99" s="1138" t="s">
        <v>2048</v>
      </c>
      <c r="B99" s="1138" t="s">
        <v>2049</v>
      </c>
      <c r="C99" s="1139" t="s">
        <v>1111</v>
      </c>
      <c r="D99" s="1140"/>
      <c r="E99" s="1140" t="s">
        <v>2189</v>
      </c>
      <c r="F99" s="1139">
        <v>420000</v>
      </c>
      <c r="G99" s="1140" t="s">
        <v>2190</v>
      </c>
      <c r="H99" s="1140" t="s">
        <v>2107</v>
      </c>
      <c r="I99" s="1140" t="s">
        <v>2108</v>
      </c>
      <c r="J99" s="1138" t="s">
        <v>2048</v>
      </c>
      <c r="K99" s="1141"/>
      <c r="L99" s="1148"/>
    </row>
    <row r="100" spans="1:12">
      <c r="A100" s="1138" t="s">
        <v>2048</v>
      </c>
      <c r="B100" s="1138" t="s">
        <v>2049</v>
      </c>
      <c r="C100" s="1139" t="s">
        <v>1111</v>
      </c>
      <c r="D100" s="1140"/>
      <c r="E100" s="1140" t="s">
        <v>2189</v>
      </c>
      <c r="F100" s="1139">
        <v>1950000</v>
      </c>
      <c r="G100" s="1140" t="s">
        <v>2190</v>
      </c>
      <c r="H100" s="1140" t="s">
        <v>2153</v>
      </c>
      <c r="I100" s="1140" t="s">
        <v>2154</v>
      </c>
      <c r="J100" s="1138" t="s">
        <v>2048</v>
      </c>
      <c r="K100" s="1141"/>
      <c r="L100" s="1148"/>
    </row>
    <row r="101" spans="1:12">
      <c r="A101" s="1138" t="s">
        <v>2048</v>
      </c>
      <c r="B101" s="1138" t="s">
        <v>2049</v>
      </c>
      <c r="C101" s="1139" t="s">
        <v>1111</v>
      </c>
      <c r="D101" s="1140"/>
      <c r="E101" s="1140" t="s">
        <v>2189</v>
      </c>
      <c r="F101" s="1139">
        <v>426364</v>
      </c>
      <c r="G101" s="1140" t="s">
        <v>2190</v>
      </c>
      <c r="H101" s="1140" t="s">
        <v>2165</v>
      </c>
      <c r="I101" s="1140" t="s">
        <v>2166</v>
      </c>
      <c r="J101" s="1138" t="s">
        <v>2048</v>
      </c>
      <c r="K101" s="1141"/>
      <c r="L101" s="1148"/>
    </row>
    <row r="102" spans="1:12">
      <c r="A102" s="1138" t="s">
        <v>2048</v>
      </c>
      <c r="B102" s="1138" t="s">
        <v>2049</v>
      </c>
      <c r="C102" s="1139" t="s">
        <v>1111</v>
      </c>
      <c r="D102" s="1140"/>
      <c r="E102" s="1140" t="s">
        <v>2189</v>
      </c>
      <c r="F102" s="1139">
        <v>7164000</v>
      </c>
      <c r="G102" s="1140" t="s">
        <v>2190</v>
      </c>
      <c r="H102" s="1140" t="s">
        <v>2124</v>
      </c>
      <c r="I102" s="1140" t="s">
        <v>2125</v>
      </c>
      <c r="J102" s="1138" t="s">
        <v>2048</v>
      </c>
      <c r="K102" s="1141"/>
      <c r="L102" s="1148"/>
    </row>
    <row r="103" spans="1:12">
      <c r="A103" s="1138" t="s">
        <v>2048</v>
      </c>
      <c r="B103" s="1138" t="s">
        <v>2049</v>
      </c>
      <c r="C103" s="1139" t="s">
        <v>1111</v>
      </c>
      <c r="D103" s="1140"/>
      <c r="E103" s="1140" t="s">
        <v>2189</v>
      </c>
      <c r="F103" s="1139">
        <v>1654650</v>
      </c>
      <c r="G103" s="1140" t="s">
        <v>2190</v>
      </c>
      <c r="H103" s="1140" t="s">
        <v>2070</v>
      </c>
      <c r="I103" s="1140" t="s">
        <v>2071</v>
      </c>
      <c r="J103" s="1138" t="s">
        <v>2048</v>
      </c>
      <c r="K103" s="1141"/>
      <c r="L103" s="1148"/>
    </row>
    <row r="104" spans="1:12">
      <c r="A104" s="1138" t="s">
        <v>2048</v>
      </c>
      <c r="B104" s="1138" t="s">
        <v>2049</v>
      </c>
      <c r="C104" s="1139" t="s">
        <v>1111</v>
      </c>
      <c r="D104" s="1140"/>
      <c r="E104" s="1140" t="s">
        <v>2189</v>
      </c>
      <c r="F104" s="1139">
        <v>4000000</v>
      </c>
      <c r="G104" s="1140" t="s">
        <v>2190</v>
      </c>
      <c r="H104" s="1140" t="s">
        <v>2113</v>
      </c>
      <c r="I104" s="1140" t="s">
        <v>2114</v>
      </c>
      <c r="J104" s="1138" t="s">
        <v>2048</v>
      </c>
      <c r="K104" s="1141"/>
      <c r="L104" s="1148"/>
    </row>
    <row r="105" spans="1:12">
      <c r="A105" s="1138" t="s">
        <v>2048</v>
      </c>
      <c r="B105" s="1138" t="s">
        <v>2049</v>
      </c>
      <c r="C105" s="1139" t="s">
        <v>1111</v>
      </c>
      <c r="D105" s="1140"/>
      <c r="E105" s="1140" t="s">
        <v>2189</v>
      </c>
      <c r="F105" s="1139">
        <v>3322300</v>
      </c>
      <c r="G105" s="1140" t="s">
        <v>2190</v>
      </c>
      <c r="H105" s="1140" t="s">
        <v>2184</v>
      </c>
      <c r="I105" s="1140" t="s">
        <v>2185</v>
      </c>
      <c r="J105" s="1138" t="s">
        <v>2048</v>
      </c>
      <c r="K105" s="1141"/>
      <c r="L105" s="1148"/>
    </row>
    <row r="106" spans="1:12">
      <c r="A106" s="1138" t="s">
        <v>2048</v>
      </c>
      <c r="B106" s="1138" t="s">
        <v>2049</v>
      </c>
      <c r="C106" s="1139" t="s">
        <v>1111</v>
      </c>
      <c r="D106" s="1140"/>
      <c r="E106" s="1140" t="s">
        <v>2189</v>
      </c>
      <c r="F106" s="1139">
        <v>2781000</v>
      </c>
      <c r="G106" s="1140" t="s">
        <v>2190</v>
      </c>
      <c r="H106" s="1140" t="s">
        <v>2187</v>
      </c>
      <c r="I106" s="1140" t="s">
        <v>2188</v>
      </c>
      <c r="J106" s="1138" t="s">
        <v>2048</v>
      </c>
      <c r="K106" s="1141"/>
      <c r="L106" s="1148"/>
    </row>
    <row r="107" spans="1:12">
      <c r="A107" s="1143" t="s">
        <v>2048</v>
      </c>
      <c r="B107" s="1143" t="s">
        <v>2191</v>
      </c>
      <c r="C107" s="1144">
        <v>47918</v>
      </c>
      <c r="D107" s="1145" t="s">
        <v>2061</v>
      </c>
      <c r="E107" s="1145"/>
      <c r="F107" s="1144" t="s">
        <v>1111</v>
      </c>
      <c r="G107" s="1145" t="s">
        <v>2192</v>
      </c>
      <c r="H107" s="1145" t="s">
        <v>2150</v>
      </c>
      <c r="I107" s="1145" t="s">
        <v>2151</v>
      </c>
      <c r="J107" s="1143" t="s">
        <v>2048</v>
      </c>
      <c r="K107" s="1146"/>
      <c r="L107" s="1150"/>
    </row>
    <row r="108" spans="1:12">
      <c r="A108" s="1143" t="s">
        <v>2048</v>
      </c>
      <c r="B108" s="1143" t="s">
        <v>2191</v>
      </c>
      <c r="C108" s="1144">
        <v>346776</v>
      </c>
      <c r="D108" s="1145" t="s">
        <v>2061</v>
      </c>
      <c r="E108" s="1145"/>
      <c r="F108" s="1144" t="s">
        <v>1111</v>
      </c>
      <c r="G108" s="1145" t="s">
        <v>2193</v>
      </c>
      <c r="H108" s="1145" t="s">
        <v>2063</v>
      </c>
      <c r="I108" s="1145" t="s">
        <v>2064</v>
      </c>
      <c r="J108" s="1143" t="s">
        <v>2048</v>
      </c>
      <c r="K108" s="1146"/>
      <c r="L108" s="1150"/>
    </row>
    <row r="109" spans="1:12">
      <c r="A109" s="1143" t="s">
        <v>2048</v>
      </c>
      <c r="B109" s="1143" t="s">
        <v>2191</v>
      </c>
      <c r="C109" s="1144">
        <v>47288</v>
      </c>
      <c r="D109" s="1145" t="s">
        <v>2065</v>
      </c>
      <c r="E109" s="1145"/>
      <c r="F109" s="1144" t="s">
        <v>1111</v>
      </c>
      <c r="G109" s="1145" t="s">
        <v>2194</v>
      </c>
      <c r="H109" s="1145" t="s">
        <v>2195</v>
      </c>
      <c r="I109" s="1145" t="s">
        <v>2196</v>
      </c>
      <c r="J109" s="1143" t="s">
        <v>2048</v>
      </c>
      <c r="K109" s="1146"/>
      <c r="L109" s="1150"/>
    </row>
    <row r="110" spans="1:12">
      <c r="A110" s="1143" t="s">
        <v>2048</v>
      </c>
      <c r="B110" s="1143" t="s">
        <v>2191</v>
      </c>
      <c r="C110" s="1144">
        <v>99399</v>
      </c>
      <c r="D110" s="1145" t="s">
        <v>2065</v>
      </c>
      <c r="E110" s="1145"/>
      <c r="F110" s="1144" t="s">
        <v>1111</v>
      </c>
      <c r="G110" s="1145" t="s">
        <v>2197</v>
      </c>
      <c r="H110" s="1145" t="s">
        <v>2198</v>
      </c>
      <c r="I110" s="1145" t="s">
        <v>2199</v>
      </c>
      <c r="J110" s="1143" t="s">
        <v>2048</v>
      </c>
      <c r="K110" s="1146"/>
      <c r="L110" s="1150"/>
    </row>
    <row r="111" spans="1:12">
      <c r="A111" s="1143" t="s">
        <v>2048</v>
      </c>
      <c r="B111" s="1143" t="s">
        <v>2191</v>
      </c>
      <c r="C111" s="1144">
        <v>40983</v>
      </c>
      <c r="D111" s="1145" t="s">
        <v>2065</v>
      </c>
      <c r="E111" s="1145"/>
      <c r="F111" s="1144" t="s">
        <v>1111</v>
      </c>
      <c r="G111" s="1145" t="s">
        <v>2200</v>
      </c>
      <c r="H111" s="1145" t="s">
        <v>2201</v>
      </c>
      <c r="I111" s="1145" t="s">
        <v>2202</v>
      </c>
      <c r="J111" s="1143" t="s">
        <v>2048</v>
      </c>
      <c r="K111" s="1146"/>
      <c r="L111" s="1150"/>
    </row>
    <row r="112" spans="1:12">
      <c r="A112" s="1143" t="s">
        <v>2048</v>
      </c>
      <c r="B112" s="1143" t="s">
        <v>2191</v>
      </c>
      <c r="C112" s="1144">
        <v>92999</v>
      </c>
      <c r="D112" s="1145" t="s">
        <v>2065</v>
      </c>
      <c r="E112" s="1145"/>
      <c r="F112" s="1144" t="s">
        <v>1111</v>
      </c>
      <c r="G112" s="1145" t="s">
        <v>2203</v>
      </c>
      <c r="H112" s="1145" t="s">
        <v>2204</v>
      </c>
      <c r="I112" s="1145" t="s">
        <v>2205</v>
      </c>
      <c r="J112" s="1143" t="s">
        <v>2048</v>
      </c>
      <c r="K112" s="1146"/>
      <c r="L112" s="1150"/>
    </row>
    <row r="113" spans="1:12">
      <c r="A113" s="1143" t="s">
        <v>2048</v>
      </c>
      <c r="B113" s="1143" t="s">
        <v>2191</v>
      </c>
      <c r="C113" s="1144">
        <v>68409</v>
      </c>
      <c r="D113" s="1145" t="s">
        <v>2065</v>
      </c>
      <c r="E113" s="1145"/>
      <c r="F113" s="1144" t="s">
        <v>1111</v>
      </c>
      <c r="G113" s="1145" t="s">
        <v>2206</v>
      </c>
      <c r="H113" s="1145" t="s">
        <v>2207</v>
      </c>
      <c r="I113" s="1145" t="s">
        <v>2208</v>
      </c>
      <c r="J113" s="1143" t="s">
        <v>2048</v>
      </c>
      <c r="K113" s="1146"/>
      <c r="L113" s="1150"/>
    </row>
    <row r="114" spans="1:12">
      <c r="A114" s="1143" t="s">
        <v>2048</v>
      </c>
      <c r="B114" s="1143" t="s">
        <v>2191</v>
      </c>
      <c r="C114" s="1144">
        <v>731383</v>
      </c>
      <c r="D114" s="1145" t="s">
        <v>2057</v>
      </c>
      <c r="E114" s="1145"/>
      <c r="F114" s="1144" t="s">
        <v>1111</v>
      </c>
      <c r="G114" s="1145" t="s">
        <v>2209</v>
      </c>
      <c r="H114" s="1145" t="s">
        <v>2210</v>
      </c>
      <c r="I114" s="1145" t="s">
        <v>2211</v>
      </c>
      <c r="J114" s="1143" t="s">
        <v>2048</v>
      </c>
      <c r="K114" s="1146"/>
      <c r="L114" s="1150"/>
    </row>
    <row r="115" spans="1:12">
      <c r="A115" s="1143" t="s">
        <v>2048</v>
      </c>
      <c r="B115" s="1143" t="s">
        <v>2191</v>
      </c>
      <c r="C115" s="1144">
        <v>15367</v>
      </c>
      <c r="D115" s="1145" t="s">
        <v>2057</v>
      </c>
      <c r="E115" s="1145"/>
      <c r="F115" s="1144" t="s">
        <v>1111</v>
      </c>
      <c r="G115" s="1145" t="s">
        <v>2212</v>
      </c>
      <c r="H115" s="1145" t="s">
        <v>2118</v>
      </c>
      <c r="I115" s="1145" t="s">
        <v>2119</v>
      </c>
      <c r="J115" s="1143" t="s">
        <v>2048</v>
      </c>
      <c r="K115" s="1146"/>
      <c r="L115" s="1150"/>
    </row>
    <row r="116" spans="1:12">
      <c r="A116" s="1143" t="s">
        <v>2048</v>
      </c>
      <c r="B116" s="1143" t="s">
        <v>2191</v>
      </c>
      <c r="C116" s="1144">
        <v>12137172</v>
      </c>
      <c r="D116" s="1145" t="s">
        <v>2057</v>
      </c>
      <c r="E116" s="1145"/>
      <c r="F116" s="1144" t="s">
        <v>1111</v>
      </c>
      <c r="G116" s="1145" t="s">
        <v>2213</v>
      </c>
      <c r="H116" s="1145" t="s">
        <v>2098</v>
      </c>
      <c r="I116" s="1145" t="s">
        <v>2099</v>
      </c>
      <c r="J116" s="1143" t="s">
        <v>2048</v>
      </c>
      <c r="K116" s="1146"/>
      <c r="L116" s="1150"/>
    </row>
    <row r="117" spans="1:12">
      <c r="A117" s="1143" t="s">
        <v>2048</v>
      </c>
      <c r="B117" s="1143" t="s">
        <v>2191</v>
      </c>
      <c r="C117" s="1144">
        <v>709315</v>
      </c>
      <c r="D117" s="1145" t="s">
        <v>2057</v>
      </c>
      <c r="E117" s="1145"/>
      <c r="F117" s="1144" t="s">
        <v>1111</v>
      </c>
      <c r="G117" s="1145" t="s">
        <v>2214</v>
      </c>
      <c r="H117" s="1145" t="s">
        <v>2098</v>
      </c>
      <c r="I117" s="1145" t="s">
        <v>2099</v>
      </c>
      <c r="J117" s="1143" t="s">
        <v>2048</v>
      </c>
      <c r="K117" s="1146"/>
      <c r="L117" s="1150"/>
    </row>
    <row r="118" spans="1:12">
      <c r="A118" s="1143" t="s">
        <v>2048</v>
      </c>
      <c r="B118" s="1143" t="s">
        <v>2191</v>
      </c>
      <c r="C118" s="1144">
        <v>1195198</v>
      </c>
      <c r="D118" s="1145" t="s">
        <v>2057</v>
      </c>
      <c r="E118" s="1145"/>
      <c r="F118" s="1144" t="s">
        <v>1111</v>
      </c>
      <c r="G118" s="1145" t="s">
        <v>2215</v>
      </c>
      <c r="H118" s="1145" t="s">
        <v>2118</v>
      </c>
      <c r="I118" s="1145" t="s">
        <v>2119</v>
      </c>
      <c r="J118" s="1143" t="s">
        <v>2048</v>
      </c>
      <c r="K118" s="1146"/>
      <c r="L118" s="1150"/>
    </row>
    <row r="119" spans="1:12">
      <c r="A119" s="1143" t="s">
        <v>2048</v>
      </c>
      <c r="B119" s="1143" t="s">
        <v>2191</v>
      </c>
      <c r="C119" s="1144">
        <v>37733779</v>
      </c>
      <c r="D119" s="1145" t="s">
        <v>2056</v>
      </c>
      <c r="E119" s="1145"/>
      <c r="F119" s="1144" t="s">
        <v>1111</v>
      </c>
      <c r="G119" s="1145" t="s">
        <v>2051</v>
      </c>
      <c r="H119" s="1145" t="s">
        <v>2052</v>
      </c>
      <c r="I119" s="1145" t="s">
        <v>1884</v>
      </c>
      <c r="J119" s="1143" t="s">
        <v>2048</v>
      </c>
      <c r="K119" s="1146"/>
      <c r="L119" s="1150"/>
    </row>
    <row r="120" spans="1:12">
      <c r="A120" s="1143" t="s">
        <v>2048</v>
      </c>
      <c r="B120" s="1143" t="s">
        <v>2191</v>
      </c>
      <c r="C120" s="1144">
        <v>19523603</v>
      </c>
      <c r="D120" s="1145" t="s">
        <v>2056</v>
      </c>
      <c r="E120" s="1145"/>
      <c r="F120" s="1144" t="s">
        <v>1111</v>
      </c>
      <c r="G120" s="1145" t="s">
        <v>2051</v>
      </c>
      <c r="H120" s="1145" t="s">
        <v>2053</v>
      </c>
      <c r="I120" s="1145" t="s">
        <v>1883</v>
      </c>
      <c r="J120" s="1143" t="s">
        <v>2048</v>
      </c>
      <c r="K120" s="1146"/>
      <c r="L120" s="1150"/>
    </row>
    <row r="121" spans="1:12">
      <c r="A121" s="1143" t="s">
        <v>2048</v>
      </c>
      <c r="B121" s="1143" t="s">
        <v>2191</v>
      </c>
      <c r="C121" s="1144">
        <v>2146680</v>
      </c>
      <c r="D121" s="1145" t="s">
        <v>2056</v>
      </c>
      <c r="E121" s="1145"/>
      <c r="F121" s="1144" t="s">
        <v>1111</v>
      </c>
      <c r="G121" s="1145" t="s">
        <v>2051</v>
      </c>
      <c r="H121" s="1145" t="s">
        <v>2054</v>
      </c>
      <c r="I121" s="1145" t="s">
        <v>1882</v>
      </c>
      <c r="J121" s="1143" t="s">
        <v>2048</v>
      </c>
      <c r="K121" s="1146"/>
      <c r="L121" s="1150"/>
    </row>
    <row r="122" spans="1:12">
      <c r="A122" s="1143" t="s">
        <v>2048</v>
      </c>
      <c r="B122" s="1143" t="s">
        <v>2191</v>
      </c>
      <c r="C122" s="1144">
        <v>920206</v>
      </c>
      <c r="D122" s="1145" t="s">
        <v>2056</v>
      </c>
      <c r="E122" s="1145"/>
      <c r="F122" s="1144" t="s">
        <v>1111</v>
      </c>
      <c r="G122" s="1145" t="s">
        <v>2051</v>
      </c>
      <c r="H122" s="1145" t="s">
        <v>2055</v>
      </c>
      <c r="I122" s="1145" t="s">
        <v>1881</v>
      </c>
      <c r="J122" s="1143" t="s">
        <v>2048</v>
      </c>
      <c r="K122" s="1146"/>
      <c r="L122" s="1150"/>
    </row>
    <row r="123" spans="1:12">
      <c r="A123" s="1143" t="s">
        <v>2048</v>
      </c>
      <c r="B123" s="1143" t="s">
        <v>2191</v>
      </c>
      <c r="C123" s="1144" t="s">
        <v>1111</v>
      </c>
      <c r="D123" s="1145"/>
      <c r="E123" s="1145" t="s">
        <v>2189</v>
      </c>
      <c r="F123" s="1144">
        <v>75856475</v>
      </c>
      <c r="G123" s="1145" t="s">
        <v>2216</v>
      </c>
      <c r="H123" s="1145" t="s">
        <v>2217</v>
      </c>
      <c r="I123" s="1145" t="s">
        <v>2218</v>
      </c>
      <c r="J123" s="1143" t="s">
        <v>2048</v>
      </c>
      <c r="K123" s="1146"/>
      <c r="L123" s="1150"/>
    </row>
    <row r="124" spans="1:12">
      <c r="A124" s="1138" t="s">
        <v>2048</v>
      </c>
      <c r="B124" s="1138" t="s">
        <v>2219</v>
      </c>
      <c r="C124" s="1139">
        <v>37733779</v>
      </c>
      <c r="D124" s="1140" t="s">
        <v>2056</v>
      </c>
      <c r="E124" s="1140"/>
      <c r="F124" s="1139" t="s">
        <v>1111</v>
      </c>
      <c r="G124" s="1140" t="s">
        <v>2051</v>
      </c>
      <c r="H124" s="1140" t="s">
        <v>2052</v>
      </c>
      <c r="I124" s="1140" t="s">
        <v>1884</v>
      </c>
      <c r="J124" s="1138" t="s">
        <v>2048</v>
      </c>
      <c r="K124" s="1141"/>
      <c r="L124" s="1148"/>
    </row>
    <row r="125" spans="1:12">
      <c r="A125" s="1138" t="s">
        <v>2048</v>
      </c>
      <c r="B125" s="1138" t="s">
        <v>2219</v>
      </c>
      <c r="C125" s="1139">
        <v>19523603</v>
      </c>
      <c r="D125" s="1140" t="s">
        <v>2056</v>
      </c>
      <c r="E125" s="1140"/>
      <c r="F125" s="1139" t="s">
        <v>1111</v>
      </c>
      <c r="G125" s="1140" t="s">
        <v>2051</v>
      </c>
      <c r="H125" s="1140" t="s">
        <v>2053</v>
      </c>
      <c r="I125" s="1140" t="s">
        <v>1883</v>
      </c>
      <c r="J125" s="1138" t="s">
        <v>2048</v>
      </c>
      <c r="K125" s="1141"/>
      <c r="L125" s="1148"/>
    </row>
    <row r="126" spans="1:12">
      <c r="A126" s="1138" t="s">
        <v>2048</v>
      </c>
      <c r="B126" s="1138" t="s">
        <v>2219</v>
      </c>
      <c r="C126" s="1139">
        <v>2146680</v>
      </c>
      <c r="D126" s="1140" t="s">
        <v>2056</v>
      </c>
      <c r="E126" s="1140"/>
      <c r="F126" s="1139" t="s">
        <v>1111</v>
      </c>
      <c r="G126" s="1140" t="s">
        <v>2051</v>
      </c>
      <c r="H126" s="1140" t="s">
        <v>2054</v>
      </c>
      <c r="I126" s="1140" t="s">
        <v>1882</v>
      </c>
      <c r="J126" s="1138" t="s">
        <v>2048</v>
      </c>
      <c r="K126" s="1141"/>
      <c r="L126" s="1148"/>
    </row>
    <row r="127" spans="1:12">
      <c r="A127" s="1138" t="s">
        <v>2048</v>
      </c>
      <c r="B127" s="1138" t="s">
        <v>2219</v>
      </c>
      <c r="C127" s="1139">
        <v>920206</v>
      </c>
      <c r="D127" s="1140" t="s">
        <v>2056</v>
      </c>
      <c r="E127" s="1140"/>
      <c r="F127" s="1139" t="s">
        <v>1111</v>
      </c>
      <c r="G127" s="1140" t="s">
        <v>2051</v>
      </c>
      <c r="H127" s="1140" t="s">
        <v>2055</v>
      </c>
      <c r="I127" s="1140" t="s">
        <v>1881</v>
      </c>
      <c r="J127" s="1138" t="s">
        <v>2048</v>
      </c>
      <c r="K127" s="1141"/>
      <c r="L127" s="1148"/>
    </row>
    <row r="128" spans="1:12">
      <c r="A128" s="1138" t="s">
        <v>2048</v>
      </c>
      <c r="B128" s="1138" t="s">
        <v>2219</v>
      </c>
      <c r="C128" s="1139">
        <v>173388</v>
      </c>
      <c r="D128" s="1140" t="s">
        <v>2057</v>
      </c>
      <c r="E128" s="1140"/>
      <c r="F128" s="1139" t="s">
        <v>1111</v>
      </c>
      <c r="G128" s="1140" t="s">
        <v>2058</v>
      </c>
      <c r="H128" s="1140" t="s">
        <v>2059</v>
      </c>
      <c r="I128" s="1140" t="s">
        <v>2060</v>
      </c>
      <c r="J128" s="1138" t="s">
        <v>2048</v>
      </c>
      <c r="K128" s="1141"/>
      <c r="L128" s="1148"/>
    </row>
    <row r="129" spans="1:12">
      <c r="A129" s="1138" t="s">
        <v>2048</v>
      </c>
      <c r="B129" s="1138" t="s">
        <v>2219</v>
      </c>
      <c r="C129" s="1139">
        <v>409827</v>
      </c>
      <c r="D129" s="1140" t="s">
        <v>2061</v>
      </c>
      <c r="E129" s="1140"/>
      <c r="F129" s="1139" t="s">
        <v>1111</v>
      </c>
      <c r="G129" s="1140" t="s">
        <v>2062</v>
      </c>
      <c r="H129" s="1140" t="s">
        <v>2063</v>
      </c>
      <c r="I129" s="1140" t="s">
        <v>2064</v>
      </c>
      <c r="J129" s="1138" t="s">
        <v>2048</v>
      </c>
      <c r="K129" s="1141"/>
      <c r="L129" s="1148"/>
    </row>
    <row r="130" spans="1:12">
      <c r="A130" s="1138" t="s">
        <v>2048</v>
      </c>
      <c r="B130" s="1138" t="s">
        <v>2219</v>
      </c>
      <c r="C130" s="1139">
        <v>129253</v>
      </c>
      <c r="D130" s="1140" t="s">
        <v>2065</v>
      </c>
      <c r="E130" s="1140"/>
      <c r="F130" s="1139" t="s">
        <v>1111</v>
      </c>
      <c r="G130" s="1140" t="s">
        <v>2066</v>
      </c>
      <c r="H130" s="1140" t="s">
        <v>2067</v>
      </c>
      <c r="I130" s="1140" t="s">
        <v>2068</v>
      </c>
      <c r="J130" s="1138" t="s">
        <v>2048</v>
      </c>
      <c r="K130" s="1141"/>
      <c r="L130" s="1148"/>
    </row>
    <row r="131" spans="1:12">
      <c r="A131" s="1138" t="s">
        <v>2048</v>
      </c>
      <c r="B131" s="1138" t="s">
        <v>2219</v>
      </c>
      <c r="C131" s="1139">
        <v>52163</v>
      </c>
      <c r="D131" s="1140" t="s">
        <v>2065</v>
      </c>
      <c r="E131" s="1140"/>
      <c r="F131" s="1139" t="s">
        <v>1111</v>
      </c>
      <c r="G131" s="1140" t="s">
        <v>2069</v>
      </c>
      <c r="H131" s="1140" t="s">
        <v>2070</v>
      </c>
      <c r="I131" s="1140" t="s">
        <v>2071</v>
      </c>
      <c r="J131" s="1138" t="s">
        <v>2048</v>
      </c>
      <c r="K131" s="1141"/>
      <c r="L131" s="1148"/>
    </row>
    <row r="132" spans="1:12">
      <c r="A132" s="1138" t="s">
        <v>2048</v>
      </c>
      <c r="B132" s="1138" t="s">
        <v>2219</v>
      </c>
      <c r="C132" s="1139">
        <v>1828457</v>
      </c>
      <c r="D132" s="1140" t="s">
        <v>2061</v>
      </c>
      <c r="E132" s="1140"/>
      <c r="F132" s="1139" t="s">
        <v>1111</v>
      </c>
      <c r="G132" s="1140" t="s">
        <v>2072</v>
      </c>
      <c r="H132" s="1140" t="s">
        <v>2073</v>
      </c>
      <c r="I132" s="1140" t="s">
        <v>2074</v>
      </c>
      <c r="J132" s="1138" t="s">
        <v>2048</v>
      </c>
      <c r="K132" s="1141"/>
      <c r="L132" s="1148"/>
    </row>
    <row r="133" spans="1:12">
      <c r="A133" s="1138" t="s">
        <v>2048</v>
      </c>
      <c r="B133" s="1138" t="s">
        <v>2219</v>
      </c>
      <c r="C133" s="1139">
        <v>177297</v>
      </c>
      <c r="D133" s="1140" t="s">
        <v>2061</v>
      </c>
      <c r="E133" s="1140"/>
      <c r="F133" s="1139" t="s">
        <v>1111</v>
      </c>
      <c r="G133" s="1140" t="s">
        <v>2075</v>
      </c>
      <c r="H133" s="1140" t="s">
        <v>2076</v>
      </c>
      <c r="I133" s="1140" t="s">
        <v>2077</v>
      </c>
      <c r="J133" s="1138" t="s">
        <v>2048</v>
      </c>
      <c r="K133" s="1141"/>
      <c r="L133" s="1148"/>
    </row>
    <row r="134" spans="1:12">
      <c r="A134" s="1138" t="s">
        <v>2048</v>
      </c>
      <c r="B134" s="1138" t="s">
        <v>2219</v>
      </c>
      <c r="C134" s="1139">
        <v>94449</v>
      </c>
      <c r="D134" s="1140" t="s">
        <v>2065</v>
      </c>
      <c r="E134" s="1140"/>
      <c r="F134" s="1139" t="s">
        <v>1111</v>
      </c>
      <c r="G134" s="1140" t="s">
        <v>2078</v>
      </c>
      <c r="H134" s="1140" t="s">
        <v>2079</v>
      </c>
      <c r="I134" s="1140" t="s">
        <v>2080</v>
      </c>
      <c r="J134" s="1138" t="s">
        <v>2048</v>
      </c>
      <c r="K134" s="1141"/>
      <c r="L134" s="1148"/>
    </row>
    <row r="135" spans="1:12">
      <c r="A135" s="1138" t="s">
        <v>2048</v>
      </c>
      <c r="B135" s="1138" t="s">
        <v>2219</v>
      </c>
      <c r="C135" s="1139">
        <v>16485</v>
      </c>
      <c r="D135" s="1140" t="s">
        <v>2065</v>
      </c>
      <c r="E135" s="1140"/>
      <c r="F135" s="1139" t="s">
        <v>1111</v>
      </c>
      <c r="G135" s="1140" t="s">
        <v>2081</v>
      </c>
      <c r="H135" s="1140" t="s">
        <v>2079</v>
      </c>
      <c r="I135" s="1140" t="s">
        <v>2080</v>
      </c>
      <c r="J135" s="1138" t="s">
        <v>2048</v>
      </c>
      <c r="K135" s="1141"/>
      <c r="L135" s="1148"/>
    </row>
    <row r="136" spans="1:12">
      <c r="A136" s="1138" t="s">
        <v>2048</v>
      </c>
      <c r="B136" s="1138" t="s">
        <v>2219</v>
      </c>
      <c r="C136" s="1139">
        <v>148168</v>
      </c>
      <c r="D136" s="1140" t="s">
        <v>2065</v>
      </c>
      <c r="E136" s="1140"/>
      <c r="F136" s="1139" t="s">
        <v>1111</v>
      </c>
      <c r="G136" s="1140" t="s">
        <v>2082</v>
      </c>
      <c r="H136" s="1140" t="s">
        <v>2079</v>
      </c>
      <c r="I136" s="1140" t="s">
        <v>2080</v>
      </c>
      <c r="J136" s="1138" t="s">
        <v>2048</v>
      </c>
      <c r="K136" s="1141"/>
      <c r="L136" s="1148"/>
    </row>
    <row r="137" spans="1:12">
      <c r="A137" s="1138" t="s">
        <v>2048</v>
      </c>
      <c r="B137" s="1138" t="s">
        <v>2219</v>
      </c>
      <c r="C137" s="1139">
        <v>36884</v>
      </c>
      <c r="D137" s="1140" t="s">
        <v>2065</v>
      </c>
      <c r="E137" s="1140"/>
      <c r="F137" s="1139" t="s">
        <v>1111</v>
      </c>
      <c r="G137" s="1140" t="s">
        <v>2083</v>
      </c>
      <c r="H137" s="1140" t="s">
        <v>2079</v>
      </c>
      <c r="I137" s="1140" t="s">
        <v>2080</v>
      </c>
      <c r="J137" s="1138" t="s">
        <v>2048</v>
      </c>
      <c r="K137" s="1141"/>
      <c r="L137" s="1148"/>
    </row>
    <row r="138" spans="1:12">
      <c r="A138" s="1138" t="s">
        <v>2048</v>
      </c>
      <c r="B138" s="1138" t="s">
        <v>2219</v>
      </c>
      <c r="C138" s="1139">
        <v>127677</v>
      </c>
      <c r="D138" s="1140" t="s">
        <v>2061</v>
      </c>
      <c r="E138" s="1140"/>
      <c r="F138" s="1139" t="s">
        <v>1111</v>
      </c>
      <c r="G138" s="1140" t="s">
        <v>2084</v>
      </c>
      <c r="H138" s="1140" t="s">
        <v>2085</v>
      </c>
      <c r="I138" s="1140" t="s">
        <v>2086</v>
      </c>
      <c r="J138" s="1138" t="s">
        <v>2048</v>
      </c>
      <c r="K138" s="1141"/>
      <c r="L138" s="1148"/>
    </row>
    <row r="139" spans="1:12">
      <c r="A139" s="1138" t="s">
        <v>2048</v>
      </c>
      <c r="B139" s="1138" t="s">
        <v>2219</v>
      </c>
      <c r="C139" s="1139">
        <v>708685</v>
      </c>
      <c r="D139" s="1140" t="s">
        <v>2061</v>
      </c>
      <c r="E139" s="1140"/>
      <c r="F139" s="1139" t="s">
        <v>1111</v>
      </c>
      <c r="G139" s="1140" t="s">
        <v>2087</v>
      </c>
      <c r="H139" s="1140" t="s">
        <v>2088</v>
      </c>
      <c r="I139" s="1140" t="s">
        <v>2089</v>
      </c>
      <c r="J139" s="1138" t="s">
        <v>2048</v>
      </c>
      <c r="K139" s="1141"/>
      <c r="L139" s="1148"/>
    </row>
    <row r="140" spans="1:12">
      <c r="A140" s="1138" t="s">
        <v>2048</v>
      </c>
      <c r="B140" s="1138" t="s">
        <v>2219</v>
      </c>
      <c r="C140" s="1139">
        <v>1891507</v>
      </c>
      <c r="D140" s="1140" t="s">
        <v>2061</v>
      </c>
      <c r="E140" s="1140"/>
      <c r="F140" s="1139" t="s">
        <v>1111</v>
      </c>
      <c r="G140" s="1140" t="s">
        <v>2090</v>
      </c>
      <c r="H140" s="1140" t="s">
        <v>1783</v>
      </c>
      <c r="I140" s="1140" t="s">
        <v>1784</v>
      </c>
      <c r="J140" s="1138" t="s">
        <v>2048</v>
      </c>
      <c r="K140" s="1141"/>
      <c r="L140" s="1148"/>
    </row>
    <row r="141" spans="1:12">
      <c r="A141" s="1138" t="s">
        <v>2048</v>
      </c>
      <c r="B141" s="1138" t="s">
        <v>2219</v>
      </c>
      <c r="C141" s="1139">
        <v>94575</v>
      </c>
      <c r="D141" s="1140" t="s">
        <v>2065</v>
      </c>
      <c r="E141" s="1140"/>
      <c r="F141" s="1139" t="s">
        <v>1111</v>
      </c>
      <c r="G141" s="1140" t="s">
        <v>2091</v>
      </c>
      <c r="H141" s="1140" t="s">
        <v>1783</v>
      </c>
      <c r="I141" s="1140" t="s">
        <v>1784</v>
      </c>
      <c r="J141" s="1138" t="s">
        <v>2048</v>
      </c>
      <c r="K141" s="1141"/>
      <c r="L141" s="1148"/>
    </row>
    <row r="142" spans="1:12">
      <c r="A142" s="1138" t="s">
        <v>2048</v>
      </c>
      <c r="B142" s="1138" t="s">
        <v>2219</v>
      </c>
      <c r="C142" s="1139">
        <v>274269</v>
      </c>
      <c r="D142" s="1140" t="s">
        <v>2061</v>
      </c>
      <c r="E142" s="1140"/>
      <c r="F142" s="1139" t="s">
        <v>1111</v>
      </c>
      <c r="G142" s="1140" t="s">
        <v>2092</v>
      </c>
      <c r="H142" s="1140" t="s">
        <v>1783</v>
      </c>
      <c r="I142" s="1140" t="s">
        <v>1784</v>
      </c>
      <c r="J142" s="1138" t="s">
        <v>2048</v>
      </c>
      <c r="K142" s="1141"/>
      <c r="L142" s="1148"/>
    </row>
    <row r="143" spans="1:12">
      <c r="A143" s="1138" t="s">
        <v>2048</v>
      </c>
      <c r="B143" s="1138" t="s">
        <v>2219</v>
      </c>
      <c r="C143" s="1139">
        <v>113490</v>
      </c>
      <c r="D143" s="1140" t="s">
        <v>2061</v>
      </c>
      <c r="E143" s="1140"/>
      <c r="F143" s="1139" t="s">
        <v>1111</v>
      </c>
      <c r="G143" s="1140" t="s">
        <v>2093</v>
      </c>
      <c r="H143" s="1140" t="s">
        <v>1783</v>
      </c>
      <c r="I143" s="1140" t="s">
        <v>1784</v>
      </c>
      <c r="J143" s="1138" t="s">
        <v>2048</v>
      </c>
      <c r="K143" s="1141"/>
      <c r="L143" s="1148"/>
    </row>
    <row r="144" spans="1:12">
      <c r="A144" s="1138" t="s">
        <v>2048</v>
      </c>
      <c r="B144" s="1138" t="s">
        <v>2219</v>
      </c>
      <c r="C144" s="1139">
        <v>283726</v>
      </c>
      <c r="D144" s="1140" t="s">
        <v>2061</v>
      </c>
      <c r="E144" s="1140"/>
      <c r="F144" s="1139" t="s">
        <v>1111</v>
      </c>
      <c r="G144" s="1140" t="s">
        <v>2094</v>
      </c>
      <c r="H144" s="1140" t="s">
        <v>2095</v>
      </c>
      <c r="I144" s="1140" t="s">
        <v>2096</v>
      </c>
      <c r="J144" s="1138" t="s">
        <v>2048</v>
      </c>
      <c r="K144" s="1141"/>
      <c r="L144" s="1148"/>
    </row>
    <row r="145" spans="1:12">
      <c r="A145" s="1138" t="s">
        <v>2048</v>
      </c>
      <c r="B145" s="1138" t="s">
        <v>2219</v>
      </c>
      <c r="C145" s="1139">
        <v>12846487</v>
      </c>
      <c r="D145" s="1140" t="s">
        <v>2057</v>
      </c>
      <c r="E145" s="1140"/>
      <c r="F145" s="1139" t="s">
        <v>1111</v>
      </c>
      <c r="G145" s="1140" t="s">
        <v>2097</v>
      </c>
      <c r="H145" s="1140" t="s">
        <v>2098</v>
      </c>
      <c r="I145" s="1140" t="s">
        <v>2099</v>
      </c>
      <c r="J145" s="1138" t="s">
        <v>2048</v>
      </c>
      <c r="K145" s="1141"/>
      <c r="L145" s="1148"/>
    </row>
    <row r="146" spans="1:12">
      <c r="A146" s="1138" t="s">
        <v>2048</v>
      </c>
      <c r="B146" s="1138" t="s">
        <v>2219</v>
      </c>
      <c r="C146" s="1139">
        <v>299489</v>
      </c>
      <c r="D146" s="1140" t="s">
        <v>2057</v>
      </c>
      <c r="E146" s="1140"/>
      <c r="F146" s="1139" t="s">
        <v>1111</v>
      </c>
      <c r="G146" s="1140" t="s">
        <v>2100</v>
      </c>
      <c r="H146" s="1140" t="s">
        <v>2098</v>
      </c>
      <c r="I146" s="1140" t="s">
        <v>2099</v>
      </c>
      <c r="J146" s="1138" t="s">
        <v>2048</v>
      </c>
      <c r="K146" s="1141"/>
      <c r="L146" s="1148"/>
    </row>
    <row r="147" spans="1:12">
      <c r="A147" s="1138" t="s">
        <v>2048</v>
      </c>
      <c r="B147" s="1138" t="s">
        <v>2219</v>
      </c>
      <c r="C147" s="1139">
        <v>236438</v>
      </c>
      <c r="D147" s="1140" t="s">
        <v>2057</v>
      </c>
      <c r="E147" s="1140"/>
      <c r="F147" s="1139" t="s">
        <v>1111</v>
      </c>
      <c r="G147" s="1140" t="s">
        <v>2101</v>
      </c>
      <c r="H147" s="1140" t="s">
        <v>2098</v>
      </c>
      <c r="I147" s="1140" t="s">
        <v>2099</v>
      </c>
      <c r="J147" s="1138" t="s">
        <v>2048</v>
      </c>
      <c r="K147" s="1141"/>
      <c r="L147" s="1148"/>
    </row>
    <row r="148" spans="1:12">
      <c r="A148" s="1138" t="s">
        <v>2048</v>
      </c>
      <c r="B148" s="1138" t="s">
        <v>2219</v>
      </c>
      <c r="C148" s="1139">
        <v>126101</v>
      </c>
      <c r="D148" s="1140" t="s">
        <v>2057</v>
      </c>
      <c r="E148" s="1140"/>
      <c r="F148" s="1139" t="s">
        <v>1111</v>
      </c>
      <c r="G148" s="1140" t="s">
        <v>2102</v>
      </c>
      <c r="H148" s="1140" t="s">
        <v>2098</v>
      </c>
      <c r="I148" s="1140" t="s">
        <v>2099</v>
      </c>
      <c r="J148" s="1138" t="s">
        <v>2048</v>
      </c>
      <c r="K148" s="1141"/>
      <c r="L148" s="1148"/>
    </row>
    <row r="149" spans="1:12">
      <c r="A149" s="1138" t="s">
        <v>2048</v>
      </c>
      <c r="B149" s="1138" t="s">
        <v>2219</v>
      </c>
      <c r="C149" s="1139">
        <v>346776</v>
      </c>
      <c r="D149" s="1140" t="s">
        <v>2061</v>
      </c>
      <c r="E149" s="1140"/>
      <c r="F149" s="1139" t="s">
        <v>1111</v>
      </c>
      <c r="G149" s="1140" t="s">
        <v>2103</v>
      </c>
      <c r="H149" s="1140" t="s">
        <v>2104</v>
      </c>
      <c r="I149" s="1140" t="s">
        <v>2105</v>
      </c>
      <c r="J149" s="1138" t="s">
        <v>2048</v>
      </c>
      <c r="K149" s="1141"/>
      <c r="L149" s="1148"/>
    </row>
    <row r="150" spans="1:12">
      <c r="A150" s="1138" t="s">
        <v>2048</v>
      </c>
      <c r="B150" s="1138" t="s">
        <v>2219</v>
      </c>
      <c r="C150" s="1139">
        <v>13241</v>
      </c>
      <c r="D150" s="1140" t="s">
        <v>2065</v>
      </c>
      <c r="E150" s="1140"/>
      <c r="F150" s="1139" t="s">
        <v>1111</v>
      </c>
      <c r="G150" s="1140" t="s">
        <v>2106</v>
      </c>
      <c r="H150" s="1140" t="s">
        <v>2107</v>
      </c>
      <c r="I150" s="1140" t="s">
        <v>2108</v>
      </c>
      <c r="J150" s="1138" t="s">
        <v>2048</v>
      </c>
      <c r="K150" s="1141"/>
      <c r="L150" s="1148"/>
    </row>
    <row r="151" spans="1:12">
      <c r="A151" s="1138" t="s">
        <v>2048</v>
      </c>
      <c r="B151" s="1138" t="s">
        <v>2219</v>
      </c>
      <c r="C151" s="1139">
        <v>1177463</v>
      </c>
      <c r="D151" s="1140" t="s">
        <v>2065</v>
      </c>
      <c r="E151" s="1140"/>
      <c r="F151" s="1139" t="s">
        <v>1111</v>
      </c>
      <c r="G151" s="1140" t="s">
        <v>2109</v>
      </c>
      <c r="H151" s="1140" t="s">
        <v>2110</v>
      </c>
      <c r="I151" s="1140" t="s">
        <v>2111</v>
      </c>
      <c r="J151" s="1138" t="s">
        <v>2048</v>
      </c>
      <c r="K151" s="1141"/>
      <c r="L151" s="1148"/>
    </row>
    <row r="152" spans="1:12">
      <c r="A152" s="1138" t="s">
        <v>2048</v>
      </c>
      <c r="B152" s="1138" t="s">
        <v>2219</v>
      </c>
      <c r="C152" s="1139">
        <v>126100</v>
      </c>
      <c r="D152" s="1140" t="s">
        <v>2061</v>
      </c>
      <c r="E152" s="1140"/>
      <c r="F152" s="1139" t="s">
        <v>1111</v>
      </c>
      <c r="G152" s="1140" t="s">
        <v>2112</v>
      </c>
      <c r="H152" s="1140" t="s">
        <v>2113</v>
      </c>
      <c r="I152" s="1140" t="s">
        <v>2114</v>
      </c>
      <c r="J152" s="1138" t="s">
        <v>2048</v>
      </c>
      <c r="K152" s="1141"/>
      <c r="L152" s="1148"/>
    </row>
    <row r="153" spans="1:12">
      <c r="A153" s="1138" t="s">
        <v>2048</v>
      </c>
      <c r="B153" s="1138" t="s">
        <v>2219</v>
      </c>
      <c r="C153" s="1139">
        <v>1576256</v>
      </c>
      <c r="D153" s="1140" t="s">
        <v>2061</v>
      </c>
      <c r="E153" s="1140"/>
      <c r="F153" s="1139" t="s">
        <v>1111</v>
      </c>
      <c r="G153" s="1140" t="s">
        <v>2115</v>
      </c>
      <c r="H153" s="1140" t="s">
        <v>2116</v>
      </c>
      <c r="I153" s="1140" t="s">
        <v>2117</v>
      </c>
      <c r="J153" s="1138" t="s">
        <v>2048</v>
      </c>
      <c r="K153" s="1141"/>
      <c r="L153" s="1148"/>
    </row>
    <row r="154" spans="1:12">
      <c r="A154" s="1138" t="s">
        <v>2048</v>
      </c>
      <c r="B154" s="1138" t="s">
        <v>2219</v>
      </c>
      <c r="C154" s="1139">
        <v>1117566</v>
      </c>
      <c r="D154" s="1140" t="s">
        <v>2057</v>
      </c>
      <c r="E154" s="1140"/>
      <c r="F154" s="1139" t="s">
        <v>1111</v>
      </c>
      <c r="G154" s="1140" t="s">
        <v>332</v>
      </c>
      <c r="H154" s="1140" t="s">
        <v>2118</v>
      </c>
      <c r="I154" s="1140" t="s">
        <v>2119</v>
      </c>
      <c r="J154" s="1138" t="s">
        <v>2048</v>
      </c>
      <c r="K154" s="1141"/>
      <c r="L154" s="1148"/>
    </row>
    <row r="155" spans="1:12">
      <c r="A155" s="1138" t="s">
        <v>2048</v>
      </c>
      <c r="B155" s="1138" t="s">
        <v>2219</v>
      </c>
      <c r="C155" s="1139">
        <v>201855</v>
      </c>
      <c r="D155" s="1140" t="s">
        <v>2065</v>
      </c>
      <c r="E155" s="1140"/>
      <c r="F155" s="1139" t="s">
        <v>1111</v>
      </c>
      <c r="G155" s="1140" t="s">
        <v>2120</v>
      </c>
      <c r="H155" s="1140" t="s">
        <v>2121</v>
      </c>
      <c r="I155" s="1140" t="s">
        <v>2122</v>
      </c>
      <c r="J155" s="1138" t="s">
        <v>2048</v>
      </c>
      <c r="K155" s="1141"/>
      <c r="L155" s="1148"/>
    </row>
    <row r="156" spans="1:12">
      <c r="A156" s="1138" t="s">
        <v>2048</v>
      </c>
      <c r="B156" s="1138" t="s">
        <v>2219</v>
      </c>
      <c r="C156" s="1139">
        <v>225846</v>
      </c>
      <c r="D156" s="1140" t="s">
        <v>2065</v>
      </c>
      <c r="E156" s="1140"/>
      <c r="F156" s="1139" t="s">
        <v>1111</v>
      </c>
      <c r="G156" s="1140" t="s">
        <v>2123</v>
      </c>
      <c r="H156" s="1140" t="s">
        <v>2124</v>
      </c>
      <c r="I156" s="1140" t="s">
        <v>2125</v>
      </c>
      <c r="J156" s="1138" t="s">
        <v>2048</v>
      </c>
      <c r="K156" s="1141"/>
      <c r="L156" s="1148"/>
    </row>
    <row r="157" spans="1:12">
      <c r="A157" s="1138" t="s">
        <v>2048</v>
      </c>
      <c r="B157" s="1138" t="s">
        <v>2219</v>
      </c>
      <c r="C157" s="1139">
        <v>143818</v>
      </c>
      <c r="D157" s="1140" t="s">
        <v>2065</v>
      </c>
      <c r="E157" s="1140"/>
      <c r="F157" s="1139" t="s">
        <v>1111</v>
      </c>
      <c r="G157" s="1140" t="s">
        <v>2126</v>
      </c>
      <c r="H157" s="1140" t="s">
        <v>2127</v>
      </c>
      <c r="I157" s="1140" t="s">
        <v>2128</v>
      </c>
      <c r="J157" s="1138" t="s">
        <v>2048</v>
      </c>
      <c r="K157" s="1141"/>
      <c r="L157" s="1148"/>
    </row>
    <row r="158" spans="1:12">
      <c r="A158" s="1138" t="s">
        <v>2048</v>
      </c>
      <c r="B158" s="1138" t="s">
        <v>2219</v>
      </c>
      <c r="C158" s="1139">
        <v>272693</v>
      </c>
      <c r="D158" s="1140" t="s">
        <v>2065</v>
      </c>
      <c r="E158" s="1140"/>
      <c r="F158" s="1139" t="s">
        <v>1111</v>
      </c>
      <c r="G158" s="1140" t="s">
        <v>2129</v>
      </c>
      <c r="H158" s="1140" t="s">
        <v>2130</v>
      </c>
      <c r="I158" s="1140" t="s">
        <v>2131</v>
      </c>
      <c r="J158" s="1138" t="s">
        <v>2048</v>
      </c>
      <c r="K158" s="1141"/>
      <c r="L158" s="1148"/>
    </row>
    <row r="159" spans="1:12">
      <c r="A159" s="1138" t="s">
        <v>2048</v>
      </c>
      <c r="B159" s="1138" t="s">
        <v>2219</v>
      </c>
      <c r="C159" s="1139">
        <v>159832</v>
      </c>
      <c r="D159" s="1140" t="s">
        <v>2065</v>
      </c>
      <c r="E159" s="1140"/>
      <c r="F159" s="1139" t="s">
        <v>1111</v>
      </c>
      <c r="G159" s="1140" t="s">
        <v>2132</v>
      </c>
      <c r="H159" s="1140" t="s">
        <v>2130</v>
      </c>
      <c r="I159" s="1140" t="s">
        <v>2131</v>
      </c>
      <c r="J159" s="1138" t="s">
        <v>2048</v>
      </c>
      <c r="K159" s="1141"/>
      <c r="L159" s="1148"/>
    </row>
    <row r="160" spans="1:12">
      <c r="A160" s="1138" t="s">
        <v>2048</v>
      </c>
      <c r="B160" s="1138" t="s">
        <v>2219</v>
      </c>
      <c r="C160" s="1139">
        <v>2096421</v>
      </c>
      <c r="D160" s="1140" t="s">
        <v>2061</v>
      </c>
      <c r="E160" s="1140"/>
      <c r="F160" s="1139" t="s">
        <v>1111</v>
      </c>
      <c r="G160" s="1140" t="s">
        <v>2133</v>
      </c>
      <c r="H160" s="1140" t="s">
        <v>2134</v>
      </c>
      <c r="I160" s="1140" t="s">
        <v>2135</v>
      </c>
      <c r="J160" s="1138" t="s">
        <v>2048</v>
      </c>
      <c r="K160" s="1141"/>
      <c r="L160" s="1148"/>
    </row>
    <row r="161" spans="1:12">
      <c r="A161" s="1138" t="s">
        <v>2048</v>
      </c>
      <c r="B161" s="1138" t="s">
        <v>2219</v>
      </c>
      <c r="C161" s="1139">
        <v>743772</v>
      </c>
      <c r="D161" s="1140" t="s">
        <v>2061</v>
      </c>
      <c r="E161" s="1140"/>
      <c r="F161" s="1139" t="s">
        <v>1111</v>
      </c>
      <c r="G161" s="1140" t="s">
        <v>2136</v>
      </c>
      <c r="H161" s="1140" t="s">
        <v>2137</v>
      </c>
      <c r="I161" s="1140" t="s">
        <v>2138</v>
      </c>
      <c r="J161" s="1138" t="s">
        <v>2048</v>
      </c>
      <c r="K161" s="1141"/>
      <c r="L161" s="1148"/>
    </row>
    <row r="162" spans="1:12">
      <c r="A162" s="1138" t="s">
        <v>2048</v>
      </c>
      <c r="B162" s="1138" t="s">
        <v>2219</v>
      </c>
      <c r="C162" s="1139">
        <v>48076</v>
      </c>
      <c r="D162" s="1140" t="s">
        <v>2061</v>
      </c>
      <c r="E162" s="1140"/>
      <c r="F162" s="1139" t="s">
        <v>1111</v>
      </c>
      <c r="G162" s="1140" t="s">
        <v>2139</v>
      </c>
      <c r="H162" s="1140" t="s">
        <v>2137</v>
      </c>
      <c r="I162" s="1140" t="s">
        <v>2138</v>
      </c>
      <c r="J162" s="1138" t="s">
        <v>2048</v>
      </c>
      <c r="K162" s="1141"/>
      <c r="L162" s="1148"/>
    </row>
    <row r="163" spans="1:12">
      <c r="A163" s="1138" t="s">
        <v>2048</v>
      </c>
      <c r="B163" s="1138" t="s">
        <v>2219</v>
      </c>
      <c r="C163" s="1139">
        <v>33890</v>
      </c>
      <c r="D163" s="1140" t="s">
        <v>2065</v>
      </c>
      <c r="E163" s="1140"/>
      <c r="F163" s="1139" t="s">
        <v>1111</v>
      </c>
      <c r="G163" s="1140" t="s">
        <v>2140</v>
      </c>
      <c r="H163" s="1140" t="s">
        <v>2141</v>
      </c>
      <c r="I163" s="1140" t="s">
        <v>2142</v>
      </c>
      <c r="J163" s="1138" t="s">
        <v>2048</v>
      </c>
      <c r="K163" s="1141"/>
      <c r="L163" s="1148"/>
    </row>
    <row r="164" spans="1:12">
      <c r="A164" s="1138" t="s">
        <v>2048</v>
      </c>
      <c r="B164" s="1138" t="s">
        <v>2219</v>
      </c>
      <c r="C164" s="1139">
        <v>540341</v>
      </c>
      <c r="D164" s="1140" t="s">
        <v>2061</v>
      </c>
      <c r="E164" s="1140"/>
      <c r="F164" s="1139" t="s">
        <v>1111</v>
      </c>
      <c r="G164" s="1140" t="s">
        <v>2143</v>
      </c>
      <c r="H164" s="1140" t="s">
        <v>2144</v>
      </c>
      <c r="I164" s="1140" t="s">
        <v>2145</v>
      </c>
      <c r="J164" s="1138" t="s">
        <v>2048</v>
      </c>
      <c r="K164" s="1141"/>
      <c r="L164" s="1148"/>
    </row>
    <row r="165" spans="1:12">
      <c r="A165" s="1138" t="s">
        <v>2048</v>
      </c>
      <c r="B165" s="1138" t="s">
        <v>2219</v>
      </c>
      <c r="C165" s="1139">
        <v>199182</v>
      </c>
      <c r="D165" s="1140" t="s">
        <v>2065</v>
      </c>
      <c r="E165" s="1140"/>
      <c r="F165" s="1139" t="s">
        <v>1111</v>
      </c>
      <c r="G165" s="1140" t="s">
        <v>2146</v>
      </c>
      <c r="H165" s="1140" t="s">
        <v>2147</v>
      </c>
      <c r="I165" s="1140" t="s">
        <v>2148</v>
      </c>
      <c r="J165" s="1138" t="s">
        <v>2048</v>
      </c>
      <c r="K165" s="1141"/>
      <c r="L165" s="1148"/>
    </row>
    <row r="166" spans="1:12">
      <c r="A166" s="1138" t="s">
        <v>2048</v>
      </c>
      <c r="B166" s="1138" t="s">
        <v>2219</v>
      </c>
      <c r="C166" s="1139">
        <v>463861</v>
      </c>
      <c r="D166" s="1140" t="s">
        <v>2061</v>
      </c>
      <c r="E166" s="1140"/>
      <c r="F166" s="1139" t="s">
        <v>1111</v>
      </c>
      <c r="G166" s="1140" t="s">
        <v>2149</v>
      </c>
      <c r="H166" s="1140" t="s">
        <v>2150</v>
      </c>
      <c r="I166" s="1140" t="s">
        <v>2151</v>
      </c>
      <c r="J166" s="1138" t="s">
        <v>2048</v>
      </c>
      <c r="K166" s="1141"/>
      <c r="L166" s="1148"/>
    </row>
    <row r="167" spans="1:12">
      <c r="A167" s="1138" t="s">
        <v>2048</v>
      </c>
      <c r="B167" s="1138" t="s">
        <v>2219</v>
      </c>
      <c r="C167" s="1139">
        <v>61474</v>
      </c>
      <c r="D167" s="1140" t="s">
        <v>2065</v>
      </c>
      <c r="E167" s="1140"/>
      <c r="F167" s="1139" t="s">
        <v>1111</v>
      </c>
      <c r="G167" s="1140" t="s">
        <v>2152</v>
      </c>
      <c r="H167" s="1140" t="s">
        <v>2153</v>
      </c>
      <c r="I167" s="1140" t="s">
        <v>2154</v>
      </c>
      <c r="J167" s="1138" t="s">
        <v>2048</v>
      </c>
      <c r="K167" s="1141"/>
      <c r="L167" s="1148"/>
    </row>
    <row r="168" spans="1:12">
      <c r="A168" s="1138" t="s">
        <v>2048</v>
      </c>
      <c r="B168" s="1138" t="s">
        <v>2219</v>
      </c>
      <c r="C168" s="1139">
        <v>20090</v>
      </c>
      <c r="D168" s="1140" t="s">
        <v>2065</v>
      </c>
      <c r="E168" s="1140"/>
      <c r="F168" s="1139" t="s">
        <v>1111</v>
      </c>
      <c r="G168" s="1140" t="s">
        <v>2155</v>
      </c>
      <c r="H168" s="1140" t="s">
        <v>2156</v>
      </c>
      <c r="I168" s="1140" t="s">
        <v>2157</v>
      </c>
      <c r="J168" s="1138" t="s">
        <v>2048</v>
      </c>
      <c r="K168" s="1141"/>
      <c r="L168" s="1148"/>
    </row>
    <row r="169" spans="1:12">
      <c r="A169" s="1138" t="s">
        <v>2048</v>
      </c>
      <c r="B169" s="1138" t="s">
        <v>2219</v>
      </c>
      <c r="C169" s="1139">
        <v>898466</v>
      </c>
      <c r="D169" s="1140" t="s">
        <v>2061</v>
      </c>
      <c r="E169" s="1140"/>
      <c r="F169" s="1139" t="s">
        <v>1111</v>
      </c>
      <c r="G169" s="1140" t="s">
        <v>2158</v>
      </c>
      <c r="H169" s="1140" t="s">
        <v>2159</v>
      </c>
      <c r="I169" s="1140" t="s">
        <v>2160</v>
      </c>
      <c r="J169" s="1138" t="s">
        <v>2048</v>
      </c>
      <c r="K169" s="1141"/>
      <c r="L169" s="1148"/>
    </row>
    <row r="170" spans="1:12">
      <c r="A170" s="1138" t="s">
        <v>2048</v>
      </c>
      <c r="B170" s="1138" t="s">
        <v>2219</v>
      </c>
      <c r="C170" s="1139">
        <v>267964</v>
      </c>
      <c r="D170" s="1140" t="s">
        <v>2061</v>
      </c>
      <c r="E170" s="1140"/>
      <c r="F170" s="1139" t="s">
        <v>1111</v>
      </c>
      <c r="G170" s="1140" t="s">
        <v>2161</v>
      </c>
      <c r="H170" s="1140" t="s">
        <v>2162</v>
      </c>
      <c r="I170" s="1140" t="s">
        <v>2163</v>
      </c>
      <c r="J170" s="1138" t="s">
        <v>2048</v>
      </c>
      <c r="K170" s="1141"/>
      <c r="L170" s="1148"/>
    </row>
    <row r="171" spans="1:12">
      <c r="A171" s="1138" t="s">
        <v>2048</v>
      </c>
      <c r="B171" s="1138" t="s">
        <v>2219</v>
      </c>
      <c r="C171" s="1139">
        <v>13441</v>
      </c>
      <c r="D171" s="1140" t="s">
        <v>2065</v>
      </c>
      <c r="E171" s="1140"/>
      <c r="F171" s="1139" t="s">
        <v>1111</v>
      </c>
      <c r="G171" s="1140" t="s">
        <v>2164</v>
      </c>
      <c r="H171" s="1140" t="s">
        <v>2165</v>
      </c>
      <c r="I171" s="1140" t="s">
        <v>2166</v>
      </c>
      <c r="J171" s="1138" t="s">
        <v>2048</v>
      </c>
      <c r="K171" s="1141"/>
      <c r="L171" s="1148"/>
    </row>
    <row r="172" spans="1:12">
      <c r="A172" s="1138" t="s">
        <v>2048</v>
      </c>
      <c r="B172" s="1138" t="s">
        <v>2219</v>
      </c>
      <c r="C172" s="1139">
        <v>59898</v>
      </c>
      <c r="D172" s="1140" t="s">
        <v>2065</v>
      </c>
      <c r="E172" s="1140"/>
      <c r="F172" s="1139" t="s">
        <v>1111</v>
      </c>
      <c r="G172" s="1140" t="s">
        <v>2167</v>
      </c>
      <c r="H172" s="1140" t="s">
        <v>2168</v>
      </c>
      <c r="I172" s="1140" t="s">
        <v>2169</v>
      </c>
      <c r="J172" s="1138" t="s">
        <v>2048</v>
      </c>
      <c r="K172" s="1141"/>
      <c r="L172" s="1148"/>
    </row>
    <row r="173" spans="1:12">
      <c r="A173" s="1138" t="s">
        <v>2048</v>
      </c>
      <c r="B173" s="1138" t="s">
        <v>2219</v>
      </c>
      <c r="C173" s="1139">
        <v>107816</v>
      </c>
      <c r="D173" s="1140" t="s">
        <v>2065</v>
      </c>
      <c r="E173" s="1140"/>
      <c r="F173" s="1139" t="s">
        <v>1111</v>
      </c>
      <c r="G173" s="1140" t="s">
        <v>2170</v>
      </c>
      <c r="H173" s="1140" t="s">
        <v>2171</v>
      </c>
      <c r="I173" s="1140" t="s">
        <v>2172</v>
      </c>
      <c r="J173" s="1138" t="s">
        <v>2048</v>
      </c>
      <c r="K173" s="1141"/>
      <c r="L173" s="1148"/>
    </row>
    <row r="174" spans="1:12">
      <c r="A174" s="1138" t="s">
        <v>2048</v>
      </c>
      <c r="B174" s="1138" t="s">
        <v>2219</v>
      </c>
      <c r="C174" s="1139">
        <v>62477</v>
      </c>
      <c r="D174" s="1140" t="s">
        <v>2065</v>
      </c>
      <c r="E174" s="1140"/>
      <c r="F174" s="1139" t="s">
        <v>1111</v>
      </c>
      <c r="G174" s="1140" t="s">
        <v>2173</v>
      </c>
      <c r="H174" s="1140" t="s">
        <v>2174</v>
      </c>
      <c r="I174" s="1140" t="s">
        <v>2175</v>
      </c>
      <c r="J174" s="1138" t="s">
        <v>2048</v>
      </c>
      <c r="K174" s="1141"/>
      <c r="L174" s="1148"/>
    </row>
    <row r="175" spans="1:12">
      <c r="A175" s="1138" t="s">
        <v>2048</v>
      </c>
      <c r="B175" s="1138" t="s">
        <v>2219</v>
      </c>
      <c r="C175" s="1139">
        <v>356234</v>
      </c>
      <c r="D175" s="1140" t="s">
        <v>2061</v>
      </c>
      <c r="E175" s="1140"/>
      <c r="F175" s="1139" t="s">
        <v>1111</v>
      </c>
      <c r="G175" s="1140" t="s">
        <v>2176</v>
      </c>
      <c r="H175" s="1140" t="s">
        <v>2177</v>
      </c>
      <c r="I175" s="1140" t="s">
        <v>2178</v>
      </c>
      <c r="J175" s="1138" t="s">
        <v>2048</v>
      </c>
      <c r="K175" s="1141"/>
      <c r="L175" s="1148"/>
    </row>
    <row r="176" spans="1:12">
      <c r="A176" s="1138" t="s">
        <v>2048</v>
      </c>
      <c r="B176" s="1138" t="s">
        <v>2219</v>
      </c>
      <c r="C176" s="1139">
        <v>598977</v>
      </c>
      <c r="D176" s="1140" t="s">
        <v>2061</v>
      </c>
      <c r="E176" s="1140"/>
      <c r="F176" s="1139" t="s">
        <v>1111</v>
      </c>
      <c r="G176" s="1140" t="s">
        <v>2179</v>
      </c>
      <c r="H176" s="1140" t="s">
        <v>2177</v>
      </c>
      <c r="I176" s="1140" t="s">
        <v>2178</v>
      </c>
      <c r="J176" s="1138" t="s">
        <v>2048</v>
      </c>
      <c r="K176" s="1141"/>
      <c r="L176" s="1148"/>
    </row>
    <row r="177" spans="1:12">
      <c r="A177" s="1138" t="s">
        <v>2048</v>
      </c>
      <c r="B177" s="1138" t="s">
        <v>2219</v>
      </c>
      <c r="C177" s="1139">
        <v>67621</v>
      </c>
      <c r="D177" s="1140" t="s">
        <v>2061</v>
      </c>
      <c r="E177" s="1140"/>
      <c r="F177" s="1139" t="s">
        <v>1111</v>
      </c>
      <c r="G177" s="1140" t="s">
        <v>2180</v>
      </c>
      <c r="H177" s="1140" t="s">
        <v>2181</v>
      </c>
      <c r="I177" s="1140" t="s">
        <v>2182</v>
      </c>
      <c r="J177" s="1138" t="s">
        <v>2048</v>
      </c>
      <c r="K177" s="1141"/>
      <c r="L177" s="1148"/>
    </row>
    <row r="178" spans="1:12">
      <c r="A178" s="1138" t="s">
        <v>2048</v>
      </c>
      <c r="B178" s="1138" t="s">
        <v>2219</v>
      </c>
      <c r="C178" s="1139">
        <v>104736</v>
      </c>
      <c r="D178" s="1140" t="s">
        <v>2065</v>
      </c>
      <c r="E178" s="1140"/>
      <c r="F178" s="1139" t="s">
        <v>1111</v>
      </c>
      <c r="G178" s="1140" t="s">
        <v>2183</v>
      </c>
      <c r="H178" s="1140" t="s">
        <v>2184</v>
      </c>
      <c r="I178" s="1140" t="s">
        <v>2185</v>
      </c>
      <c r="J178" s="1138" t="s">
        <v>2048</v>
      </c>
      <c r="K178" s="1141"/>
      <c r="L178" s="1148"/>
    </row>
    <row r="179" spans="1:12">
      <c r="A179" s="1138" t="s">
        <v>2048</v>
      </c>
      <c r="B179" s="1138" t="s">
        <v>2219</v>
      </c>
      <c r="C179" s="1139">
        <v>87671</v>
      </c>
      <c r="D179" s="1140" t="s">
        <v>2065</v>
      </c>
      <c r="E179" s="1140"/>
      <c r="F179" s="1139" t="s">
        <v>1111</v>
      </c>
      <c r="G179" s="1140" t="s">
        <v>2186</v>
      </c>
      <c r="H179" s="1140" t="s">
        <v>2187</v>
      </c>
      <c r="I179" s="1140" t="s">
        <v>2188</v>
      </c>
      <c r="J179" s="1138" t="s">
        <v>2048</v>
      </c>
      <c r="K179" s="1141"/>
      <c r="L179" s="1148"/>
    </row>
    <row r="180" spans="1:12">
      <c r="A180" s="1138" t="s">
        <v>2048</v>
      </c>
      <c r="B180" s="1138" t="s">
        <v>2219</v>
      </c>
      <c r="C180" s="1139" t="s">
        <v>1111</v>
      </c>
      <c r="D180" s="1140"/>
      <c r="E180" s="1140" t="s">
        <v>2189</v>
      </c>
      <c r="F180" s="1139">
        <v>92586937</v>
      </c>
      <c r="G180" s="1140" t="s">
        <v>2216</v>
      </c>
      <c r="H180" s="1140" t="s">
        <v>2217</v>
      </c>
      <c r="I180" s="1140" t="s">
        <v>2218</v>
      </c>
      <c r="J180" s="1138" t="s">
        <v>2048</v>
      </c>
      <c r="K180" s="1141"/>
      <c r="L180" s="1148"/>
    </row>
  </sheetData>
  <phoneticPr fontId="23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9" tint="0.79998168889431442"/>
  </sheetPr>
  <dimension ref="B1:M112"/>
  <sheetViews>
    <sheetView showGridLines="0" zoomScale="72" zoomScaleNormal="72" workbookViewId="0">
      <pane xSplit="3" ySplit="5" topLeftCell="D6" activePane="bottomRight" state="frozen"/>
      <selection activeCell="D57" sqref="D57"/>
      <selection pane="topRight" activeCell="D57" sqref="D57"/>
      <selection pane="bottomLeft" activeCell="D57" sqref="D57"/>
      <selection pane="bottomRight" activeCell="I38" sqref="I38"/>
    </sheetView>
  </sheetViews>
  <sheetFormatPr defaultColWidth="9" defaultRowHeight="15"/>
  <cols>
    <col min="1" max="1" width="9" style="591"/>
    <col min="2" max="2" width="36.5703125" style="591" customWidth="1"/>
    <col min="3" max="3" width="23" style="590" customWidth="1"/>
    <col min="4" max="4" width="23" style="592" customWidth="1"/>
    <col min="5" max="5" width="20.640625" style="590" customWidth="1"/>
    <col min="6" max="6" width="22.35546875" style="590" customWidth="1"/>
    <col min="7" max="8" width="15.0703125" style="590" customWidth="1"/>
    <col min="9" max="9" width="14" style="590" customWidth="1"/>
    <col min="10" max="11" width="13.5703125" style="590" customWidth="1"/>
    <col min="12" max="12" width="35.85546875" style="590" customWidth="1"/>
    <col min="13" max="13" width="11.140625" style="591" bestFit="1" customWidth="1"/>
    <col min="14" max="16384" width="9" style="591"/>
  </cols>
  <sheetData>
    <row r="1" spans="2:12">
      <c r="B1" s="587" t="s">
        <v>1272</v>
      </c>
      <c r="C1" s="588">
        <v>45291</v>
      </c>
    </row>
    <row r="2" spans="2:12">
      <c r="E2" s="593"/>
    </row>
    <row r="3" spans="2:12">
      <c r="E3" s="593"/>
    </row>
    <row r="4" spans="2:12">
      <c r="B4" s="1228" t="s">
        <v>1273</v>
      </c>
      <c r="C4" s="1228" t="s">
        <v>1274</v>
      </c>
      <c r="D4" s="1246" t="s">
        <v>1275</v>
      </c>
      <c r="E4" s="594" t="s">
        <v>1276</v>
      </c>
      <c r="F4" s="595"/>
      <c r="G4" s="594" t="s">
        <v>1277</v>
      </c>
      <c r="H4" s="595"/>
      <c r="I4" s="596" t="s">
        <v>1278</v>
      </c>
      <c r="J4" s="596" t="s">
        <v>1278</v>
      </c>
      <c r="K4" s="596" t="s">
        <v>1278</v>
      </c>
      <c r="L4" s="1230" t="s">
        <v>1279</v>
      </c>
    </row>
    <row r="5" spans="2:12">
      <c r="B5" s="1229"/>
      <c r="C5" s="1229"/>
      <c r="D5" s="1247"/>
      <c r="E5" s="597" t="s">
        <v>1280</v>
      </c>
      <c r="F5" s="597" t="s">
        <v>1281</v>
      </c>
      <c r="G5" s="597" t="s">
        <v>1280</v>
      </c>
      <c r="H5" s="597" t="s">
        <v>1281</v>
      </c>
      <c r="I5" s="597" t="s">
        <v>1282</v>
      </c>
      <c r="J5" s="597" t="s">
        <v>1283</v>
      </c>
      <c r="K5" s="597" t="s">
        <v>1284</v>
      </c>
      <c r="L5" s="1230"/>
    </row>
    <row r="6" spans="2:12">
      <c r="B6" s="598"/>
      <c r="C6" s="598"/>
      <c r="D6" s="682"/>
      <c r="E6" s="599"/>
      <c r="F6" s="600"/>
      <c r="G6" s="601"/>
      <c r="H6" s="601"/>
      <c r="I6" s="601"/>
      <c r="J6" s="601"/>
      <c r="K6" s="601"/>
      <c r="L6" s="602"/>
    </row>
    <row r="7" spans="2:12">
      <c r="B7" s="603" t="s">
        <v>1285</v>
      </c>
      <c r="C7" s="604"/>
      <c r="D7" s="683"/>
      <c r="E7" s="605"/>
      <c r="F7" s="606"/>
      <c r="G7" s="607"/>
      <c r="H7" s="607"/>
      <c r="I7" s="607"/>
      <c r="J7" s="607"/>
      <c r="K7" s="607"/>
      <c r="L7" s="608"/>
    </row>
    <row r="8" spans="2:12">
      <c r="B8" s="604"/>
      <c r="C8" s="604"/>
      <c r="D8" s="683"/>
      <c r="E8" s="605"/>
      <c r="F8" s="606"/>
      <c r="G8" s="607"/>
      <c r="H8" s="607"/>
      <c r="I8" s="607"/>
      <c r="J8" s="607"/>
      <c r="K8" s="607"/>
      <c r="L8" s="608"/>
    </row>
    <row r="9" spans="2:12">
      <c r="B9" s="604"/>
      <c r="C9" s="604"/>
      <c r="D9" s="683" t="s">
        <v>864</v>
      </c>
      <c r="E9" s="605" t="s">
        <v>70</v>
      </c>
      <c r="F9" s="606"/>
      <c r="G9" s="607"/>
      <c r="H9" s="607"/>
      <c r="I9" s="607"/>
      <c r="J9" s="607"/>
      <c r="K9" s="607"/>
      <c r="L9" s="608"/>
    </row>
    <row r="10" spans="2:12">
      <c r="B10" s="604"/>
      <c r="C10" s="604"/>
      <c r="D10" s="683" t="s">
        <v>857</v>
      </c>
      <c r="E10" s="605"/>
      <c r="F10" s="606" t="s">
        <v>100</v>
      </c>
      <c r="G10" s="607"/>
      <c r="H10" s="607"/>
      <c r="I10" s="607"/>
      <c r="J10" s="607"/>
      <c r="K10" s="607"/>
      <c r="L10" s="608"/>
    </row>
    <row r="11" spans="2:12">
      <c r="B11" s="604"/>
      <c r="C11" s="604"/>
      <c r="D11" s="683"/>
      <c r="E11" s="605"/>
      <c r="F11" s="606"/>
      <c r="G11" s="607"/>
      <c r="H11" s="607"/>
      <c r="I11" s="607"/>
      <c r="J11" s="607"/>
      <c r="K11" s="607"/>
      <c r="L11" s="608"/>
    </row>
    <row r="12" spans="2:12">
      <c r="B12" s="604"/>
      <c r="C12" s="604"/>
      <c r="D12" s="683" t="s">
        <v>872</v>
      </c>
      <c r="E12" s="605" t="s">
        <v>204</v>
      </c>
      <c r="F12" s="606"/>
      <c r="G12" s="607"/>
      <c r="H12" s="607"/>
      <c r="I12" s="607">
        <f>-G12</f>
        <v>0</v>
      </c>
      <c r="J12" s="607"/>
      <c r="K12" s="607"/>
      <c r="L12" s="608"/>
    </row>
    <row r="13" spans="2:12">
      <c r="B13" s="604"/>
      <c r="C13" s="604"/>
      <c r="D13" s="683" t="s">
        <v>857</v>
      </c>
      <c r="E13" s="605"/>
      <c r="F13" s="606" t="s">
        <v>100</v>
      </c>
      <c r="G13" s="607"/>
      <c r="H13" s="607"/>
      <c r="I13" s="607"/>
      <c r="J13" s="607"/>
      <c r="K13" s="607"/>
      <c r="L13" s="608"/>
    </row>
    <row r="14" spans="2:12">
      <c r="B14" s="604"/>
      <c r="C14" s="604"/>
      <c r="D14" s="683"/>
      <c r="E14" s="605"/>
      <c r="F14" s="606"/>
      <c r="G14" s="607"/>
      <c r="H14" s="607"/>
      <c r="I14" s="607"/>
      <c r="J14" s="607"/>
      <c r="K14" s="607"/>
      <c r="L14" s="608"/>
    </row>
    <row r="15" spans="2:12">
      <c r="B15" s="598"/>
      <c r="C15" s="598"/>
      <c r="D15" s="682"/>
      <c r="E15" s="599"/>
      <c r="F15" s="600"/>
      <c r="G15" s="601"/>
      <c r="H15" s="601"/>
      <c r="I15" s="601"/>
      <c r="J15" s="601"/>
      <c r="K15" s="601"/>
      <c r="L15" s="602"/>
    </row>
    <row r="16" spans="2:12">
      <c r="B16" s="603"/>
      <c r="C16" s="604"/>
      <c r="D16" s="683"/>
      <c r="E16" s="605"/>
      <c r="F16" s="606"/>
      <c r="G16" s="607"/>
      <c r="H16" s="607"/>
      <c r="I16" s="607"/>
      <c r="J16" s="607"/>
      <c r="K16" s="607"/>
      <c r="L16" s="608"/>
    </row>
    <row r="17" spans="2:12">
      <c r="B17" s="603" t="s">
        <v>1286</v>
      </c>
      <c r="C17" s="604"/>
      <c r="D17" s="683" t="s">
        <v>864</v>
      </c>
      <c r="E17" s="605" t="s">
        <v>70</v>
      </c>
      <c r="F17" s="606"/>
      <c r="G17" s="607"/>
      <c r="H17" s="607"/>
      <c r="I17" s="607"/>
      <c r="J17" s="607"/>
      <c r="K17" s="607"/>
      <c r="L17" s="608"/>
    </row>
    <row r="18" spans="2:12">
      <c r="B18" s="604"/>
      <c r="C18" s="604"/>
      <c r="D18" s="683" t="s">
        <v>837</v>
      </c>
      <c r="E18" s="605"/>
      <c r="F18" s="606" t="s">
        <v>97</v>
      </c>
      <c r="G18" s="607"/>
      <c r="H18" s="607"/>
      <c r="I18" s="607"/>
      <c r="J18" s="607"/>
      <c r="K18" s="607"/>
      <c r="L18" s="608"/>
    </row>
    <row r="19" spans="2:12">
      <c r="B19" s="604"/>
      <c r="C19" s="604"/>
      <c r="D19" s="683" t="s">
        <v>870</v>
      </c>
      <c r="E19" s="605" t="s">
        <v>108</v>
      </c>
      <c r="F19" s="606"/>
      <c r="G19" s="607"/>
      <c r="H19" s="607"/>
      <c r="I19" s="607">
        <f>-G19</f>
        <v>0</v>
      </c>
      <c r="J19" s="607"/>
      <c r="K19" s="607"/>
      <c r="L19" s="608"/>
    </row>
    <row r="20" spans="2:12">
      <c r="B20" s="604"/>
      <c r="C20" s="604"/>
      <c r="D20" s="683" t="s">
        <v>923</v>
      </c>
      <c r="E20" s="605" t="s">
        <v>1287</v>
      </c>
      <c r="F20" s="606"/>
      <c r="G20" s="607"/>
      <c r="H20" s="607"/>
      <c r="I20" s="607">
        <f>-G20</f>
        <v>0</v>
      </c>
      <c r="J20" s="607"/>
      <c r="K20" s="607"/>
      <c r="L20" s="608"/>
    </row>
    <row r="21" spans="2:12">
      <c r="B21" s="604"/>
      <c r="C21" s="604"/>
      <c r="D21" s="683" t="s">
        <v>837</v>
      </c>
      <c r="E21" s="605"/>
      <c r="F21" s="606" t="s">
        <v>97</v>
      </c>
      <c r="G21" s="607"/>
      <c r="H21" s="607"/>
      <c r="I21" s="607"/>
      <c r="J21" s="607"/>
      <c r="K21" s="607"/>
      <c r="L21" s="608"/>
    </row>
    <row r="22" spans="2:12">
      <c r="B22" s="604"/>
      <c r="C22" s="604"/>
      <c r="D22" s="683"/>
      <c r="E22" s="605"/>
      <c r="F22" s="606"/>
      <c r="G22" s="607"/>
      <c r="H22" s="607"/>
      <c r="I22" s="607"/>
      <c r="J22" s="607"/>
      <c r="K22" s="607"/>
      <c r="L22" s="608"/>
    </row>
    <row r="23" spans="2:12">
      <c r="B23" s="604"/>
      <c r="C23" s="604"/>
      <c r="D23" s="683"/>
      <c r="E23" s="605"/>
      <c r="F23" s="606"/>
      <c r="G23" s="607"/>
      <c r="H23" s="607"/>
      <c r="I23" s="607"/>
      <c r="J23" s="607"/>
      <c r="K23" s="607"/>
      <c r="L23" s="608"/>
    </row>
    <row r="24" spans="2:12">
      <c r="B24" s="604"/>
      <c r="C24" s="604"/>
      <c r="D24" s="683"/>
      <c r="E24" s="605"/>
      <c r="F24" s="606"/>
      <c r="G24" s="607"/>
      <c r="H24" s="607"/>
      <c r="I24" s="607"/>
      <c r="J24" s="607"/>
      <c r="K24" s="607"/>
      <c r="L24" s="608"/>
    </row>
    <row r="25" spans="2:12">
      <c r="B25" s="604"/>
      <c r="C25" s="604"/>
      <c r="D25" s="804"/>
      <c r="E25" s="605"/>
      <c r="F25" s="606"/>
      <c r="G25" s="607"/>
      <c r="H25" s="607"/>
      <c r="I25" s="607"/>
      <c r="J25" s="607"/>
      <c r="K25" s="607"/>
      <c r="L25" s="608"/>
    </row>
    <row r="26" spans="2:12">
      <c r="B26" s="604"/>
      <c r="C26" s="604"/>
      <c r="D26" s="805"/>
      <c r="E26" s="606"/>
      <c r="F26" s="606"/>
      <c r="G26" s="607"/>
      <c r="H26" s="607"/>
      <c r="I26" s="607"/>
      <c r="J26" s="607"/>
      <c r="K26" s="607"/>
      <c r="L26" s="608"/>
    </row>
    <row r="27" spans="2:12">
      <c r="B27" s="598"/>
      <c r="C27" s="598"/>
      <c r="D27" s="806"/>
      <c r="E27" s="599"/>
      <c r="F27" s="807"/>
      <c r="G27" s="601"/>
      <c r="H27" s="601"/>
      <c r="I27" s="601"/>
      <c r="J27" s="601"/>
      <c r="K27" s="601"/>
      <c r="L27" s="602"/>
    </row>
    <row r="28" spans="2:12">
      <c r="B28" s="604"/>
      <c r="C28" s="604"/>
      <c r="D28" s="804"/>
      <c r="E28" s="605"/>
      <c r="F28" s="609"/>
      <c r="G28" s="607"/>
      <c r="H28" s="607"/>
      <c r="I28" s="607"/>
      <c r="J28" s="607"/>
      <c r="K28" s="607"/>
      <c r="L28" s="608"/>
    </row>
    <row r="29" spans="2:12">
      <c r="B29" s="603" t="s">
        <v>1295</v>
      </c>
      <c r="C29" s="604"/>
      <c r="D29" s="804" t="s">
        <v>873</v>
      </c>
      <c r="E29" s="605" t="s">
        <v>1293</v>
      </c>
      <c r="F29" s="609"/>
      <c r="G29" s="607"/>
      <c r="H29" s="607"/>
      <c r="I29" s="607">
        <f>-G29</f>
        <v>0</v>
      </c>
      <c r="J29" s="607"/>
      <c r="K29" s="607"/>
      <c r="L29" s="608"/>
    </row>
    <row r="30" spans="2:12">
      <c r="B30" s="604"/>
      <c r="C30" s="604"/>
      <c r="D30" s="804" t="s">
        <v>1313</v>
      </c>
      <c r="E30" s="605"/>
      <c r="F30" s="609" t="s">
        <v>1294</v>
      </c>
      <c r="G30" s="607"/>
      <c r="H30" s="607"/>
      <c r="I30" s="607"/>
      <c r="J30" s="607"/>
      <c r="K30" s="607"/>
      <c r="L30" s="608"/>
    </row>
    <row r="31" spans="2:12">
      <c r="B31" s="604"/>
      <c r="C31" s="604"/>
      <c r="D31" s="804" t="s">
        <v>864</v>
      </c>
      <c r="E31" s="605" t="s">
        <v>70</v>
      </c>
      <c r="F31" s="609"/>
      <c r="G31" s="607"/>
      <c r="H31" s="607"/>
      <c r="I31" s="607"/>
      <c r="J31" s="607"/>
      <c r="K31" s="607"/>
      <c r="L31" s="608"/>
    </row>
    <row r="32" spans="2:12">
      <c r="B32" s="604"/>
      <c r="C32" s="604"/>
      <c r="D32" s="804"/>
      <c r="E32" s="605"/>
      <c r="F32" s="609"/>
      <c r="G32" s="607"/>
      <c r="H32" s="607"/>
      <c r="I32" s="607"/>
      <c r="J32" s="607"/>
      <c r="K32" s="607"/>
      <c r="L32" s="608"/>
    </row>
    <row r="33" spans="2:12">
      <c r="B33" s="604"/>
      <c r="C33" s="604"/>
      <c r="D33" s="804"/>
      <c r="E33" s="605"/>
      <c r="F33" s="609"/>
      <c r="G33" s="607"/>
      <c r="H33" s="607"/>
      <c r="I33" s="607"/>
      <c r="J33" s="607"/>
      <c r="K33" s="607"/>
      <c r="L33" s="608"/>
    </row>
    <row r="34" spans="2:12">
      <c r="B34" s="604"/>
      <c r="C34" s="604"/>
      <c r="D34" s="804"/>
      <c r="E34" s="605"/>
      <c r="F34" s="609"/>
      <c r="G34" s="607"/>
      <c r="H34" s="607"/>
      <c r="I34" s="607"/>
      <c r="J34" s="607"/>
      <c r="K34" s="607"/>
      <c r="L34" s="608"/>
    </row>
    <row r="35" spans="2:12">
      <c r="B35" s="598"/>
      <c r="C35" s="598"/>
      <c r="D35" s="806"/>
      <c r="E35" s="599"/>
      <c r="F35" s="807"/>
      <c r="G35" s="601"/>
      <c r="H35" s="601"/>
      <c r="I35" s="601"/>
      <c r="J35" s="601"/>
      <c r="K35" s="601"/>
      <c r="L35" s="602"/>
    </row>
    <row r="36" spans="2:12">
      <c r="B36" s="604"/>
      <c r="C36" s="604"/>
      <c r="D36" s="683"/>
      <c r="E36" s="605"/>
      <c r="F36" s="609"/>
      <c r="G36" s="607"/>
      <c r="H36" s="607"/>
      <c r="I36" s="607"/>
      <c r="J36" s="607"/>
      <c r="K36" s="607"/>
      <c r="L36" s="608"/>
    </row>
    <row r="37" spans="2:12">
      <c r="B37" s="603" t="s">
        <v>1288</v>
      </c>
      <c r="C37" s="604"/>
      <c r="D37" s="683" t="s">
        <v>907</v>
      </c>
      <c r="E37" s="605" t="s">
        <v>115</v>
      </c>
      <c r="F37" s="609"/>
      <c r="G37" s="607"/>
      <c r="H37" s="607"/>
      <c r="I37" s="607">
        <f>-G37</f>
        <v>0</v>
      </c>
      <c r="J37" s="607"/>
      <c r="K37" s="607"/>
      <c r="L37" s="608"/>
    </row>
    <row r="38" spans="2:12">
      <c r="B38" s="604"/>
      <c r="C38" s="604"/>
      <c r="D38" s="683" t="s">
        <v>867</v>
      </c>
      <c r="E38" s="605" t="s">
        <v>181</v>
      </c>
      <c r="F38" s="609"/>
      <c r="G38" s="607"/>
      <c r="H38" s="607"/>
      <c r="I38" s="607">
        <f>-G38</f>
        <v>0</v>
      </c>
      <c r="J38" s="607"/>
      <c r="K38" s="607"/>
      <c r="L38" s="608"/>
    </row>
    <row r="39" spans="2:12">
      <c r="B39" s="604"/>
      <c r="C39" s="604"/>
      <c r="D39" s="683" t="s">
        <v>904</v>
      </c>
      <c r="E39" s="605"/>
      <c r="F39" s="609" t="s">
        <v>112</v>
      </c>
      <c r="G39" s="607"/>
      <c r="H39" s="607"/>
      <c r="I39" s="607">
        <f>H39</f>
        <v>0</v>
      </c>
      <c r="J39" s="607"/>
      <c r="K39" s="607"/>
      <c r="L39" s="608"/>
    </row>
    <row r="40" spans="2:12">
      <c r="B40" s="604"/>
      <c r="C40" s="604"/>
      <c r="D40" s="683"/>
      <c r="E40" s="605"/>
      <c r="F40" s="609"/>
      <c r="G40" s="607"/>
      <c r="H40" s="607"/>
      <c r="I40" s="607"/>
      <c r="J40" s="607"/>
      <c r="K40" s="607"/>
      <c r="L40" s="608"/>
    </row>
    <row r="41" spans="2:12">
      <c r="B41" s="604"/>
      <c r="C41" s="604"/>
      <c r="D41" s="683"/>
      <c r="E41" s="605"/>
      <c r="F41" s="609"/>
      <c r="G41" s="607"/>
      <c r="H41" s="607"/>
      <c r="I41" s="607"/>
      <c r="J41" s="607"/>
      <c r="K41" s="607"/>
      <c r="L41" s="608"/>
    </row>
    <row r="42" spans="2:12">
      <c r="B42" s="604"/>
      <c r="C42" s="604"/>
      <c r="D42" s="683"/>
      <c r="E42" s="605"/>
      <c r="F42" s="609"/>
      <c r="G42" s="607"/>
      <c r="H42" s="607"/>
      <c r="I42" s="607"/>
      <c r="J42" s="607"/>
      <c r="K42" s="607"/>
      <c r="L42" s="608"/>
    </row>
    <row r="43" spans="2:12">
      <c r="B43" s="598"/>
      <c r="C43" s="598"/>
      <c r="D43" s="682"/>
      <c r="E43" s="599"/>
      <c r="F43" s="807"/>
      <c r="G43" s="601"/>
      <c r="H43" s="601"/>
      <c r="I43" s="601"/>
      <c r="J43" s="601"/>
      <c r="K43" s="601"/>
      <c r="L43" s="602"/>
    </row>
    <row r="44" spans="2:12">
      <c r="B44" s="604"/>
      <c r="C44" s="604"/>
      <c r="D44" s="683"/>
      <c r="E44" s="605"/>
      <c r="F44" s="609"/>
      <c r="G44" s="607"/>
      <c r="H44" s="607"/>
      <c r="I44" s="607"/>
      <c r="J44" s="607"/>
      <c r="K44" s="607"/>
      <c r="L44" s="608"/>
    </row>
    <row r="45" spans="2:12">
      <c r="B45" s="603" t="s">
        <v>1289</v>
      </c>
      <c r="C45" s="604"/>
      <c r="D45" s="683" t="s">
        <v>818</v>
      </c>
      <c r="E45" s="605" t="s">
        <v>359</v>
      </c>
      <c r="F45" s="609"/>
      <c r="G45" s="607"/>
      <c r="H45" s="607"/>
      <c r="I45" s="607"/>
      <c r="J45" s="607"/>
      <c r="K45" s="607"/>
      <c r="L45" s="608"/>
    </row>
    <row r="46" spans="2:12">
      <c r="B46" s="604"/>
      <c r="C46" s="604"/>
      <c r="D46" s="683" t="s">
        <v>819</v>
      </c>
      <c r="E46" s="605" t="s">
        <v>1290</v>
      </c>
      <c r="F46" s="609"/>
      <c r="G46" s="607"/>
      <c r="H46" s="607"/>
      <c r="I46" s="607"/>
      <c r="J46" s="607"/>
      <c r="K46" s="607"/>
      <c r="L46" s="608"/>
    </row>
    <row r="47" spans="2:12">
      <c r="B47" s="604"/>
      <c r="C47" s="604"/>
      <c r="D47" s="683" t="s">
        <v>1351</v>
      </c>
      <c r="E47" s="605" t="s">
        <v>1352</v>
      </c>
      <c r="F47" s="609"/>
      <c r="G47" s="607"/>
      <c r="H47" s="607"/>
      <c r="I47" s="607"/>
      <c r="J47" s="607"/>
      <c r="K47" s="607"/>
      <c r="L47" s="608"/>
    </row>
    <row r="48" spans="2:12">
      <c r="B48" s="604"/>
      <c r="C48" s="604"/>
      <c r="D48" s="683"/>
      <c r="E48" s="605"/>
      <c r="F48" s="609"/>
      <c r="G48" s="607"/>
      <c r="H48" s="607"/>
      <c r="I48" s="607"/>
      <c r="J48" s="607"/>
      <c r="K48" s="607"/>
      <c r="L48" s="608"/>
    </row>
    <row r="49" spans="2:12">
      <c r="B49" s="604"/>
      <c r="C49" s="604"/>
      <c r="D49" s="683"/>
      <c r="E49" s="605"/>
      <c r="F49" s="609"/>
      <c r="G49" s="607"/>
      <c r="H49" s="607"/>
      <c r="I49" s="607"/>
      <c r="J49" s="607"/>
      <c r="K49" s="607"/>
      <c r="L49" s="608"/>
    </row>
    <row r="50" spans="2:12">
      <c r="B50" s="604"/>
      <c r="C50" s="604"/>
      <c r="D50" s="683" t="s">
        <v>879</v>
      </c>
      <c r="E50" s="605" t="s">
        <v>1419</v>
      </c>
      <c r="F50" s="609"/>
      <c r="G50" s="607"/>
      <c r="H50" s="607"/>
      <c r="I50" s="607">
        <f>-G50</f>
        <v>0</v>
      </c>
      <c r="J50" s="607"/>
      <c r="K50" s="607"/>
      <c r="L50" s="608"/>
    </row>
    <row r="51" spans="2:12">
      <c r="B51" s="808"/>
      <c r="C51" s="808"/>
      <c r="D51" s="809">
        <v>51800</v>
      </c>
      <c r="E51" s="810" t="s">
        <v>1420</v>
      </c>
      <c r="F51" s="609"/>
      <c r="G51" s="607"/>
      <c r="H51" s="811"/>
      <c r="I51" s="607">
        <f t="shared" ref="I51:I52" si="0">-G51</f>
        <v>0</v>
      </c>
      <c r="J51" s="811"/>
      <c r="K51" s="811"/>
      <c r="L51" s="812"/>
    </row>
    <row r="52" spans="2:12">
      <c r="B52" s="808"/>
      <c r="C52" s="808"/>
      <c r="D52" s="809" t="s">
        <v>884</v>
      </c>
      <c r="E52" s="810" t="s">
        <v>1421</v>
      </c>
      <c r="F52" s="609"/>
      <c r="G52" s="607"/>
      <c r="H52" s="811"/>
      <c r="I52" s="607">
        <f t="shared" si="0"/>
        <v>0</v>
      </c>
      <c r="J52" s="811"/>
      <c r="K52" s="811"/>
      <c r="L52" s="812"/>
    </row>
    <row r="53" spans="2:12">
      <c r="B53" s="604"/>
      <c r="C53" s="604"/>
      <c r="D53" s="683" t="s">
        <v>906</v>
      </c>
      <c r="E53" s="605" t="s">
        <v>25</v>
      </c>
      <c r="F53" s="609"/>
      <c r="G53" s="607"/>
      <c r="H53" s="607"/>
      <c r="I53" s="607">
        <f>-G53</f>
        <v>0</v>
      </c>
      <c r="J53" s="607"/>
      <c r="K53" s="607"/>
      <c r="L53" s="608"/>
    </row>
    <row r="54" spans="2:12">
      <c r="B54" s="604"/>
      <c r="C54" s="604"/>
      <c r="D54" s="683" t="s">
        <v>903</v>
      </c>
      <c r="E54" s="605"/>
      <c r="F54" s="609" t="s">
        <v>208</v>
      </c>
      <c r="G54" s="607"/>
      <c r="H54" s="607"/>
      <c r="I54" s="607">
        <f>H54</f>
        <v>0</v>
      </c>
      <c r="J54" s="607"/>
      <c r="K54" s="607"/>
      <c r="L54" s="608"/>
    </row>
    <row r="55" spans="2:12">
      <c r="B55" s="604"/>
      <c r="C55" s="604"/>
      <c r="D55" s="683" t="s">
        <v>841</v>
      </c>
      <c r="E55" s="605"/>
      <c r="F55" s="609" t="s">
        <v>638</v>
      </c>
      <c r="G55" s="607"/>
      <c r="H55" s="607"/>
      <c r="I55" s="607"/>
      <c r="J55" s="607"/>
      <c r="K55" s="607"/>
      <c r="L55" s="608"/>
    </row>
    <row r="56" spans="2:12">
      <c r="B56" s="604"/>
      <c r="C56" s="604"/>
      <c r="D56" s="683" t="s">
        <v>851</v>
      </c>
      <c r="E56" s="605"/>
      <c r="F56" s="609" t="s">
        <v>437</v>
      </c>
      <c r="G56" s="607"/>
      <c r="H56" s="607"/>
      <c r="I56" s="607"/>
      <c r="J56" s="607"/>
      <c r="K56" s="607"/>
      <c r="L56" s="608"/>
    </row>
    <row r="57" spans="2:12">
      <c r="B57" s="604"/>
      <c r="C57" s="604"/>
      <c r="D57" s="683" t="s">
        <v>864</v>
      </c>
      <c r="E57" s="605" t="s">
        <v>70</v>
      </c>
      <c r="F57" s="609"/>
      <c r="G57" s="607"/>
      <c r="H57" s="607"/>
      <c r="I57" s="607"/>
      <c r="J57" s="607"/>
      <c r="K57" s="607"/>
      <c r="L57" s="608"/>
    </row>
    <row r="58" spans="2:12">
      <c r="B58" s="604"/>
      <c r="C58" s="604"/>
      <c r="D58" s="683"/>
      <c r="E58" s="605"/>
      <c r="F58" s="609"/>
      <c r="G58" s="607"/>
      <c r="H58" s="607"/>
      <c r="I58" s="607"/>
      <c r="J58" s="607"/>
      <c r="K58" s="607"/>
      <c r="L58" s="608"/>
    </row>
    <row r="59" spans="2:12">
      <c r="B59" s="598"/>
      <c r="C59" s="598"/>
      <c r="D59" s="682"/>
      <c r="E59" s="599"/>
      <c r="F59" s="807"/>
      <c r="G59" s="601"/>
      <c r="H59" s="601"/>
      <c r="I59" s="601"/>
      <c r="J59" s="601"/>
      <c r="K59" s="601"/>
      <c r="L59" s="602"/>
    </row>
    <row r="60" spans="2:12">
      <c r="B60" s="604"/>
      <c r="C60" s="604"/>
      <c r="D60" s="683"/>
      <c r="E60" s="605"/>
      <c r="F60" s="609"/>
      <c r="G60" s="607"/>
      <c r="H60" s="607"/>
      <c r="I60" s="607"/>
      <c r="J60" s="607"/>
      <c r="K60" s="607"/>
      <c r="L60" s="608"/>
    </row>
    <row r="61" spans="2:12">
      <c r="B61" s="603" t="s">
        <v>1291</v>
      </c>
      <c r="C61" s="604"/>
      <c r="D61" s="683" t="s">
        <v>867</v>
      </c>
      <c r="E61" s="605" t="s">
        <v>181</v>
      </c>
      <c r="F61" s="609"/>
      <c r="G61" s="607"/>
      <c r="H61" s="607"/>
      <c r="I61" s="607">
        <f>-G61</f>
        <v>0</v>
      </c>
      <c r="J61" s="607"/>
      <c r="K61" s="607"/>
      <c r="L61" s="608"/>
    </row>
    <row r="62" spans="2:12">
      <c r="B62" s="604"/>
      <c r="C62" s="604"/>
      <c r="D62" s="683" t="s">
        <v>864</v>
      </c>
      <c r="E62" s="605" t="s">
        <v>70</v>
      </c>
      <c r="F62" s="609"/>
      <c r="G62" s="607"/>
      <c r="H62" s="607"/>
      <c r="I62" s="607"/>
      <c r="J62" s="607"/>
      <c r="K62" s="607"/>
      <c r="L62" s="608"/>
    </row>
    <row r="63" spans="2:12">
      <c r="B63" s="604"/>
      <c r="C63" s="604"/>
      <c r="D63" s="683" t="s">
        <v>867</v>
      </c>
      <c r="E63" s="605" t="s">
        <v>181</v>
      </c>
      <c r="F63" s="609"/>
      <c r="G63" s="607"/>
      <c r="H63" s="607"/>
      <c r="I63" s="607">
        <f>-G63</f>
        <v>0</v>
      </c>
      <c r="J63" s="607"/>
      <c r="K63" s="607"/>
      <c r="L63" s="608"/>
    </row>
    <row r="64" spans="2:12">
      <c r="B64" s="604"/>
      <c r="C64" s="604"/>
      <c r="D64" s="683" t="s">
        <v>867</v>
      </c>
      <c r="E64" s="605" t="s">
        <v>181</v>
      </c>
      <c r="F64" s="609"/>
      <c r="G64" s="607"/>
      <c r="H64" s="607"/>
      <c r="I64" s="607">
        <f t="shared" ref="I64:I68" si="1">-G64</f>
        <v>0</v>
      </c>
      <c r="J64" s="607"/>
      <c r="K64" s="607"/>
      <c r="L64" s="608"/>
    </row>
    <row r="65" spans="2:12">
      <c r="B65" s="604"/>
      <c r="C65" s="604"/>
      <c r="D65" s="683" t="s">
        <v>867</v>
      </c>
      <c r="E65" s="605" t="s">
        <v>181</v>
      </c>
      <c r="F65" s="609"/>
      <c r="G65" s="607"/>
      <c r="H65" s="607"/>
      <c r="I65" s="607">
        <f t="shared" si="1"/>
        <v>0</v>
      </c>
      <c r="J65" s="607"/>
      <c r="K65" s="607"/>
      <c r="L65" s="608"/>
    </row>
    <row r="66" spans="2:12">
      <c r="B66" s="604"/>
      <c r="C66" s="604"/>
      <c r="D66" s="683" t="s">
        <v>867</v>
      </c>
      <c r="E66" s="605" t="s">
        <v>181</v>
      </c>
      <c r="F66" s="609"/>
      <c r="G66" s="607"/>
      <c r="H66" s="607"/>
      <c r="I66" s="607">
        <f t="shared" si="1"/>
        <v>0</v>
      </c>
      <c r="J66" s="607"/>
      <c r="K66" s="607"/>
      <c r="L66" s="608"/>
    </row>
    <row r="67" spans="2:12">
      <c r="B67" s="604"/>
      <c r="C67" s="604"/>
      <c r="D67" s="683" t="s">
        <v>767</v>
      </c>
      <c r="E67" s="605" t="s">
        <v>60</v>
      </c>
      <c r="F67" s="609"/>
      <c r="G67" s="607"/>
      <c r="H67" s="607"/>
      <c r="I67" s="607"/>
      <c r="J67" s="607"/>
      <c r="K67" s="607"/>
      <c r="L67" s="608"/>
    </row>
    <row r="68" spans="2:12">
      <c r="B68" s="604"/>
      <c r="C68" s="604"/>
      <c r="D68" s="683" t="s">
        <v>1340</v>
      </c>
      <c r="E68" s="605" t="s">
        <v>103</v>
      </c>
      <c r="F68" s="609"/>
      <c r="G68" s="607"/>
      <c r="H68" s="607"/>
      <c r="I68" s="607">
        <f t="shared" si="1"/>
        <v>0</v>
      </c>
      <c r="J68" s="607"/>
      <c r="K68" s="607"/>
      <c r="L68" s="608"/>
    </row>
    <row r="69" spans="2:12">
      <c r="B69" s="808"/>
      <c r="C69" s="808"/>
      <c r="D69" s="809" t="s">
        <v>835</v>
      </c>
      <c r="E69" s="810" t="s">
        <v>7</v>
      </c>
      <c r="F69" s="609"/>
      <c r="G69" s="811"/>
      <c r="H69" s="811"/>
      <c r="I69" s="811"/>
      <c r="J69" s="811"/>
      <c r="K69" s="811"/>
      <c r="L69" s="812"/>
    </row>
    <row r="70" spans="2:12">
      <c r="B70" s="808"/>
      <c r="C70" s="808"/>
      <c r="D70" s="809" t="s">
        <v>864</v>
      </c>
      <c r="E70" s="810"/>
      <c r="F70" s="609" t="s">
        <v>70</v>
      </c>
      <c r="G70" s="811"/>
      <c r="H70" s="811"/>
      <c r="I70" s="811"/>
      <c r="J70" s="811"/>
      <c r="K70" s="811"/>
      <c r="L70" s="812"/>
    </row>
    <row r="71" spans="2:12">
      <c r="B71" s="604"/>
      <c r="C71" s="604"/>
      <c r="D71" s="683" t="s">
        <v>835</v>
      </c>
      <c r="E71" s="605"/>
      <c r="F71" s="609" t="s">
        <v>1271</v>
      </c>
      <c r="G71" s="607"/>
      <c r="H71" s="607"/>
      <c r="I71" s="607"/>
      <c r="J71" s="607"/>
      <c r="K71" s="607"/>
      <c r="L71" s="608"/>
    </row>
    <row r="72" spans="2:12">
      <c r="B72" s="604"/>
      <c r="C72" s="604"/>
      <c r="D72" s="683">
        <v>55000</v>
      </c>
      <c r="E72" s="605"/>
      <c r="F72" s="609" t="s">
        <v>103</v>
      </c>
      <c r="G72" s="607"/>
      <c r="H72" s="607"/>
      <c r="I72" s="607">
        <f t="shared" ref="I72:I77" si="2">H72</f>
        <v>0</v>
      </c>
      <c r="J72" s="607"/>
      <c r="K72" s="607"/>
      <c r="L72" s="608"/>
    </row>
    <row r="73" spans="2:12">
      <c r="B73" s="604"/>
      <c r="C73" s="604"/>
      <c r="D73" s="683" t="s">
        <v>896</v>
      </c>
      <c r="E73" s="605"/>
      <c r="F73" s="609" t="s">
        <v>206</v>
      </c>
      <c r="G73" s="607"/>
      <c r="H73" s="607"/>
      <c r="I73" s="607">
        <f t="shared" si="2"/>
        <v>0</v>
      </c>
      <c r="J73" s="607"/>
      <c r="K73" s="607"/>
      <c r="L73" s="608"/>
    </row>
    <row r="74" spans="2:12">
      <c r="B74" s="604"/>
      <c r="C74" s="604"/>
      <c r="D74" s="683" t="s">
        <v>896</v>
      </c>
      <c r="E74" s="605"/>
      <c r="F74" s="609" t="s">
        <v>206</v>
      </c>
      <c r="G74" s="607"/>
      <c r="H74" s="607"/>
      <c r="I74" s="607">
        <f t="shared" si="2"/>
        <v>0</v>
      </c>
      <c r="J74" s="607"/>
      <c r="K74" s="607"/>
      <c r="L74" s="608"/>
    </row>
    <row r="75" spans="2:12">
      <c r="B75" s="604"/>
      <c r="C75" s="604"/>
      <c r="D75" s="683" t="s">
        <v>896</v>
      </c>
      <c r="E75" s="605"/>
      <c r="F75" s="609" t="s">
        <v>206</v>
      </c>
      <c r="G75" s="607"/>
      <c r="H75" s="607"/>
      <c r="I75" s="607">
        <f t="shared" si="2"/>
        <v>0</v>
      </c>
      <c r="J75" s="607"/>
      <c r="K75" s="607"/>
      <c r="L75" s="608"/>
    </row>
    <row r="76" spans="2:12">
      <c r="B76" s="604"/>
      <c r="C76" s="604"/>
      <c r="D76" s="683" t="s">
        <v>896</v>
      </c>
      <c r="E76" s="605"/>
      <c r="F76" s="609" t="s">
        <v>206</v>
      </c>
      <c r="G76" s="607"/>
      <c r="H76" s="607"/>
      <c r="I76" s="607">
        <f t="shared" si="2"/>
        <v>0</v>
      </c>
      <c r="J76" s="607"/>
      <c r="K76" s="607"/>
      <c r="L76" s="608"/>
    </row>
    <row r="77" spans="2:12">
      <c r="B77" s="604"/>
      <c r="C77" s="604"/>
      <c r="D77" s="683" t="s">
        <v>867</v>
      </c>
      <c r="E77" s="605"/>
      <c r="F77" s="609" t="s">
        <v>181</v>
      </c>
      <c r="G77" s="607"/>
      <c r="H77" s="607"/>
      <c r="I77" s="607">
        <f t="shared" si="2"/>
        <v>0</v>
      </c>
      <c r="J77" s="607"/>
      <c r="K77" s="607"/>
      <c r="L77" s="608"/>
    </row>
    <row r="78" spans="2:12">
      <c r="B78" s="604"/>
      <c r="C78" s="604"/>
      <c r="D78" s="683" t="s">
        <v>789</v>
      </c>
      <c r="E78" s="605"/>
      <c r="F78" s="609" t="s">
        <v>63</v>
      </c>
      <c r="G78" s="607"/>
      <c r="H78" s="607"/>
      <c r="I78" s="607"/>
      <c r="J78" s="607"/>
      <c r="K78" s="607"/>
      <c r="L78" s="608"/>
    </row>
    <row r="79" spans="2:12">
      <c r="B79" s="598"/>
      <c r="C79" s="598"/>
      <c r="D79" s="682"/>
      <c r="E79" s="599"/>
      <c r="F79" s="807"/>
      <c r="G79" s="601"/>
      <c r="H79" s="601"/>
      <c r="I79" s="601"/>
      <c r="J79" s="601"/>
      <c r="K79" s="601"/>
      <c r="L79" s="602"/>
    </row>
    <row r="80" spans="2:12">
      <c r="B80" s="604"/>
      <c r="C80" s="604"/>
      <c r="D80" s="683"/>
      <c r="E80" s="605"/>
      <c r="F80" s="609"/>
      <c r="G80" s="607"/>
      <c r="H80" s="607"/>
      <c r="I80" s="607"/>
      <c r="J80" s="607"/>
      <c r="K80" s="607"/>
      <c r="L80" s="608"/>
    </row>
    <row r="81" spans="2:12">
      <c r="B81" s="603" t="s">
        <v>1292</v>
      </c>
      <c r="C81" s="604"/>
      <c r="D81" s="683"/>
      <c r="E81" s="605"/>
      <c r="F81" s="609"/>
      <c r="G81" s="607"/>
      <c r="H81" s="607"/>
      <c r="I81" s="607"/>
      <c r="J81" s="607"/>
      <c r="K81" s="607"/>
      <c r="L81" s="608"/>
    </row>
    <row r="82" spans="2:12">
      <c r="B82" s="604"/>
      <c r="C82" s="604"/>
      <c r="D82" s="683" t="s">
        <v>893</v>
      </c>
      <c r="E82" s="605" t="s">
        <v>109</v>
      </c>
      <c r="F82" s="609"/>
      <c r="G82" s="607"/>
      <c r="H82" s="607"/>
      <c r="I82" s="607">
        <f>-G82</f>
        <v>0</v>
      </c>
      <c r="J82" s="607"/>
      <c r="K82" s="607"/>
      <c r="L82" s="608"/>
    </row>
    <row r="83" spans="2:12">
      <c r="B83" s="604"/>
      <c r="C83" s="604"/>
      <c r="D83" s="683" t="s">
        <v>768</v>
      </c>
      <c r="E83" s="605"/>
      <c r="F83" s="609" t="s">
        <v>417</v>
      </c>
      <c r="G83" s="607"/>
      <c r="H83" s="607"/>
      <c r="I83" s="607"/>
      <c r="J83" s="607"/>
      <c r="K83" s="607"/>
      <c r="L83" s="608"/>
    </row>
    <row r="84" spans="2:12">
      <c r="B84" s="604"/>
      <c r="C84" s="604"/>
      <c r="D84" s="683"/>
      <c r="E84" s="605"/>
      <c r="F84" s="609"/>
      <c r="G84" s="607"/>
      <c r="H84" s="607"/>
      <c r="I84" s="607"/>
      <c r="J84" s="607"/>
      <c r="K84" s="607"/>
      <c r="L84" s="608"/>
    </row>
    <row r="85" spans="2:12">
      <c r="B85" s="813"/>
      <c r="C85" s="813"/>
      <c r="D85" s="814"/>
      <c r="E85" s="815"/>
      <c r="F85" s="807"/>
      <c r="G85" s="816"/>
      <c r="H85" s="816"/>
      <c r="I85" s="816"/>
      <c r="J85" s="816"/>
      <c r="K85" s="816"/>
      <c r="L85" s="817"/>
    </row>
    <row r="86" spans="2:12">
      <c r="B86" s="808"/>
      <c r="C86" s="808"/>
      <c r="D86" s="809"/>
      <c r="E86" s="810"/>
      <c r="F86" s="609"/>
      <c r="G86" s="811"/>
      <c r="H86" s="811"/>
      <c r="I86" s="811"/>
      <c r="J86" s="811"/>
      <c r="K86" s="811"/>
      <c r="L86" s="812"/>
    </row>
    <row r="87" spans="2:12">
      <c r="B87" s="818" t="s">
        <v>1569</v>
      </c>
      <c r="C87" s="808"/>
      <c r="D87" s="809" t="s">
        <v>896</v>
      </c>
      <c r="E87" s="810" t="s">
        <v>1578</v>
      </c>
      <c r="F87" s="609"/>
      <c r="G87" s="811"/>
      <c r="H87" s="811"/>
      <c r="I87" s="811">
        <f>-G87</f>
        <v>0</v>
      </c>
      <c r="J87" s="811"/>
      <c r="K87" s="811"/>
      <c r="L87" s="812"/>
    </row>
    <row r="88" spans="2:12">
      <c r="B88" s="808"/>
      <c r="C88" s="808"/>
      <c r="D88" s="809" t="s">
        <v>767</v>
      </c>
      <c r="E88" s="810"/>
      <c r="F88" s="609" t="s">
        <v>426</v>
      </c>
      <c r="G88" s="811"/>
      <c r="H88" s="811"/>
      <c r="I88" s="811"/>
      <c r="J88" s="811"/>
      <c r="K88" s="811"/>
      <c r="L88" s="812"/>
    </row>
    <row r="89" spans="2:12">
      <c r="B89" s="808"/>
      <c r="C89" s="808"/>
      <c r="D89" s="809"/>
      <c r="E89" s="810"/>
      <c r="F89" s="609"/>
      <c r="G89" s="811"/>
      <c r="H89" s="811"/>
      <c r="I89" s="811"/>
      <c r="J89" s="811"/>
      <c r="K89" s="811"/>
      <c r="L89" s="812"/>
    </row>
    <row r="90" spans="2:12">
      <c r="B90" s="808"/>
      <c r="C90" s="808"/>
      <c r="D90" s="809" t="s">
        <v>893</v>
      </c>
      <c r="E90" s="810" t="s">
        <v>109</v>
      </c>
      <c r="F90" s="609"/>
      <c r="G90" s="811"/>
      <c r="H90" s="811"/>
      <c r="I90" s="811">
        <f>-G90</f>
        <v>0</v>
      </c>
      <c r="J90" s="811"/>
      <c r="K90" s="811"/>
      <c r="L90" s="812"/>
    </row>
    <row r="91" spans="2:12">
      <c r="B91" s="808"/>
      <c r="C91" s="808"/>
      <c r="D91" s="809" t="s">
        <v>768</v>
      </c>
      <c r="E91" s="810"/>
      <c r="F91" s="609" t="s">
        <v>1570</v>
      </c>
      <c r="G91" s="811"/>
      <c r="H91" s="811"/>
      <c r="I91" s="811"/>
      <c r="J91" s="811"/>
      <c r="K91" s="811"/>
      <c r="L91" s="812"/>
    </row>
    <row r="92" spans="2:12">
      <c r="B92" s="808"/>
      <c r="C92" s="808"/>
      <c r="D92" s="809" t="s">
        <v>864</v>
      </c>
      <c r="E92" s="810" t="s">
        <v>70</v>
      </c>
      <c r="F92" s="609"/>
      <c r="G92" s="811"/>
      <c r="H92" s="811"/>
      <c r="I92" s="811"/>
      <c r="J92" s="811"/>
      <c r="K92" s="811"/>
      <c r="L92" s="812"/>
    </row>
    <row r="93" spans="2:12">
      <c r="B93" s="808"/>
      <c r="C93" s="808"/>
      <c r="D93" s="809"/>
      <c r="E93" s="810"/>
      <c r="F93" s="609"/>
      <c r="G93" s="811"/>
      <c r="H93" s="811"/>
      <c r="I93" s="811"/>
      <c r="J93" s="811"/>
      <c r="K93" s="811"/>
      <c r="L93" s="812"/>
    </row>
    <row r="94" spans="2:12">
      <c r="B94" s="808"/>
      <c r="C94" s="808"/>
      <c r="D94" s="809" t="s">
        <v>893</v>
      </c>
      <c r="E94" s="810"/>
      <c r="F94" s="609" t="s">
        <v>109</v>
      </c>
      <c r="G94" s="811"/>
      <c r="H94" s="811"/>
      <c r="I94" s="811">
        <f>H94</f>
        <v>0</v>
      </c>
      <c r="J94" s="811"/>
      <c r="K94" s="811"/>
      <c r="L94" s="812"/>
    </row>
    <row r="95" spans="2:12">
      <c r="B95" s="808"/>
      <c r="C95" s="808"/>
      <c r="D95" s="809" t="s">
        <v>1656</v>
      </c>
      <c r="E95" s="810" t="s">
        <v>1659</v>
      </c>
      <c r="F95" s="609"/>
      <c r="G95" s="811"/>
      <c r="H95" s="811"/>
      <c r="I95" s="811">
        <f>-G95</f>
        <v>0</v>
      </c>
      <c r="J95" s="811"/>
      <c r="K95" s="811"/>
      <c r="L95" s="812"/>
    </row>
    <row r="96" spans="2:12">
      <c r="B96" s="604"/>
      <c r="C96" s="604"/>
      <c r="D96" s="683"/>
      <c r="E96" s="605"/>
      <c r="F96" s="609"/>
      <c r="G96" s="607"/>
      <c r="H96" s="607"/>
      <c r="I96" s="607"/>
      <c r="J96" s="607"/>
      <c r="K96" s="607"/>
      <c r="L96" s="608"/>
    </row>
    <row r="97" spans="2:13">
      <c r="B97" s="604"/>
      <c r="C97" s="604"/>
      <c r="D97" s="683"/>
      <c r="E97" s="605"/>
      <c r="F97" s="609"/>
      <c r="G97" s="607"/>
      <c r="H97" s="607"/>
      <c r="I97" s="607"/>
      <c r="J97" s="607"/>
      <c r="K97" s="607"/>
      <c r="L97" s="608"/>
    </row>
    <row r="98" spans="2:13">
      <c r="B98" s="604"/>
      <c r="C98" s="604"/>
      <c r="D98" s="683"/>
      <c r="E98" s="605"/>
      <c r="F98" s="609"/>
      <c r="G98" s="607"/>
      <c r="H98" s="607"/>
      <c r="I98" s="607"/>
      <c r="J98" s="607"/>
      <c r="K98" s="607"/>
      <c r="L98" s="608"/>
    </row>
    <row r="99" spans="2:13">
      <c r="B99" s="598"/>
      <c r="C99" s="598"/>
      <c r="D99" s="682"/>
      <c r="E99" s="599"/>
      <c r="F99" s="600"/>
      <c r="G99" s="601"/>
      <c r="H99" s="601"/>
      <c r="I99" s="601"/>
      <c r="J99" s="601"/>
      <c r="K99" s="601"/>
      <c r="L99" s="602"/>
    </row>
    <row r="100" spans="2:13">
      <c r="B100" s="610"/>
      <c r="C100" s="610"/>
      <c r="D100" s="611"/>
      <c r="E100" s="610"/>
      <c r="F100" s="610"/>
      <c r="G100" s="612">
        <f>SUM(G6:G99)</f>
        <v>0</v>
      </c>
      <c r="H100" s="612">
        <f>SUM(H6:H99)</f>
        <v>0</v>
      </c>
      <c r="I100" s="612">
        <f>SUM(I6:I99)</f>
        <v>0</v>
      </c>
      <c r="J100" s="612">
        <f>SUM(J6:J99)</f>
        <v>0</v>
      </c>
      <c r="K100" s="612">
        <f>SUM(K6:K99)</f>
        <v>0</v>
      </c>
      <c r="L100" s="610"/>
    </row>
    <row r="101" spans="2:13">
      <c r="H101" s="590" t="b">
        <f>H100=G100</f>
        <v>1</v>
      </c>
    </row>
    <row r="102" spans="2:13">
      <c r="K102" s="613">
        <f>SUM(I100:K100)</f>
        <v>0</v>
      </c>
    </row>
    <row r="103" spans="2:13">
      <c r="G103" s="614"/>
      <c r="H103" s="614"/>
      <c r="I103" s="614">
        <f>H103-G103</f>
        <v>0</v>
      </c>
    </row>
    <row r="105" spans="2:13">
      <c r="I105" s="590" t="s">
        <v>70</v>
      </c>
      <c r="J105" s="657">
        <f>SUMIFS(G6:G100,$E$6:$E$100,I105)</f>
        <v>0</v>
      </c>
      <c r="K105" s="657">
        <f>SUMIFS(H6:H100,$F$6:$F$100,I105)</f>
        <v>0</v>
      </c>
    </row>
    <row r="106" spans="2:13">
      <c r="J106" s="658">
        <f>K105-J105</f>
        <v>0</v>
      </c>
    </row>
    <row r="109" spans="2:13">
      <c r="J109" s="657">
        <f>SUMIFS(별도_AJE_25!G:G,별도_AJE_25!E:E,정산표!#REF!)</f>
        <v>0</v>
      </c>
    </row>
    <row r="110" spans="2:13" s="590" customFormat="1">
      <c r="B110" s="591"/>
      <c r="D110" s="592"/>
      <c r="H110" s="615"/>
      <c r="M110" s="591"/>
    </row>
    <row r="112" spans="2:13" s="590" customFormat="1">
      <c r="B112" s="591"/>
      <c r="D112" s="592"/>
      <c r="H112" s="616"/>
      <c r="M112" s="591"/>
    </row>
  </sheetData>
  <mergeCells count="4">
    <mergeCell ref="B4:B5"/>
    <mergeCell ref="C4:C5"/>
    <mergeCell ref="D4:D5"/>
    <mergeCell ref="L4:L5"/>
  </mergeCells>
  <phoneticPr fontId="232" type="noConversion"/>
  <pageMargins left="0.7" right="0.7" top="0.75" bottom="0.75" header="0.3" footer="0.3"/>
  <pageSetup paperSize="9" orientation="landscape" horizontalDpi="429496729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theme="1"/>
  </sheetPr>
  <dimension ref="A1"/>
  <sheetViews>
    <sheetView workbookViewId="0">
      <selection activeCell="K30" sqref="K30"/>
    </sheetView>
  </sheetViews>
  <sheetFormatPr defaultRowHeight="17.600000000000001"/>
  <sheetData/>
  <phoneticPr fontId="21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K17"/>
  <sheetViews>
    <sheetView showGridLines="0" zoomScaleNormal="100" workbookViewId="0">
      <selection activeCell="E11" sqref="E11:E14"/>
    </sheetView>
  </sheetViews>
  <sheetFormatPr defaultColWidth="8.5703125" defaultRowHeight="15"/>
  <cols>
    <col min="1" max="2" width="1.85546875" style="55" customWidth="1"/>
    <col min="3" max="3" width="1.5" style="55" customWidth="1"/>
    <col min="4" max="4" width="69.5" style="55" bestFit="1" customWidth="1"/>
    <col min="5" max="5" width="12.5" style="55" bestFit="1" customWidth="1"/>
    <col min="6" max="6" width="8.5703125" style="55"/>
    <col min="7" max="7" width="17.5703125" style="55" customWidth="1"/>
    <col min="8" max="9" width="8.5703125" style="55"/>
    <col min="10" max="10" width="9.140625" style="55" bestFit="1" customWidth="1"/>
    <col min="11" max="16384" width="8.5703125" style="55"/>
  </cols>
  <sheetData>
    <row r="2" spans="2:11">
      <c r="B2" s="54" t="s">
        <v>972</v>
      </c>
    </row>
    <row r="4" spans="2:11" ht="15.45" thickBot="1">
      <c r="D4" s="55" t="s">
        <v>973</v>
      </c>
    </row>
    <row r="5" spans="2:11" ht="15.45" thickBot="1">
      <c r="D5" s="55" t="s">
        <v>974</v>
      </c>
      <c r="E5" s="56">
        <v>5691</v>
      </c>
      <c r="F5" s="55" t="s">
        <v>975</v>
      </c>
      <c r="G5" s="55" t="s">
        <v>976</v>
      </c>
      <c r="J5" s="56">
        <f>6285888+74495+5022000</f>
        <v>11382383</v>
      </c>
      <c r="K5" s="55" t="s">
        <v>978</v>
      </c>
    </row>
    <row r="6" spans="2:11">
      <c r="D6" s="55" t="s">
        <v>977</v>
      </c>
      <c r="E6" s="55" t="b">
        <f>ROUND(BS!E94/10^6,)=E5</f>
        <v>1</v>
      </c>
    </row>
    <row r="9" spans="2:11">
      <c r="D9" s="1248" t="s">
        <v>369</v>
      </c>
      <c r="E9" s="1250" t="s">
        <v>669</v>
      </c>
      <c r="F9" s="1251"/>
      <c r="G9" s="1252" t="s">
        <v>370</v>
      </c>
    </row>
    <row r="10" spans="2:11">
      <c r="D10" s="1249"/>
      <c r="E10" s="60" t="s">
        <v>371</v>
      </c>
      <c r="F10" s="60" t="s">
        <v>372</v>
      </c>
      <c r="G10" s="1253"/>
    </row>
    <row r="11" spans="2:11">
      <c r="D11" s="57" t="s">
        <v>1990</v>
      </c>
      <c r="E11" s="953">
        <v>8197453</v>
      </c>
      <c r="F11" s="1332">
        <f>E11/E$14</f>
        <v>0.72018776735943602</v>
      </c>
      <c r="G11" s="954" t="s">
        <v>1991</v>
      </c>
    </row>
    <row r="12" spans="2:11">
      <c r="D12" s="57" t="s">
        <v>2391</v>
      </c>
      <c r="E12" s="953">
        <v>600</v>
      </c>
      <c r="F12" s="1332">
        <f>E12/E$14</f>
        <v>5.2713039088563442E-5</v>
      </c>
      <c r="G12" s="954" t="s">
        <v>373</v>
      </c>
    </row>
    <row r="13" spans="2:11">
      <c r="D13" s="57" t="s">
        <v>374</v>
      </c>
      <c r="E13" s="953">
        <v>3184330</v>
      </c>
      <c r="F13" s="1332">
        <f>E13/E$14</f>
        <v>0.27975951960147538</v>
      </c>
      <c r="G13" s="954"/>
    </row>
    <row r="14" spans="2:11">
      <c r="D14" s="58" t="s">
        <v>268</v>
      </c>
      <c r="E14" s="73">
        <f>SUM(E11:E13)</f>
        <v>11382383</v>
      </c>
      <c r="F14" s="937">
        <f>E14/E$14</f>
        <v>1</v>
      </c>
      <c r="G14" s="59"/>
    </row>
    <row r="15" spans="2:11">
      <c r="E15" s="55" t="b">
        <f>SUM(E11:E13)=J5</f>
        <v>1</v>
      </c>
    </row>
    <row r="17" spans="5:5">
      <c r="E17" s="55">
        <f>E14-J5</f>
        <v>0</v>
      </c>
    </row>
  </sheetData>
  <mergeCells count="3">
    <mergeCell ref="D9:D10"/>
    <mergeCell ref="E9:F9"/>
    <mergeCell ref="G9:G10"/>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6D7E939-A620-4D2E-9647-0234E5E1E7D6}">
            <xm:f>NOT(ISERROR(SEARCH("FALSE",A1)))</xm:f>
            <xm:f>"FALSE"</xm:f>
            <x14:dxf>
              <fill>
                <patternFill>
                  <bgColor theme="5"/>
                </patternFill>
              </fill>
            </x14:dxf>
          </x14:cfRule>
          <x14:cfRule type="containsText" priority="2" operator="containsText" id="{69734944-DF43-4CA5-9859-095A4AA4C86B}">
            <xm:f>NOT(ISERROR(SEARCH("TRUE",A1)))</xm:f>
            <xm:f>"TRUE"</xm:f>
            <x14:dxf>
              <fill>
                <patternFill>
                  <bgColor theme="9" tint="0.79998168889431442"/>
                </patternFill>
              </fill>
            </x14:dxf>
          </x14:cfRule>
          <xm:sqref>A18:F18 H18:XFD18 A19:XFD1048576 A1:XFD17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B2:D4"/>
  <sheetViews>
    <sheetView showGridLines="0" workbookViewId="0">
      <selection activeCell="H25" sqref="H25"/>
    </sheetView>
  </sheetViews>
  <sheetFormatPr defaultColWidth="8.5703125" defaultRowHeight="15"/>
  <cols>
    <col min="1" max="2" width="1.85546875" style="55" customWidth="1"/>
    <col min="3" max="3" width="1.5" style="55" customWidth="1"/>
    <col min="4" max="4" width="69.5" style="55" bestFit="1" customWidth="1"/>
    <col min="5" max="5" width="12.5" style="55" bestFit="1" customWidth="1"/>
    <col min="6" max="6" width="8.5703125" style="55"/>
    <col min="7" max="7" width="17.5703125" style="55" customWidth="1"/>
    <col min="8" max="16384" width="8.5703125" style="55"/>
  </cols>
  <sheetData>
    <row r="2" spans="2:4">
      <c r="B2" s="54" t="s">
        <v>979</v>
      </c>
    </row>
    <row r="4" spans="2:4">
      <c r="D4" s="61" t="s">
        <v>980</v>
      </c>
    </row>
  </sheetData>
  <phoneticPr fontId="21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B2:D4"/>
  <sheetViews>
    <sheetView showGridLines="0" workbookViewId="0">
      <selection activeCell="H25" sqref="H25"/>
    </sheetView>
  </sheetViews>
  <sheetFormatPr defaultColWidth="8.5703125" defaultRowHeight="15"/>
  <cols>
    <col min="1" max="2" width="1.85546875" style="55" customWidth="1"/>
    <col min="3" max="3" width="1.5" style="55" customWidth="1"/>
    <col min="4" max="4" width="69.5" style="55" bestFit="1" customWidth="1"/>
    <col min="5" max="5" width="12.5" style="55" bestFit="1" customWidth="1"/>
    <col min="6" max="6" width="8.5703125" style="55"/>
    <col min="7" max="7" width="17.5703125" style="55" customWidth="1"/>
    <col min="8" max="16384" width="8.5703125" style="55"/>
  </cols>
  <sheetData>
    <row r="2" spans="2:4">
      <c r="B2" s="54" t="s">
        <v>981</v>
      </c>
    </row>
    <row r="4" spans="2:4">
      <c r="D4" s="61" t="s">
        <v>980</v>
      </c>
    </row>
  </sheetData>
  <phoneticPr fontId="21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B2:W97"/>
  <sheetViews>
    <sheetView showGridLines="0" topLeftCell="A70" zoomScale="85" zoomScaleNormal="85" workbookViewId="0">
      <selection activeCell="E80" sqref="E80:E82"/>
    </sheetView>
  </sheetViews>
  <sheetFormatPr defaultColWidth="8.5703125" defaultRowHeight="15" outlineLevelRow="1"/>
  <cols>
    <col min="1" max="2" width="1.85546875" style="55" customWidth="1"/>
    <col min="3" max="3" width="1.5" style="55" customWidth="1"/>
    <col min="4" max="4" width="28.5703125" style="55" customWidth="1"/>
    <col min="5" max="5" width="15.0703125" style="55" customWidth="1"/>
    <col min="6" max="9" width="17.5703125" style="55" customWidth="1"/>
    <col min="10" max="10" width="13.5" style="55" customWidth="1"/>
    <col min="11" max="11" width="13.140625" style="55" customWidth="1"/>
    <col min="12" max="12" width="11.42578125" style="55" bestFit="1" customWidth="1"/>
    <col min="13" max="13" width="8.5703125" style="55"/>
    <col min="14" max="14" width="9.92578125" style="55" bestFit="1" customWidth="1"/>
    <col min="15" max="15" width="9.85546875" style="55" bestFit="1" customWidth="1"/>
    <col min="16" max="16" width="9.140625" style="55" bestFit="1" customWidth="1"/>
    <col min="17" max="17" width="8.5703125" style="55"/>
    <col min="18" max="19" width="9.140625" style="55" bestFit="1" customWidth="1"/>
    <col min="20" max="16384" width="8.5703125" style="55"/>
  </cols>
  <sheetData>
    <row r="2" spans="2:22">
      <c r="B2" s="54" t="s">
        <v>982</v>
      </c>
    </row>
    <row r="4" spans="2:22">
      <c r="C4" s="55" t="s">
        <v>983</v>
      </c>
    </row>
    <row r="6" spans="2:22">
      <c r="D6" s="320" t="s">
        <v>375</v>
      </c>
      <c r="E6" s="63"/>
      <c r="F6" s="63"/>
      <c r="G6" s="63"/>
      <c r="H6" s="63"/>
      <c r="I6" s="63"/>
      <c r="J6" s="63"/>
      <c r="K6" s="63"/>
      <c r="L6" s="53"/>
      <c r="M6" s="53"/>
      <c r="N6" s="53"/>
      <c r="O6" s="63"/>
      <c r="P6" s="63"/>
      <c r="Q6" s="63"/>
      <c r="R6" s="63"/>
      <c r="S6" s="63"/>
      <c r="T6" s="63"/>
      <c r="U6" s="63"/>
      <c r="V6" s="63"/>
    </row>
    <row r="7" spans="2:22">
      <c r="D7" s="320"/>
      <c r="E7" s="63"/>
      <c r="F7" s="63"/>
      <c r="G7" s="63"/>
      <c r="H7" s="63"/>
      <c r="I7" s="63"/>
      <c r="J7" s="63"/>
      <c r="K7" s="63"/>
      <c r="L7" s="63"/>
      <c r="M7" s="53"/>
      <c r="N7" s="63">
        <f>'4'!H48+'4'!I48</f>
        <v>501992658</v>
      </c>
      <c r="O7" s="63"/>
      <c r="P7" s="63"/>
      <c r="Q7" s="63"/>
      <c r="R7" s="63"/>
      <c r="S7" s="63"/>
      <c r="T7" s="63"/>
      <c r="U7" s="63"/>
      <c r="V7" s="63"/>
    </row>
    <row r="8" spans="2:22" hidden="1" outlineLevel="1">
      <c r="D8" s="320" t="s">
        <v>376</v>
      </c>
      <c r="E8" s="63"/>
      <c r="F8" s="63"/>
      <c r="G8" s="63"/>
      <c r="H8" s="63"/>
      <c r="I8" s="63"/>
      <c r="J8" s="63"/>
      <c r="K8" s="63"/>
      <c r="L8" s="63"/>
      <c r="M8" s="63"/>
      <c r="N8" s="63"/>
      <c r="O8" s="63"/>
      <c r="P8" s="63"/>
      <c r="Q8" s="63"/>
      <c r="R8" s="63"/>
      <c r="S8" s="63"/>
      <c r="T8" s="63"/>
      <c r="U8" s="63"/>
      <c r="V8" s="63"/>
    </row>
    <row r="9" spans="2:22" hidden="1" outlineLevel="1">
      <c r="D9" s="63"/>
      <c r="E9" s="63"/>
      <c r="F9" s="63"/>
      <c r="H9" s="63"/>
      <c r="I9" s="210" t="s">
        <v>236</v>
      </c>
      <c r="J9" s="63"/>
      <c r="K9" s="63"/>
      <c r="L9" s="115"/>
      <c r="M9" s="63"/>
      <c r="N9" s="63"/>
      <c r="O9" s="63"/>
      <c r="P9" s="63"/>
      <c r="Q9" s="63"/>
      <c r="R9" s="63"/>
      <c r="S9" s="63"/>
      <c r="T9" s="63"/>
      <c r="U9" s="63"/>
      <c r="V9" s="63"/>
    </row>
    <row r="10" spans="2:22" hidden="1" outlineLevel="1">
      <c r="D10" s="1254" t="s">
        <v>237</v>
      </c>
      <c r="E10" s="1254" t="s">
        <v>522</v>
      </c>
      <c r="F10" s="201" t="s">
        <v>1857</v>
      </c>
      <c r="G10" s="201"/>
      <c r="H10" s="201" t="s">
        <v>505</v>
      </c>
      <c r="I10" s="201"/>
      <c r="J10" s="1118"/>
      <c r="K10" s="738" t="s">
        <v>1553</v>
      </c>
      <c r="L10" s="738" t="s">
        <v>1554</v>
      </c>
      <c r="M10" s="63"/>
      <c r="N10" s="63"/>
      <c r="O10" s="63"/>
      <c r="P10" s="63"/>
      <c r="Q10" s="63"/>
      <c r="R10" s="63"/>
      <c r="S10" s="63"/>
      <c r="T10" s="63"/>
      <c r="U10" s="63"/>
      <c r="V10" s="63"/>
    </row>
    <row r="11" spans="2:22" hidden="1" outlineLevel="1">
      <c r="D11" s="1254"/>
      <c r="E11" s="1254"/>
      <c r="F11" s="200" t="s">
        <v>523</v>
      </c>
      <c r="G11" s="200" t="s">
        <v>524</v>
      </c>
      <c r="H11" s="200" t="s">
        <v>523</v>
      </c>
      <c r="I11" s="200" t="s">
        <v>524</v>
      </c>
      <c r="J11" s="1118"/>
      <c r="K11" s="738" t="s">
        <v>654</v>
      </c>
      <c r="L11" s="739">
        <v>1685.72</v>
      </c>
      <c r="M11" s="63"/>
      <c r="N11" s="63"/>
      <c r="O11" s="63"/>
      <c r="P11" s="63"/>
      <c r="Q11" s="63"/>
      <c r="R11" s="63"/>
      <c r="S11" s="63"/>
      <c r="T11" s="63"/>
      <c r="U11" s="63"/>
      <c r="V11" s="63"/>
    </row>
    <row r="12" spans="2:22" hidden="1" outlineLevel="1">
      <c r="D12" s="1255" t="s">
        <v>246</v>
      </c>
      <c r="E12" s="76" t="s">
        <v>525</v>
      </c>
      <c r="F12" s="321">
        <v>132799.92000000001</v>
      </c>
      <c r="G12" s="321">
        <f t="shared" ref="G12:G18" si="0">ROUND(VLOOKUP($E12,$K$11:$L$17,2,0)*F12,)</f>
        <v>190554605</v>
      </c>
      <c r="H12" s="321">
        <v>1792.22</v>
      </c>
      <c r="I12" s="321">
        <v>2634563</v>
      </c>
      <c r="J12" s="1118">
        <f>G12/F12</f>
        <v>1434.8999984337338</v>
      </c>
      <c r="K12" s="738" t="s">
        <v>525</v>
      </c>
      <c r="L12" s="739">
        <v>1434.9</v>
      </c>
      <c r="M12" s="63"/>
      <c r="N12" s="63"/>
      <c r="O12" s="63"/>
      <c r="P12" s="63"/>
      <c r="Q12" s="63"/>
      <c r="R12" s="63"/>
      <c r="S12" s="63"/>
      <c r="T12" s="63"/>
      <c r="U12" s="63"/>
      <c r="V12" s="63"/>
    </row>
    <row r="13" spans="2:22" hidden="1" outlineLevel="1">
      <c r="D13" s="1256"/>
      <c r="E13" s="741" t="s">
        <v>654</v>
      </c>
      <c r="F13" s="742">
        <v>0</v>
      </c>
      <c r="G13" s="321">
        <f t="shared" si="0"/>
        <v>0</v>
      </c>
      <c r="H13" s="742">
        <v>0.02</v>
      </c>
      <c r="I13" s="742">
        <v>31</v>
      </c>
      <c r="J13" s="1118"/>
      <c r="K13" s="738" t="s">
        <v>1555</v>
      </c>
      <c r="L13" s="739">
        <v>1932.31</v>
      </c>
      <c r="M13" s="63"/>
      <c r="N13" s="63"/>
      <c r="O13" s="63"/>
      <c r="P13" s="63"/>
      <c r="Q13" s="63"/>
      <c r="R13" s="63"/>
      <c r="S13" s="63"/>
      <c r="T13" s="63"/>
      <c r="U13" s="63"/>
      <c r="V13" s="63"/>
    </row>
    <row r="14" spans="2:22" hidden="1" outlineLevel="1">
      <c r="D14" s="1256"/>
      <c r="E14" s="741" t="s">
        <v>1649</v>
      </c>
      <c r="F14" s="742">
        <v>0</v>
      </c>
      <c r="G14" s="321">
        <f t="shared" si="0"/>
        <v>0</v>
      </c>
      <c r="H14" s="742">
        <v>21000</v>
      </c>
      <c r="I14" s="742">
        <v>196661</v>
      </c>
      <c r="J14" s="1118"/>
      <c r="K14" s="738" t="s">
        <v>1556</v>
      </c>
      <c r="L14" s="739">
        <v>204.75980000000001</v>
      </c>
      <c r="M14" s="63"/>
      <c r="N14" s="63"/>
      <c r="O14" s="63"/>
      <c r="P14" s="63"/>
      <c r="Q14" s="63"/>
      <c r="R14" s="63"/>
      <c r="S14" s="63"/>
      <c r="T14" s="63"/>
      <c r="U14" s="63"/>
      <c r="V14" s="63"/>
    </row>
    <row r="15" spans="2:22" hidden="1" outlineLevel="1">
      <c r="D15" s="1257"/>
      <c r="E15" s="76" t="s">
        <v>1556</v>
      </c>
      <c r="F15" s="321">
        <v>3026.03</v>
      </c>
      <c r="G15" s="321">
        <f t="shared" si="0"/>
        <v>619609</v>
      </c>
      <c r="H15" s="321">
        <v>41420.129999999997</v>
      </c>
      <c r="I15" s="321">
        <v>8336630</v>
      </c>
      <c r="J15" s="1118">
        <f t="shared" ref="J15:J22" si="1">G15/F15</f>
        <v>204.75970165530413</v>
      </c>
      <c r="K15" s="738" t="s">
        <v>2032</v>
      </c>
      <c r="L15" s="740">
        <v>184.41</v>
      </c>
      <c r="M15" s="63"/>
      <c r="N15" s="63"/>
      <c r="O15" s="63"/>
      <c r="P15" s="63"/>
      <c r="Q15" s="63"/>
      <c r="R15" s="63"/>
      <c r="S15" s="63"/>
      <c r="T15" s="63"/>
      <c r="U15" s="63"/>
      <c r="V15" s="63"/>
    </row>
    <row r="16" spans="2:22" hidden="1" outlineLevel="1">
      <c r="D16" s="322" t="s">
        <v>761</v>
      </c>
      <c r="E16" s="76" t="s">
        <v>762</v>
      </c>
      <c r="F16" s="321"/>
      <c r="G16" s="321">
        <f t="shared" si="0"/>
        <v>0</v>
      </c>
      <c r="H16" s="321">
        <v>0</v>
      </c>
      <c r="I16" s="321">
        <v>0</v>
      </c>
      <c r="J16" s="1118"/>
      <c r="K16" s="738" t="s">
        <v>1649</v>
      </c>
      <c r="L16" s="739">
        <v>9.1762999999999995</v>
      </c>
      <c r="M16" s="63"/>
      <c r="N16" s="63"/>
      <c r="O16" s="63"/>
      <c r="P16" s="63"/>
      <c r="Q16" s="63"/>
      <c r="R16" s="63"/>
      <c r="S16" s="63"/>
      <c r="T16" s="63"/>
      <c r="U16" s="63"/>
      <c r="V16" s="63"/>
    </row>
    <row r="17" spans="4:22" hidden="1" outlineLevel="1">
      <c r="D17" s="1260" t="s">
        <v>60</v>
      </c>
      <c r="E17" s="76" t="s">
        <v>525</v>
      </c>
      <c r="F17" s="1125">
        <v>1075326.9900000002</v>
      </c>
      <c r="G17" s="321">
        <f t="shared" si="0"/>
        <v>1542986698</v>
      </c>
      <c r="H17" s="323">
        <v>646615.28000000014</v>
      </c>
      <c r="I17" s="323">
        <v>950524462</v>
      </c>
      <c r="J17" s="1118">
        <f t="shared" si="1"/>
        <v>1434.9000000455671</v>
      </c>
      <c r="K17" s="738" t="s">
        <v>2033</v>
      </c>
      <c r="L17" s="739">
        <v>1117.52</v>
      </c>
      <c r="M17" s="63"/>
      <c r="N17" s="63"/>
      <c r="O17" s="63"/>
      <c r="P17" s="63"/>
      <c r="Q17" s="63"/>
      <c r="R17" s="63"/>
      <c r="S17" s="63"/>
      <c r="T17" s="63"/>
      <c r="U17" s="63"/>
      <c r="V17" s="63"/>
    </row>
    <row r="18" spans="4:22" hidden="1" outlineLevel="1">
      <c r="D18" s="1257"/>
      <c r="E18" s="741" t="s">
        <v>1649</v>
      </c>
      <c r="F18" s="1125">
        <v>0</v>
      </c>
      <c r="G18" s="321">
        <f t="shared" si="0"/>
        <v>0</v>
      </c>
      <c r="H18" s="323"/>
      <c r="I18" s="323"/>
      <c r="J18" s="1118" t="e">
        <f t="shared" si="1"/>
        <v>#DIV/0!</v>
      </c>
      <c r="K18" s="63"/>
      <c r="L18" s="63"/>
      <c r="M18" s="63"/>
      <c r="N18" s="63"/>
      <c r="O18" s="63"/>
      <c r="P18" s="63"/>
      <c r="Q18" s="63"/>
      <c r="R18" s="63"/>
      <c r="S18" s="63"/>
      <c r="T18" s="63"/>
      <c r="U18" s="63"/>
      <c r="V18" s="63"/>
    </row>
    <row r="19" spans="4:22" hidden="1" outlineLevel="1">
      <c r="D19" s="1255" t="s">
        <v>256</v>
      </c>
      <c r="E19" s="741" t="s">
        <v>525</v>
      </c>
      <c r="F19" s="1121">
        <f>F12+F16+F17</f>
        <v>1208126.9100000001</v>
      </c>
      <c r="G19" s="1122">
        <f>G12+G16+G17</f>
        <v>1733541303</v>
      </c>
      <c r="H19" s="778">
        <v>648407.50000000012</v>
      </c>
      <c r="I19" s="778">
        <v>953159025</v>
      </c>
      <c r="J19" s="1118">
        <f t="shared" si="1"/>
        <v>1434.8999998683912</v>
      </c>
      <c r="K19" s="63"/>
      <c r="L19" s="63"/>
      <c r="M19" s="63"/>
      <c r="N19" s="63"/>
      <c r="O19" s="63"/>
      <c r="P19" s="63"/>
      <c r="Q19" s="63"/>
      <c r="R19" s="63"/>
      <c r="S19" s="63"/>
      <c r="T19" s="63"/>
      <c r="U19" s="63"/>
      <c r="V19" s="63"/>
    </row>
    <row r="20" spans="4:22" hidden="1" outlineLevel="1">
      <c r="D20" s="1256"/>
      <c r="E20" s="741" t="s">
        <v>1557</v>
      </c>
      <c r="F20" s="1121">
        <f>F13</f>
        <v>0</v>
      </c>
      <c r="G20" s="1123">
        <f>G13</f>
        <v>0</v>
      </c>
      <c r="H20" s="778">
        <v>0.02</v>
      </c>
      <c r="I20" s="778">
        <v>31</v>
      </c>
      <c r="J20" s="1118"/>
      <c r="K20" s="63"/>
      <c r="L20" s="63"/>
      <c r="M20" s="63"/>
      <c r="N20" s="63"/>
      <c r="O20" s="63"/>
      <c r="P20" s="63"/>
      <c r="Q20" s="63"/>
      <c r="R20" s="63"/>
      <c r="S20" s="63"/>
      <c r="T20" s="63"/>
      <c r="U20" s="63"/>
      <c r="V20" s="63"/>
    </row>
    <row r="21" spans="4:22" hidden="1" outlineLevel="1">
      <c r="D21" s="1256"/>
      <c r="E21" s="741" t="s">
        <v>1649</v>
      </c>
      <c r="F21" s="1124">
        <f>F14+F18</f>
        <v>0</v>
      </c>
      <c r="G21" s="1124">
        <f>G14+G18</f>
        <v>0</v>
      </c>
      <c r="H21" s="779">
        <v>21000</v>
      </c>
      <c r="I21" s="779">
        <v>196661</v>
      </c>
      <c r="J21" s="1118" t="e">
        <f t="shared" si="1"/>
        <v>#DIV/0!</v>
      </c>
      <c r="K21" s="63"/>
      <c r="L21" s="63"/>
      <c r="M21" s="63"/>
      <c r="N21" s="63"/>
      <c r="O21" s="63"/>
      <c r="P21" s="63"/>
      <c r="Q21" s="63"/>
      <c r="R21" s="63"/>
      <c r="S21" s="63"/>
      <c r="T21" s="63"/>
      <c r="U21" s="63"/>
      <c r="V21" s="63"/>
    </row>
    <row r="22" spans="4:22" hidden="1" outlineLevel="1">
      <c r="D22" s="1257"/>
      <c r="E22" s="741" t="s">
        <v>1559</v>
      </c>
      <c r="F22" s="1124">
        <f>F15</f>
        <v>3026.03</v>
      </c>
      <c r="G22" s="1124">
        <f>G15</f>
        <v>619609</v>
      </c>
      <c r="H22" s="779">
        <v>41420.129999999997</v>
      </c>
      <c r="I22" s="779">
        <v>8336630</v>
      </c>
      <c r="J22" s="1118">
        <f t="shared" si="1"/>
        <v>204.75970165530413</v>
      </c>
      <c r="K22" s="63"/>
      <c r="L22" s="63"/>
      <c r="M22" s="63"/>
      <c r="N22" s="63"/>
      <c r="O22" s="63"/>
      <c r="P22" s="63"/>
      <c r="Q22" s="63"/>
      <c r="R22" s="63"/>
      <c r="S22" s="63"/>
      <c r="T22" s="63"/>
      <c r="U22" s="63"/>
      <c r="V22" s="63"/>
    </row>
    <row r="23" spans="4:22" hidden="1" outlineLevel="1">
      <c r="D23" s="62"/>
      <c r="E23" s="62"/>
      <c r="F23" s="210"/>
      <c r="G23" s="210"/>
      <c r="H23" s="210"/>
      <c r="I23" s="210"/>
      <c r="J23" s="1118"/>
      <c r="K23" s="62"/>
      <c r="L23" s="63"/>
      <c r="M23" s="63"/>
      <c r="N23" s="63"/>
      <c r="O23" s="63"/>
      <c r="P23" s="63"/>
      <c r="Q23" s="63"/>
      <c r="R23" s="63"/>
      <c r="S23" s="63"/>
      <c r="T23" s="63"/>
      <c r="U23" s="63"/>
      <c r="V23" s="63"/>
    </row>
    <row r="24" spans="4:22" hidden="1" outlineLevel="1">
      <c r="D24" s="62" t="s">
        <v>529</v>
      </c>
      <c r="E24" s="62"/>
      <c r="F24" s="210"/>
      <c r="G24" s="210"/>
      <c r="H24" s="210"/>
      <c r="I24" s="210"/>
      <c r="J24" s="62"/>
      <c r="K24" s="62"/>
      <c r="L24" s="63"/>
      <c r="M24" s="63"/>
      <c r="N24" s="63"/>
      <c r="O24" s="63"/>
      <c r="P24" s="63"/>
      <c r="Q24" s="63"/>
      <c r="R24" s="63"/>
      <c r="S24" s="63"/>
      <c r="T24" s="63"/>
      <c r="U24" s="63"/>
      <c r="V24" s="63"/>
    </row>
    <row r="25" spans="4:22" hidden="1" outlineLevel="1">
      <c r="D25" s="62"/>
      <c r="E25" s="62"/>
      <c r="F25" s="210"/>
      <c r="G25" s="64" t="s">
        <v>236</v>
      </c>
      <c r="H25" s="210"/>
      <c r="I25" s="210"/>
      <c r="J25" s="62"/>
      <c r="K25" s="62"/>
      <c r="L25" s="63"/>
      <c r="M25" s="63"/>
      <c r="N25" s="63"/>
      <c r="O25" s="63"/>
      <c r="P25" s="63"/>
      <c r="Q25" s="63"/>
      <c r="R25" s="63"/>
      <c r="S25" s="63"/>
      <c r="T25" s="63"/>
      <c r="U25" s="63"/>
      <c r="V25" s="63"/>
    </row>
    <row r="26" spans="4:22" hidden="1" outlineLevel="1">
      <c r="D26" s="1267" t="s">
        <v>237</v>
      </c>
      <c r="E26" s="1265" t="s">
        <v>522</v>
      </c>
      <c r="F26" s="1258" t="s">
        <v>526</v>
      </c>
      <c r="G26" s="1259"/>
      <c r="H26" s="62"/>
      <c r="I26" s="62"/>
      <c r="J26" s="62"/>
      <c r="K26" s="62"/>
      <c r="L26" s="63"/>
      <c r="M26" s="63"/>
      <c r="N26" s="63"/>
      <c r="O26" s="63"/>
      <c r="P26" s="63"/>
      <c r="Q26" s="63"/>
      <c r="R26" s="63"/>
      <c r="S26" s="63"/>
      <c r="T26" s="63"/>
      <c r="U26" s="63"/>
      <c r="V26" s="63"/>
    </row>
    <row r="27" spans="4:22" hidden="1" outlineLevel="1">
      <c r="D27" s="1268"/>
      <c r="E27" s="1266"/>
      <c r="F27" s="160" t="str">
        <f>F10</f>
        <v>당반기말</v>
      </c>
      <c r="G27" s="326" t="s">
        <v>652</v>
      </c>
      <c r="H27" s="62"/>
      <c r="I27" s="62"/>
      <c r="J27" s="62"/>
      <c r="K27" s="62"/>
      <c r="L27" s="63"/>
      <c r="M27" s="63"/>
      <c r="N27" s="63"/>
      <c r="O27" s="63"/>
      <c r="P27" s="63"/>
      <c r="Q27" s="63"/>
      <c r="R27" s="63"/>
      <c r="S27" s="63"/>
      <c r="T27" s="63"/>
      <c r="U27" s="63"/>
      <c r="V27" s="63"/>
    </row>
    <row r="28" spans="4:22" hidden="1" outlineLevel="1">
      <c r="D28" s="1264" t="s">
        <v>525</v>
      </c>
      <c r="E28" s="76" t="s">
        <v>527</v>
      </c>
      <c r="F28" s="139">
        <f>G19*10%</f>
        <v>173354130.30000001</v>
      </c>
      <c r="G28" s="139">
        <f>I19*10%</f>
        <v>95315902.5</v>
      </c>
      <c r="H28" s="62"/>
      <c r="I28" s="62"/>
      <c r="J28" s="62"/>
      <c r="K28" s="62"/>
      <c r="L28" s="63"/>
      <c r="M28" s="63"/>
      <c r="N28" s="63"/>
      <c r="O28" s="63"/>
      <c r="P28" s="63"/>
      <c r="Q28" s="63"/>
      <c r="R28" s="63"/>
      <c r="S28" s="63"/>
      <c r="T28" s="63"/>
      <c r="U28" s="63"/>
      <c r="V28" s="63"/>
    </row>
    <row r="29" spans="4:22" hidden="1" outlineLevel="1">
      <c r="D29" s="1264"/>
      <c r="E29" s="76" t="s">
        <v>528</v>
      </c>
      <c r="F29" s="139">
        <f>-F28</f>
        <v>-173354130.30000001</v>
      </c>
      <c r="G29" s="139">
        <f>-G28</f>
        <v>-95315902.5</v>
      </c>
      <c r="H29" s="62"/>
      <c r="I29" s="62"/>
      <c r="J29" s="62"/>
      <c r="K29" s="62"/>
      <c r="L29" s="63"/>
      <c r="M29" s="63"/>
      <c r="N29" s="63"/>
      <c r="O29" s="63"/>
      <c r="P29" s="63"/>
      <c r="Q29" s="63"/>
      <c r="R29" s="63"/>
      <c r="S29" s="63"/>
      <c r="T29" s="63"/>
      <c r="U29" s="63"/>
      <c r="V29" s="63"/>
    </row>
    <row r="30" spans="4:22" hidden="1" outlineLevel="1">
      <c r="D30" s="1264" t="s">
        <v>654</v>
      </c>
      <c r="E30" s="76" t="s">
        <v>527</v>
      </c>
      <c r="F30" s="139">
        <f>G20*10%</f>
        <v>0</v>
      </c>
      <c r="G30" s="139">
        <f>I20*10%</f>
        <v>3.1</v>
      </c>
      <c r="H30" s="62"/>
      <c r="I30" s="62"/>
      <c r="J30" s="62"/>
      <c r="K30" s="62"/>
      <c r="L30" s="63"/>
      <c r="M30" s="63"/>
      <c r="N30" s="63"/>
      <c r="O30" s="63"/>
      <c r="P30" s="63"/>
      <c r="Q30" s="63"/>
      <c r="R30" s="63"/>
      <c r="S30" s="63"/>
      <c r="T30" s="63"/>
      <c r="U30" s="63"/>
      <c r="V30" s="63"/>
    </row>
    <row r="31" spans="4:22" hidden="1" outlineLevel="1">
      <c r="D31" s="1264"/>
      <c r="E31" s="76" t="s">
        <v>528</v>
      </c>
      <c r="F31" s="139">
        <f>-F30</f>
        <v>0</v>
      </c>
      <c r="G31" s="139">
        <f>-G30</f>
        <v>-3.1</v>
      </c>
      <c r="H31" s="62"/>
      <c r="I31" s="62"/>
      <c r="J31" s="62"/>
      <c r="K31" s="62"/>
      <c r="L31" s="63"/>
      <c r="M31" s="63"/>
      <c r="N31" s="63"/>
      <c r="O31" s="63"/>
      <c r="P31" s="63"/>
      <c r="Q31" s="63"/>
      <c r="R31" s="63"/>
      <c r="S31" s="63"/>
      <c r="T31" s="63"/>
      <c r="U31" s="63"/>
      <c r="V31" s="63"/>
    </row>
    <row r="32" spans="4:22" hidden="1" outlineLevel="1">
      <c r="D32" s="1264" t="s">
        <v>1558</v>
      </c>
      <c r="E32" s="76" t="s">
        <v>527</v>
      </c>
      <c r="F32" s="139">
        <f>G21*10%</f>
        <v>0</v>
      </c>
      <c r="G32" s="139">
        <f>I21*10%</f>
        <v>19666.100000000002</v>
      </c>
      <c r="H32" s="62"/>
      <c r="I32" s="62"/>
      <c r="J32" s="62"/>
      <c r="K32" s="62"/>
      <c r="L32" s="63"/>
      <c r="M32" s="63"/>
      <c r="N32" s="63"/>
      <c r="O32" s="63"/>
      <c r="P32" s="63"/>
      <c r="Q32" s="63"/>
      <c r="R32" s="63"/>
      <c r="S32" s="63"/>
      <c r="T32" s="63"/>
      <c r="U32" s="63"/>
      <c r="V32" s="63"/>
    </row>
    <row r="33" spans="4:23" hidden="1" outlineLevel="1">
      <c r="D33" s="1264"/>
      <c r="E33" s="76" t="s">
        <v>528</v>
      </c>
      <c r="F33" s="139">
        <f>-F32</f>
        <v>0</v>
      </c>
      <c r="G33" s="139">
        <f>-G32</f>
        <v>-19666.100000000002</v>
      </c>
      <c r="H33" s="62"/>
      <c r="I33" s="62"/>
      <c r="J33" s="62"/>
      <c r="K33" s="62"/>
      <c r="L33" s="63"/>
      <c r="M33" s="63"/>
      <c r="N33" s="63"/>
      <c r="O33" s="63"/>
      <c r="P33" s="63"/>
      <c r="Q33" s="63"/>
      <c r="R33" s="63"/>
      <c r="S33" s="63"/>
      <c r="T33" s="63"/>
      <c r="U33" s="63"/>
      <c r="V33" s="63"/>
    </row>
    <row r="34" spans="4:23" hidden="1" outlineLevel="1">
      <c r="D34" s="1264" t="s">
        <v>1556</v>
      </c>
      <c r="E34" s="76" t="s">
        <v>527</v>
      </c>
      <c r="F34" s="139">
        <f>G22*10%</f>
        <v>61960.9</v>
      </c>
      <c r="G34" s="139">
        <f>I22*10%</f>
        <v>833663</v>
      </c>
      <c r="H34" s="62"/>
      <c r="I34" s="62"/>
      <c r="J34" s="62"/>
      <c r="K34" s="62"/>
      <c r="L34" s="63"/>
      <c r="M34" s="63"/>
      <c r="N34" s="63"/>
      <c r="O34" s="63"/>
      <c r="P34" s="63"/>
      <c r="Q34" s="63"/>
      <c r="R34" s="63"/>
      <c r="S34" s="63"/>
      <c r="T34" s="63"/>
      <c r="U34" s="63"/>
      <c r="V34" s="63"/>
    </row>
    <row r="35" spans="4:23" hidden="1" outlineLevel="1">
      <c r="D35" s="1264"/>
      <c r="E35" s="76" t="s">
        <v>528</v>
      </c>
      <c r="F35" s="139">
        <f>-F34</f>
        <v>-61960.9</v>
      </c>
      <c r="G35" s="139">
        <f>-G34</f>
        <v>-833663</v>
      </c>
      <c r="H35" s="62"/>
      <c r="I35" s="62"/>
      <c r="J35" s="62"/>
      <c r="K35" s="62"/>
      <c r="L35" s="63"/>
      <c r="M35" s="63"/>
      <c r="N35" s="63"/>
      <c r="O35" s="63"/>
      <c r="P35" s="63"/>
      <c r="Q35" s="63"/>
      <c r="R35" s="63"/>
      <c r="S35" s="63"/>
      <c r="T35" s="63"/>
      <c r="U35" s="63"/>
      <c r="V35" s="63"/>
    </row>
    <row r="36" spans="4:23" collapsed="1">
      <c r="D36" s="62"/>
      <c r="E36" s="62"/>
      <c r="F36" s="62"/>
      <c r="G36" s="62"/>
      <c r="H36" s="62"/>
      <c r="I36" s="62"/>
      <c r="J36" s="62"/>
      <c r="K36" s="62"/>
      <c r="L36" s="63"/>
      <c r="M36" s="63"/>
      <c r="N36" s="63"/>
      <c r="O36" s="63"/>
      <c r="P36" s="63"/>
      <c r="Q36" s="63"/>
      <c r="R36" s="63"/>
      <c r="S36" s="63"/>
      <c r="T36" s="63"/>
      <c r="U36" s="63"/>
      <c r="V36" s="63"/>
    </row>
    <row r="37" spans="4:23">
      <c r="D37" s="63"/>
      <c r="E37" s="63"/>
      <c r="F37" s="63"/>
      <c r="G37" s="63"/>
      <c r="H37" s="63"/>
      <c r="I37" s="63"/>
      <c r="J37" s="63"/>
      <c r="K37" s="63"/>
      <c r="L37" s="63"/>
      <c r="M37" s="63"/>
      <c r="N37" s="63"/>
      <c r="O37" s="63"/>
      <c r="P37" s="63"/>
      <c r="Q37" s="63"/>
      <c r="R37" s="63"/>
      <c r="S37" s="63"/>
      <c r="T37" s="63"/>
      <c r="U37" s="63"/>
      <c r="V37" s="63"/>
    </row>
    <row r="38" spans="4:23">
      <c r="D38" s="320" t="s">
        <v>345</v>
      </c>
      <c r="E38" s="63"/>
      <c r="F38" s="63"/>
      <c r="G38" s="63"/>
      <c r="H38" s="63"/>
      <c r="I38" s="63"/>
      <c r="J38" s="63"/>
      <c r="K38" s="63"/>
      <c r="L38" s="63"/>
      <c r="M38" s="63"/>
      <c r="N38" s="63"/>
      <c r="O38" s="63"/>
      <c r="P38" s="63"/>
      <c r="Q38" s="63"/>
      <c r="R38" s="63"/>
      <c r="S38" s="63"/>
      <c r="T38" s="63"/>
      <c r="U38" s="63"/>
      <c r="V38" s="63"/>
    </row>
    <row r="39" spans="4:23">
      <c r="D39" s="63"/>
      <c r="E39" s="63"/>
      <c r="F39" s="63"/>
      <c r="G39" s="63"/>
      <c r="H39" s="63"/>
      <c r="I39" s="63"/>
      <c r="J39" s="63"/>
      <c r="K39" s="63"/>
      <c r="L39" s="63"/>
      <c r="M39" s="63"/>
      <c r="N39" s="63"/>
      <c r="O39" s="63"/>
      <c r="P39" s="63"/>
      <c r="Q39" s="63"/>
      <c r="R39" s="63"/>
      <c r="S39" s="63"/>
      <c r="T39" s="63"/>
      <c r="U39" s="63"/>
      <c r="V39" s="63"/>
    </row>
    <row r="40" spans="4:23" ht="16" customHeight="1">
      <c r="D40" s="1263" t="s">
        <v>347</v>
      </c>
      <c r="E40" s="1263"/>
      <c r="F40" s="1263"/>
      <c r="G40" s="1263"/>
      <c r="H40" s="1263"/>
      <c r="I40" s="1263"/>
      <c r="J40" s="1263"/>
      <c r="K40" s="1263"/>
      <c r="L40" s="1263"/>
      <c r="M40" s="1263"/>
      <c r="N40" s="1263"/>
      <c r="O40" s="63"/>
      <c r="P40" s="63"/>
      <c r="Q40" s="63"/>
      <c r="R40" s="63"/>
      <c r="S40" s="63"/>
      <c r="T40" s="63"/>
      <c r="U40" s="63"/>
      <c r="V40" s="63"/>
    </row>
    <row r="41" spans="4:23">
      <c r="D41" s="63"/>
      <c r="E41" s="63"/>
      <c r="F41" s="63"/>
      <c r="G41" s="63"/>
      <c r="H41" s="63"/>
      <c r="I41" s="63"/>
      <c r="J41" s="63"/>
      <c r="K41" s="63"/>
      <c r="L41" s="63"/>
      <c r="M41" s="63"/>
      <c r="N41" s="63"/>
      <c r="O41" s="63"/>
      <c r="P41" s="63"/>
      <c r="Q41" s="63"/>
      <c r="R41" s="63"/>
      <c r="S41" s="63"/>
      <c r="T41" s="63"/>
      <c r="U41" s="63"/>
      <c r="V41" s="63"/>
    </row>
    <row r="42" spans="4:23">
      <c r="D42" s="62" t="s">
        <v>346</v>
      </c>
      <c r="E42" s="63"/>
      <c r="F42" s="63"/>
      <c r="G42" s="63"/>
      <c r="H42" s="63"/>
      <c r="I42" s="63"/>
      <c r="J42" s="63"/>
      <c r="K42" s="63"/>
      <c r="L42" s="63"/>
      <c r="M42" s="63"/>
      <c r="N42" s="63"/>
      <c r="O42" s="63"/>
      <c r="P42" s="63"/>
      <c r="Q42" s="63"/>
      <c r="R42" s="63"/>
      <c r="S42" s="63"/>
      <c r="T42" s="63"/>
      <c r="U42" s="63"/>
      <c r="V42" s="63"/>
    </row>
    <row r="43" spans="4:23">
      <c r="F43" s="63"/>
      <c r="G43" s="63"/>
      <c r="H43" s="63"/>
      <c r="I43" s="63"/>
      <c r="J43" s="64" t="s">
        <v>236</v>
      </c>
      <c r="K43" s="63"/>
      <c r="L43" s="63"/>
      <c r="M43" s="63"/>
      <c r="N43" s="63"/>
      <c r="O43" s="63"/>
      <c r="P43" s="63"/>
      <c r="Q43" s="63"/>
      <c r="R43" s="63"/>
      <c r="S43" s="63"/>
      <c r="T43" s="63"/>
      <c r="U43" s="63"/>
      <c r="V43" s="63"/>
      <c r="W43" s="63"/>
    </row>
    <row r="44" spans="4:23">
      <c r="D44" s="200" t="s">
        <v>1857</v>
      </c>
      <c r="E44" s="785" t="s">
        <v>1663</v>
      </c>
      <c r="F44" s="200" t="s">
        <v>319</v>
      </c>
      <c r="G44" s="200" t="s">
        <v>320</v>
      </c>
      <c r="H44" s="200" t="s">
        <v>321</v>
      </c>
      <c r="I44" s="200" t="s">
        <v>322</v>
      </c>
      <c r="J44" s="200" t="s">
        <v>675</v>
      </c>
      <c r="K44" s="63"/>
      <c r="L44" s="63"/>
      <c r="M44" s="63"/>
      <c r="N44" s="63"/>
      <c r="O44" s="63"/>
      <c r="P44" s="63"/>
      <c r="Q44" s="63"/>
      <c r="R44" s="63"/>
      <c r="S44" s="63"/>
      <c r="T44" s="63"/>
      <c r="U44" s="63"/>
      <c r="V44" s="63"/>
      <c r="W44" s="63"/>
    </row>
    <row r="45" spans="4:23">
      <c r="D45" s="121" t="s">
        <v>323</v>
      </c>
      <c r="E45" s="122">
        <f>Dart_BS!C23</f>
        <v>3144825470</v>
      </c>
      <c r="F45" s="122">
        <f>BS!E71</f>
        <v>3144825470</v>
      </c>
      <c r="G45" s="122">
        <v>0</v>
      </c>
      <c r="H45" s="122">
        <v>0</v>
      </c>
      <c r="I45" s="122">
        <v>0</v>
      </c>
      <c r="J45" s="122">
        <f t="shared" ref="J45:J50" si="2">SUM(F45:I45)</f>
        <v>3144825470</v>
      </c>
      <c r="K45" s="63"/>
      <c r="L45" s="63" t="b">
        <f>J45=Dart_BS!C23</f>
        <v>1</v>
      </c>
      <c r="M45" s="63"/>
      <c r="N45" s="63" t="b">
        <f>J45&gt;=E45</f>
        <v>1</v>
      </c>
      <c r="O45" s="63"/>
      <c r="P45" s="63"/>
      <c r="Q45" s="63"/>
      <c r="R45" s="63"/>
      <c r="S45" s="63"/>
      <c r="T45" s="63"/>
      <c r="U45" s="63"/>
      <c r="V45" s="63"/>
      <c r="W45" s="63"/>
    </row>
    <row r="46" spans="4:23">
      <c r="D46" s="121" t="s">
        <v>251</v>
      </c>
      <c r="E46" s="122">
        <f>BS!E76</f>
        <v>1120000000</v>
      </c>
      <c r="F46" s="122">
        <f>BS!E76+J54+J55</f>
        <v>1141172612</v>
      </c>
      <c r="G46" s="122">
        <v>0</v>
      </c>
      <c r="H46" s="122">
        <v>0</v>
      </c>
      <c r="I46" s="122">
        <v>0</v>
      </c>
      <c r="J46" s="122">
        <f t="shared" si="2"/>
        <v>1141172612</v>
      </c>
      <c r="K46" s="63">
        <f>BS!E76</f>
        <v>1120000000</v>
      </c>
      <c r="L46" s="63" t="b">
        <f>SUM(K46:K48,N54:N59)=SUM(J46:J48)</f>
        <v>1</v>
      </c>
      <c r="M46" s="63"/>
      <c r="N46" s="63" t="b">
        <f t="shared" ref="N46:N50" si="3">J46&gt;=E46</f>
        <v>1</v>
      </c>
      <c r="O46" s="63"/>
      <c r="P46" s="63"/>
      <c r="Q46" s="63"/>
      <c r="R46" s="63"/>
      <c r="S46" s="63"/>
      <c r="T46" s="63"/>
      <c r="U46" s="63"/>
      <c r="V46" s="63"/>
      <c r="W46" s="63"/>
    </row>
    <row r="47" spans="4:23">
      <c r="D47" s="121" t="s">
        <v>432</v>
      </c>
      <c r="E47" s="122">
        <f>BS!E77</f>
        <v>0</v>
      </c>
      <c r="F47" s="122">
        <f>정산표!E81+J56</f>
        <v>0</v>
      </c>
      <c r="G47" s="122">
        <v>0</v>
      </c>
      <c r="H47" s="122">
        <v>0</v>
      </c>
      <c r="I47" s="122">
        <v>0</v>
      </c>
      <c r="J47" s="122">
        <f t="shared" si="2"/>
        <v>0</v>
      </c>
      <c r="K47" s="63">
        <f>BS!E77</f>
        <v>0</v>
      </c>
      <c r="L47" s="63"/>
      <c r="M47" s="63"/>
      <c r="N47" s="63" t="b">
        <f t="shared" si="3"/>
        <v>1</v>
      </c>
      <c r="O47" s="63"/>
      <c r="P47" s="63"/>
      <c r="Q47" s="63"/>
      <c r="R47" s="63"/>
      <c r="S47" s="63"/>
      <c r="T47" s="63"/>
      <c r="U47" s="63"/>
      <c r="V47" s="63"/>
      <c r="W47" s="63"/>
    </row>
    <row r="48" spans="4:23">
      <c r="D48" s="121" t="s">
        <v>253</v>
      </c>
      <c r="E48" s="122">
        <f>BS!E85</f>
        <v>4100000000</v>
      </c>
      <c r="F48" s="122">
        <f>SUM(J57:J59)</f>
        <v>146515315</v>
      </c>
      <c r="G48" s="122">
        <f>'19'!H12+'19'!H13++SUM(K57:K59)</f>
        <v>3637400383</v>
      </c>
      <c r="H48" s="122">
        <f>'19'!H14+SUM(L57:L59)</f>
        <v>501992658</v>
      </c>
      <c r="I48" s="122">
        <v>0</v>
      </c>
      <c r="J48" s="122">
        <f t="shared" si="2"/>
        <v>4285908356</v>
      </c>
      <c r="K48" s="118">
        <f>BS!E85</f>
        <v>4100000000</v>
      </c>
      <c r="L48" s="118"/>
      <c r="M48" s="63"/>
      <c r="N48" s="63" t="b">
        <f>J48&gt;=E48</f>
        <v>1</v>
      </c>
      <c r="O48" s="63"/>
      <c r="P48" s="63"/>
      <c r="Q48" s="63"/>
      <c r="R48" s="63"/>
      <c r="S48" s="63"/>
      <c r="T48" s="63"/>
      <c r="U48" s="63"/>
      <c r="V48" s="63"/>
      <c r="W48" s="63"/>
    </row>
    <row r="49" spans="2:23">
      <c r="D49" s="121" t="s">
        <v>381</v>
      </c>
      <c r="E49" s="122">
        <f>SUM(L49:L50)</f>
        <v>1336425241</v>
      </c>
      <c r="F49" s="122">
        <f>'20'!N78</f>
        <v>547702980</v>
      </c>
      <c r="G49" s="122">
        <f>'20'!O78</f>
        <v>321640312</v>
      </c>
      <c r="H49" s="122">
        <f>'20'!P78</f>
        <v>181869459</v>
      </c>
      <c r="I49" s="122">
        <f>'20'!Q78</f>
        <v>379982000</v>
      </c>
      <c r="J49" s="122">
        <f t="shared" si="2"/>
        <v>1431194751</v>
      </c>
      <c r="K49" s="63">
        <f>SUM(F49:I49)-BS!E86-BS!E78</f>
        <v>94769510</v>
      </c>
      <c r="L49" s="118">
        <f>BS!E78</f>
        <v>537067117</v>
      </c>
      <c r="M49" s="63" t="s">
        <v>639</v>
      </c>
      <c r="N49" s="63" t="b">
        <f>J49&gt;=E49</f>
        <v>1</v>
      </c>
      <c r="O49" s="63"/>
      <c r="P49" s="63"/>
      <c r="Q49" s="63"/>
      <c r="R49" s="63"/>
      <c r="S49" s="63"/>
      <c r="T49" s="63"/>
      <c r="U49" s="63"/>
      <c r="V49" s="63"/>
      <c r="W49" s="63"/>
    </row>
    <row r="50" spans="2:23" ht="15.45" thickBot="1">
      <c r="D50" s="1033" t="s">
        <v>256</v>
      </c>
      <c r="E50" s="1034">
        <f>SUM(E45:E49)</f>
        <v>9701250711</v>
      </c>
      <c r="F50" s="1034">
        <f>SUM(F45:F49)</f>
        <v>4980216377</v>
      </c>
      <c r="G50" s="1034">
        <f>SUM(G45:G49)</f>
        <v>3959040695</v>
      </c>
      <c r="H50" s="1034">
        <f>SUM(H45:H49)</f>
        <v>683862117</v>
      </c>
      <c r="I50" s="1034">
        <f>SUM(I45:I49)</f>
        <v>379982000</v>
      </c>
      <c r="J50" s="1034">
        <f t="shared" si="2"/>
        <v>10003101189</v>
      </c>
      <c r="K50" s="63"/>
      <c r="L50" s="170">
        <f>BS!E86</f>
        <v>799358124</v>
      </c>
      <c r="M50" s="63" t="s">
        <v>381</v>
      </c>
      <c r="N50" s="63" t="b">
        <f t="shared" si="3"/>
        <v>1</v>
      </c>
      <c r="O50" s="63"/>
      <c r="P50" s="63"/>
      <c r="Q50" s="63"/>
      <c r="R50" s="63"/>
      <c r="S50" s="63"/>
      <c r="T50" s="63"/>
      <c r="U50" s="63"/>
      <c r="V50" s="63"/>
      <c r="W50" s="63"/>
    </row>
    <row r="51" spans="2:23">
      <c r="B51" s="1035"/>
      <c r="C51" s="1036"/>
      <c r="D51" s="1037"/>
      <c r="E51" s="1037"/>
      <c r="F51" s="1037"/>
      <c r="G51" s="1037"/>
      <c r="H51" s="1037"/>
      <c r="I51" s="1037"/>
      <c r="J51" s="1037"/>
      <c r="K51" s="1037"/>
      <c r="L51" s="1037"/>
      <c r="M51" s="1037"/>
      <c r="N51" s="1037"/>
      <c r="O51" s="1037"/>
      <c r="P51" s="1038"/>
      <c r="Q51" s="63"/>
      <c r="R51" s="63"/>
      <c r="S51" s="63"/>
      <c r="T51" s="63"/>
      <c r="U51" s="63"/>
      <c r="V51" s="63"/>
      <c r="W51" s="63"/>
    </row>
    <row r="52" spans="2:23">
      <c r="B52" s="1039"/>
      <c r="D52" s="63" t="s">
        <v>1927</v>
      </c>
      <c r="E52" s="63"/>
      <c r="F52" s="63"/>
      <c r="G52" s="63"/>
      <c r="H52" s="63"/>
      <c r="I52" s="1155">
        <v>46203</v>
      </c>
      <c r="J52" s="1155">
        <f>EOMONTH(I52,12)</f>
        <v>46568</v>
      </c>
      <c r="K52" s="1155">
        <f>EOMONTH(J52,12)</f>
        <v>46934</v>
      </c>
      <c r="L52" s="1155">
        <f>EOMONTH(K52,12)</f>
        <v>47299</v>
      </c>
      <c r="M52" s="63"/>
      <c r="N52" s="63"/>
      <c r="O52" s="63"/>
      <c r="P52" s="253"/>
      <c r="Q52" s="63"/>
      <c r="R52" s="63"/>
      <c r="S52" s="63"/>
      <c r="T52" s="63"/>
      <c r="U52" s="63"/>
      <c r="V52" s="63"/>
      <c r="W52" s="63"/>
    </row>
    <row r="53" spans="2:23">
      <c r="B53" s="1039"/>
      <c r="D53" s="1026" t="s">
        <v>1737</v>
      </c>
      <c r="E53" s="1026" t="s">
        <v>1923</v>
      </c>
      <c r="F53" s="1027" t="s">
        <v>1922</v>
      </c>
      <c r="G53" s="1026" t="s">
        <v>1924</v>
      </c>
      <c r="H53" s="1026" t="s">
        <v>1925</v>
      </c>
      <c r="I53" s="1026" t="s">
        <v>1926</v>
      </c>
      <c r="J53" s="1082" t="s">
        <v>319</v>
      </c>
      <c r="K53" s="1082" t="s">
        <v>320</v>
      </c>
      <c r="L53" s="1082" t="s">
        <v>321</v>
      </c>
      <c r="M53" s="1082" t="s">
        <v>322</v>
      </c>
      <c r="N53" s="1028" t="s">
        <v>1125</v>
      </c>
      <c r="O53" s="63"/>
      <c r="P53" s="253"/>
      <c r="Q53" s="63"/>
      <c r="R53" s="63"/>
      <c r="S53" s="63"/>
      <c r="T53" s="63"/>
      <c r="U53" s="63"/>
      <c r="V53" s="63"/>
      <c r="W53" s="63"/>
    </row>
    <row r="54" spans="2:23">
      <c r="B54" s="1039"/>
      <c r="D54" s="1090" t="str">
        <f>'19'!D7</f>
        <v>단기차입금</v>
      </c>
      <c r="E54" s="1090" t="str">
        <f>'19'!E7</f>
        <v>기업은행</v>
      </c>
      <c r="F54" s="1029">
        <f>'19'!H7</f>
        <v>400000000</v>
      </c>
      <c r="G54" s="1030">
        <f>'19'!F7</f>
        <v>3.916E-2</v>
      </c>
      <c r="H54" s="1031">
        <f>'19'!G7</f>
        <v>46288</v>
      </c>
      <c r="I54" s="1083">
        <f>F54*G54/12</f>
        <v>1305333.3333333333</v>
      </c>
      <c r="J54" s="1083">
        <f>ROUND(F54*G54*(H54-I$52+1)/365,)</f>
        <v>3690696</v>
      </c>
      <c r="K54" s="1084"/>
      <c r="L54" s="1085"/>
      <c r="M54" s="1085"/>
      <c r="N54" s="1032">
        <f>SUM(J54:M54)</f>
        <v>3690696</v>
      </c>
      <c r="O54" s="63">
        <f t="shared" ref="O54:O59" si="4">DATEDIF($I$52,H54,"m")</f>
        <v>2</v>
      </c>
      <c r="P54" s="253"/>
      <c r="Q54" s="63"/>
      <c r="R54" s="63"/>
      <c r="S54" s="63"/>
      <c r="T54" s="63"/>
      <c r="U54" s="63"/>
      <c r="V54" s="63"/>
      <c r="W54" s="63"/>
    </row>
    <row r="55" spans="2:23">
      <c r="B55" s="1039"/>
      <c r="D55" s="1090" t="str">
        <f>'19'!D8</f>
        <v>단기차입금</v>
      </c>
      <c r="E55" s="1090" t="str">
        <f>'19'!E8</f>
        <v>기업은행</v>
      </c>
      <c r="F55" s="1029">
        <f>'19'!H8</f>
        <v>720000000</v>
      </c>
      <c r="G55" s="1030">
        <f>'19'!F8</f>
        <v>3.8870000000000002E-2</v>
      </c>
      <c r="H55" s="1031">
        <f>'19'!G8</f>
        <v>46430</v>
      </c>
      <c r="I55" s="1083">
        <f t="shared" ref="I55:I59" si="5">F55*G55/12</f>
        <v>2332200</v>
      </c>
      <c r="J55" s="1083">
        <f>ROUND(F55*G55*(H55-I$52+1)/365,)</f>
        <v>17481916</v>
      </c>
      <c r="K55" s="1084"/>
      <c r="L55" s="1085"/>
      <c r="M55" s="1085"/>
      <c r="N55" s="1032">
        <f>SUM(J55:M55)</f>
        <v>17481916</v>
      </c>
      <c r="O55" s="63">
        <f t="shared" si="4"/>
        <v>7</v>
      </c>
      <c r="P55" s="253"/>
      <c r="Q55" s="63"/>
      <c r="R55" s="63"/>
      <c r="S55" s="63"/>
      <c r="T55" s="63"/>
      <c r="U55" s="63"/>
      <c r="V55" s="63"/>
      <c r="W55" s="63"/>
    </row>
    <row r="56" spans="2:23">
      <c r="B56" s="1039"/>
      <c r="D56" s="1090" t="str">
        <f>'19'!D10</f>
        <v>유동성장기차입금</v>
      </c>
      <c r="E56" s="1090" t="str">
        <f>'19'!E10</f>
        <v>중소벤처기업진흥공단</v>
      </c>
      <c r="F56" s="1029">
        <f>'19'!H10</f>
        <v>0</v>
      </c>
      <c r="G56" s="1030">
        <f>'19'!F10</f>
        <v>3.6700000000000003E-2</v>
      </c>
      <c r="H56" s="1031">
        <f>'19'!G10</f>
        <v>46322</v>
      </c>
      <c r="I56" s="1083">
        <f t="shared" si="5"/>
        <v>0</v>
      </c>
      <c r="J56" s="1083">
        <f>ROUND(F56*G56*(H56-I$52+1)/365,)</f>
        <v>0</v>
      </c>
      <c r="K56" s="1084">
        <v>0</v>
      </c>
      <c r="L56" s="1032">
        <v>0</v>
      </c>
      <c r="M56" s="1085"/>
      <c r="N56" s="1032">
        <f t="shared" ref="N56:N59" si="6">SUM(J56:M56)</f>
        <v>0</v>
      </c>
      <c r="O56" s="63">
        <f t="shared" si="4"/>
        <v>3</v>
      </c>
      <c r="P56" s="253"/>
      <c r="Q56" s="63"/>
      <c r="R56" s="63"/>
      <c r="S56" s="63"/>
      <c r="T56" s="63"/>
      <c r="U56" s="63"/>
      <c r="V56" s="63"/>
      <c r="W56" s="63"/>
    </row>
    <row r="57" spans="2:23">
      <c r="B57" s="1039"/>
      <c r="D57" s="1090" t="str">
        <f>'19'!D12</f>
        <v>장기차입금</v>
      </c>
      <c r="E57" s="1090" t="str">
        <f>'19'!E12</f>
        <v>기업은행</v>
      </c>
      <c r="F57" s="1029">
        <f>'19'!H12</f>
        <v>700000000</v>
      </c>
      <c r="G57" s="1030">
        <f>'19'!F12</f>
        <v>4.095E-2</v>
      </c>
      <c r="H57" s="1031">
        <f>'19'!G12</f>
        <v>46645</v>
      </c>
      <c r="I57" s="1083">
        <f t="shared" si="5"/>
        <v>2388750</v>
      </c>
      <c r="J57" s="1083">
        <f>ROUND(F57*G57*(J$52-I$52+1)/365,)</f>
        <v>28743534</v>
      </c>
      <c r="K57" s="1083">
        <f>ROUND(F57*G57*(H$57-J$52+1)/365,)</f>
        <v>6125671</v>
      </c>
      <c r="L57" s="1032">
        <v>0</v>
      </c>
      <c r="M57" s="1085"/>
      <c r="N57" s="1032">
        <f t="shared" si="6"/>
        <v>34869205</v>
      </c>
      <c r="O57" s="63">
        <f t="shared" si="4"/>
        <v>14</v>
      </c>
      <c r="P57" s="253"/>
      <c r="Q57" s="63"/>
      <c r="R57" s="63"/>
      <c r="S57" s="63"/>
      <c r="T57" s="63"/>
      <c r="U57" s="63"/>
      <c r="V57" s="63"/>
      <c r="W57" s="63"/>
    </row>
    <row r="58" spans="2:23">
      <c r="B58" s="1039"/>
      <c r="D58" s="1090" t="str">
        <f>'19'!D13</f>
        <v>장기차입금</v>
      </c>
      <c r="E58" s="1090" t="str">
        <f>'19'!E13</f>
        <v>기업은행</v>
      </c>
      <c r="F58" s="1029">
        <f>'19'!H13</f>
        <v>2900000000</v>
      </c>
      <c r="G58" s="1030">
        <f>'19'!F13</f>
        <v>3.4799999999999998E-2</v>
      </c>
      <c r="H58" s="1031">
        <f>'19'!G13</f>
        <v>46620</v>
      </c>
      <c r="I58" s="1083">
        <f t="shared" si="5"/>
        <v>8410000</v>
      </c>
      <c r="J58" s="1083">
        <f>ROUND(F58*G58*(J$52-I$52+1)/365,)</f>
        <v>101196493</v>
      </c>
      <c r="K58" s="1083">
        <f>ROUND(F58*G58*(H$58-J$52+1)/365,)</f>
        <v>14654137</v>
      </c>
      <c r="L58" s="1032">
        <v>0</v>
      </c>
      <c r="M58" s="1085"/>
      <c r="N58" s="1032">
        <f t="shared" si="6"/>
        <v>115850630</v>
      </c>
      <c r="O58" s="63">
        <f t="shared" si="4"/>
        <v>13</v>
      </c>
      <c r="P58" s="253"/>
      <c r="Q58" s="63"/>
      <c r="R58" s="63"/>
      <c r="S58" s="63"/>
      <c r="T58" s="63"/>
      <c r="U58" s="63"/>
      <c r="V58" s="63"/>
      <c r="W58" s="63"/>
    </row>
    <row r="59" spans="2:23">
      <c r="B59" s="1039"/>
      <c r="D59" s="1090" t="str">
        <f>'19'!D14</f>
        <v>장기차입금</v>
      </c>
      <c r="E59" s="1090" t="str">
        <f>'19'!E14</f>
        <v>기업은행</v>
      </c>
      <c r="F59" s="1029">
        <f>'19'!H14</f>
        <v>500000000</v>
      </c>
      <c r="G59" s="1030">
        <f>'19'!F14</f>
        <v>3.3059999999999999E-2</v>
      </c>
      <c r="H59" s="1031">
        <f>'19'!G14</f>
        <v>46977</v>
      </c>
      <c r="I59" s="1083">
        <f t="shared" si="5"/>
        <v>1377500</v>
      </c>
      <c r="J59" s="1083">
        <f>ROUND(F59*G59*(J$52-I$52+1)/365,)</f>
        <v>16575288</v>
      </c>
      <c r="K59" s="1083">
        <f>ROUND(F59*G59*(K$52-J$52+1)/365,)</f>
        <v>16620575</v>
      </c>
      <c r="L59" s="1083">
        <f>ROUND(F59*G59*(H$59-K$52+1)/365,)</f>
        <v>1992658</v>
      </c>
      <c r="M59" s="1085"/>
      <c r="N59" s="1032">
        <f t="shared" si="6"/>
        <v>35188521</v>
      </c>
      <c r="O59" s="63">
        <f t="shared" si="4"/>
        <v>25</v>
      </c>
      <c r="P59" s="253"/>
      <c r="Q59" s="63"/>
      <c r="R59" s="63"/>
      <c r="S59" s="63"/>
      <c r="T59" s="63"/>
      <c r="U59" s="63"/>
      <c r="V59" s="63"/>
      <c r="W59" s="63"/>
    </row>
    <row r="60" spans="2:23" ht="15.45" thickBot="1">
      <c r="B60" s="1040"/>
      <c r="C60" s="1041"/>
      <c r="D60" s="255"/>
      <c r="E60" s="255"/>
      <c r="F60" s="255"/>
      <c r="G60" s="255"/>
      <c r="H60" s="255"/>
      <c r="I60" s="255"/>
      <c r="J60" s="255"/>
      <c r="K60" s="255"/>
      <c r="L60" s="255"/>
      <c r="M60" s="255"/>
      <c r="N60" s="255"/>
      <c r="O60" s="255"/>
      <c r="P60" s="1042"/>
      <c r="Q60" s="63"/>
      <c r="R60" s="63"/>
      <c r="S60" s="63"/>
      <c r="T60" s="63"/>
      <c r="U60" s="63"/>
      <c r="V60" s="63"/>
      <c r="W60" s="63"/>
    </row>
    <row r="61" spans="2:23">
      <c r="F61" s="63"/>
      <c r="G61" s="63"/>
      <c r="H61" s="63"/>
      <c r="I61" s="63"/>
      <c r="J61" s="64" t="s">
        <v>236</v>
      </c>
      <c r="K61" s="63"/>
      <c r="L61" s="63"/>
      <c r="M61" s="63"/>
      <c r="N61" s="63"/>
      <c r="O61" s="63"/>
      <c r="P61" s="63"/>
      <c r="Q61" s="63"/>
      <c r="R61" s="63"/>
      <c r="S61" s="63"/>
      <c r="T61" s="63"/>
      <c r="U61" s="63"/>
      <c r="V61" s="63"/>
      <c r="W61" s="63"/>
    </row>
    <row r="62" spans="2:23">
      <c r="D62" s="200" t="s">
        <v>505</v>
      </c>
      <c r="E62" s="785" t="s">
        <v>1663</v>
      </c>
      <c r="F62" s="200" t="s">
        <v>319</v>
      </c>
      <c r="G62" s="200" t="s">
        <v>320</v>
      </c>
      <c r="H62" s="200" t="s">
        <v>321</v>
      </c>
      <c r="I62" s="200" t="s">
        <v>322</v>
      </c>
      <c r="J62" s="200" t="s">
        <v>311</v>
      </c>
      <c r="K62" s="63"/>
      <c r="L62" s="63"/>
      <c r="M62" s="63"/>
      <c r="N62" s="63"/>
      <c r="O62" s="63"/>
      <c r="P62" s="63"/>
      <c r="Q62" s="63"/>
      <c r="R62" s="63"/>
      <c r="S62" s="63"/>
      <c r="T62" s="63"/>
      <c r="U62" s="63"/>
      <c r="V62" s="63"/>
      <c r="W62" s="63"/>
    </row>
    <row r="63" spans="2:23">
      <c r="D63" s="121" t="s">
        <v>323</v>
      </c>
      <c r="E63" s="122">
        <f>Dart_BS!D23</f>
        <v>1584755867</v>
      </c>
      <c r="F63" s="122">
        <v>1584755867</v>
      </c>
      <c r="G63" s="122">
        <v>0</v>
      </c>
      <c r="H63" s="122">
        <v>0</v>
      </c>
      <c r="I63" s="122">
        <v>0</v>
      </c>
      <c r="J63" s="122">
        <f t="shared" ref="J63:J68" si="7">SUM(F63:I63)</f>
        <v>1584755867</v>
      </c>
      <c r="K63" s="63"/>
      <c r="L63" s="63" t="b">
        <f>Dart_BS!D23=J63</f>
        <v>1</v>
      </c>
      <c r="M63" s="63"/>
      <c r="N63" s="63" t="b">
        <f t="shared" ref="N63:N67" si="8">J63&gt;=E63</f>
        <v>1</v>
      </c>
      <c r="O63" s="63"/>
      <c r="P63" s="63"/>
      <c r="Q63" s="63"/>
      <c r="R63" s="63"/>
      <c r="S63" s="63"/>
      <c r="T63" s="63"/>
      <c r="U63" s="63"/>
      <c r="V63" s="63"/>
      <c r="W63" s="63"/>
    </row>
    <row r="64" spans="2:23">
      <c r="D64" s="121" t="s">
        <v>251</v>
      </c>
      <c r="E64" s="122">
        <f>Dart_BS!D24</f>
        <v>1120000000</v>
      </c>
      <c r="F64" s="122">
        <v>1134566105</v>
      </c>
      <c r="G64" s="122">
        <v>0</v>
      </c>
      <c r="H64" s="122">
        <v>0</v>
      </c>
      <c r="I64" s="122">
        <v>0</v>
      </c>
      <c r="J64" s="122">
        <f t="shared" si="7"/>
        <v>1134566105</v>
      </c>
      <c r="K64" s="63"/>
      <c r="L64" s="63">
        <f>Dart_BS!D24</f>
        <v>1120000000</v>
      </c>
      <c r="M64" s="63"/>
      <c r="N64" s="63" t="b">
        <f t="shared" si="8"/>
        <v>1</v>
      </c>
      <c r="O64" s="63"/>
      <c r="P64" s="63"/>
      <c r="Q64" s="63"/>
      <c r="R64" s="63"/>
      <c r="S64" s="63"/>
      <c r="T64" s="63"/>
      <c r="U64" s="63"/>
      <c r="V64" s="63"/>
      <c r="W64" s="63"/>
    </row>
    <row r="65" spans="4:23">
      <c r="D65" s="121" t="s">
        <v>432</v>
      </c>
      <c r="E65" s="122">
        <f>Dart_BS!D25</f>
        <v>83300000</v>
      </c>
      <c r="F65" s="122">
        <v>84665224</v>
      </c>
      <c r="G65" s="122">
        <v>0</v>
      </c>
      <c r="H65" s="122">
        <v>0</v>
      </c>
      <c r="I65" s="122">
        <v>0</v>
      </c>
      <c r="J65" s="122">
        <f t="shared" si="7"/>
        <v>84665224</v>
      </c>
      <c r="K65" s="63"/>
      <c r="L65" s="63">
        <f>Dart_BS!D25</f>
        <v>83300000</v>
      </c>
      <c r="M65" s="63"/>
      <c r="N65" s="63" t="b">
        <f t="shared" si="8"/>
        <v>1</v>
      </c>
      <c r="O65" s="63"/>
      <c r="P65" s="63"/>
      <c r="Q65" s="63"/>
      <c r="R65" s="63"/>
      <c r="S65" s="63"/>
      <c r="T65" s="63"/>
      <c r="U65" s="63"/>
      <c r="V65" s="63"/>
      <c r="W65" s="63"/>
    </row>
    <row r="66" spans="4:23">
      <c r="D66" s="121" t="s">
        <v>253</v>
      </c>
      <c r="E66" s="122">
        <f>Dart_BS!D29</f>
        <v>4100000000</v>
      </c>
      <c r="F66" s="122">
        <v>144823010</v>
      </c>
      <c r="G66" s="122">
        <v>3700178511</v>
      </c>
      <c r="H66" s="122">
        <v>510116721</v>
      </c>
      <c r="I66" s="122">
        <v>0</v>
      </c>
      <c r="J66" s="122">
        <f t="shared" si="7"/>
        <v>4355118242</v>
      </c>
      <c r="K66" s="63"/>
      <c r="L66" s="63">
        <f>Dart_BS!D29</f>
        <v>4100000000</v>
      </c>
      <c r="M66" s="63"/>
      <c r="N66" s="63" t="b">
        <f t="shared" si="8"/>
        <v>1</v>
      </c>
      <c r="O66" s="63"/>
      <c r="P66" s="63"/>
      <c r="Q66" s="63"/>
      <c r="R66" s="63"/>
      <c r="S66" s="63"/>
      <c r="T66" s="63"/>
      <c r="U66" s="63"/>
      <c r="V66" s="63"/>
      <c r="W66" s="63"/>
    </row>
    <row r="67" spans="4:23">
      <c r="D67" s="121" t="s">
        <v>381</v>
      </c>
      <c r="E67" s="122">
        <f>Dart_BS!D26+Dart_BS!D30</f>
        <v>1595258905</v>
      </c>
      <c r="F67" s="122">
        <v>556978980</v>
      </c>
      <c r="G67" s="122">
        <v>501977980</v>
      </c>
      <c r="H67" s="122">
        <v>194143644</v>
      </c>
      <c r="I67" s="122">
        <v>464779637</v>
      </c>
      <c r="J67" s="122">
        <f t="shared" si="7"/>
        <v>1717880241</v>
      </c>
      <c r="K67" s="63"/>
      <c r="L67" s="63"/>
      <c r="M67" s="63"/>
      <c r="N67" s="63" t="b">
        <f t="shared" si="8"/>
        <v>1</v>
      </c>
      <c r="O67" s="63"/>
      <c r="P67" s="63"/>
      <c r="Q67" s="63"/>
      <c r="R67" s="63"/>
      <c r="S67" s="63"/>
      <c r="T67" s="63"/>
      <c r="U67" s="63"/>
      <c r="V67" s="63"/>
      <c r="W67" s="63"/>
    </row>
    <row r="68" spans="4:23">
      <c r="D68" s="121" t="s">
        <v>256</v>
      </c>
      <c r="E68" s="122">
        <f>SUM(E63:E67)</f>
        <v>8483314772</v>
      </c>
      <c r="F68" s="122">
        <f>SUM(F63:F67)</f>
        <v>3505789186</v>
      </c>
      <c r="G68" s="122">
        <f>SUM(G63:G67)</f>
        <v>4202156491</v>
      </c>
      <c r="H68" s="122">
        <f>SUM(H63:H67)</f>
        <v>704260365</v>
      </c>
      <c r="I68" s="122">
        <f>SUM(I63:I67)</f>
        <v>464779637</v>
      </c>
      <c r="J68" s="122">
        <f t="shared" si="7"/>
        <v>8876985679</v>
      </c>
      <c r="K68" s="63"/>
      <c r="L68" s="63"/>
      <c r="M68" s="63"/>
      <c r="N68" s="63"/>
      <c r="O68" s="63"/>
      <c r="P68" s="63"/>
      <c r="Q68" s="63"/>
      <c r="R68" s="63"/>
      <c r="S68" s="63"/>
      <c r="T68" s="63"/>
      <c r="U68" s="63"/>
      <c r="V68" s="63"/>
      <c r="W68" s="63"/>
    </row>
    <row r="69" spans="4:23">
      <c r="D69" s="53"/>
      <c r="E69" s="63"/>
      <c r="F69" s="63"/>
      <c r="G69" s="63"/>
      <c r="H69" s="63"/>
      <c r="I69" s="63"/>
      <c r="J69" s="63"/>
      <c r="K69" s="63"/>
      <c r="L69" s="63"/>
      <c r="M69" s="63"/>
      <c r="N69" s="63"/>
      <c r="O69" s="63"/>
      <c r="P69" s="63"/>
      <c r="Q69" s="63"/>
      <c r="R69" s="63"/>
      <c r="S69" s="63"/>
      <c r="T69" s="63"/>
      <c r="U69" s="63"/>
      <c r="V69" s="63"/>
      <c r="W69" s="63"/>
    </row>
    <row r="70" spans="4:23">
      <c r="D70" s="63"/>
      <c r="E70" s="63"/>
      <c r="F70" s="63"/>
      <c r="G70" s="63"/>
      <c r="H70" s="63"/>
      <c r="I70" s="63"/>
      <c r="J70" s="63"/>
      <c r="K70" s="63"/>
      <c r="L70" s="63"/>
      <c r="M70" s="63"/>
      <c r="N70" s="63"/>
      <c r="O70" s="63"/>
      <c r="P70" s="63"/>
      <c r="Q70" s="63"/>
      <c r="R70" s="63"/>
      <c r="S70" s="63"/>
      <c r="T70" s="63"/>
      <c r="U70" s="63"/>
      <c r="V70" s="63"/>
      <c r="W70" s="63"/>
    </row>
    <row r="71" spans="4:23">
      <c r="D71" s="63"/>
      <c r="E71" s="63"/>
      <c r="F71" s="63"/>
      <c r="G71" s="63"/>
      <c r="H71" s="63"/>
      <c r="I71" s="63"/>
      <c r="J71" s="63"/>
      <c r="K71" s="63"/>
      <c r="L71" s="63"/>
      <c r="M71" s="63"/>
      <c r="N71" s="63"/>
      <c r="O71" s="63"/>
      <c r="P71" s="63"/>
      <c r="Q71" s="63"/>
      <c r="R71" s="63"/>
      <c r="S71" s="63"/>
      <c r="T71" s="63"/>
      <c r="U71" s="63"/>
      <c r="V71" s="63"/>
      <c r="W71" s="63"/>
    </row>
    <row r="72" spans="4:23">
      <c r="D72" s="63"/>
      <c r="E72" s="63"/>
      <c r="F72" s="63"/>
      <c r="G72" s="63"/>
      <c r="H72" s="63"/>
      <c r="I72" s="63"/>
      <c r="J72" s="63"/>
      <c r="K72" s="63"/>
      <c r="L72" s="63"/>
      <c r="M72" s="63"/>
      <c r="N72" s="63"/>
      <c r="O72" s="63"/>
      <c r="P72" s="63"/>
      <c r="Q72" s="63"/>
      <c r="R72" s="63"/>
      <c r="S72" s="63"/>
      <c r="T72" s="63"/>
      <c r="U72" s="63"/>
      <c r="V72" s="63"/>
    </row>
    <row r="73" spans="4:23">
      <c r="D73" s="320" t="s">
        <v>233</v>
      </c>
      <c r="E73" s="63"/>
      <c r="F73" s="115"/>
      <c r="G73" s="63"/>
      <c r="H73" s="63"/>
      <c r="I73" s="63"/>
      <c r="J73" s="63"/>
      <c r="K73" s="63"/>
      <c r="L73" s="63"/>
      <c r="M73" s="63"/>
      <c r="N73" s="63"/>
      <c r="O73" s="63"/>
      <c r="P73" s="63"/>
      <c r="Q73" s="63"/>
      <c r="R73" s="63"/>
      <c r="S73" s="63"/>
      <c r="T73" s="63"/>
      <c r="U73" s="63"/>
      <c r="V73" s="63"/>
    </row>
    <row r="74" spans="4:23">
      <c r="D74" s="63"/>
      <c r="E74" s="63"/>
      <c r="F74" s="63"/>
      <c r="G74" s="63"/>
      <c r="H74" s="63"/>
      <c r="I74" s="63"/>
      <c r="J74" s="63"/>
      <c r="K74" s="63"/>
      <c r="L74" s="63"/>
      <c r="M74" s="63"/>
      <c r="N74" s="63"/>
      <c r="O74" s="63"/>
      <c r="P74" s="63"/>
      <c r="Q74" s="63"/>
      <c r="R74" s="63"/>
      <c r="S74" s="63"/>
      <c r="T74" s="63"/>
      <c r="U74" s="63"/>
      <c r="V74" s="63"/>
    </row>
    <row r="75" spans="4:23">
      <c r="D75" s="62" t="s">
        <v>234</v>
      </c>
      <c r="E75" s="63"/>
      <c r="F75" s="63"/>
      <c r="G75" s="63"/>
      <c r="H75" s="63"/>
      <c r="I75" s="63"/>
      <c r="J75" s="63"/>
      <c r="K75" s="63"/>
      <c r="L75" s="63"/>
      <c r="M75" s="63"/>
      <c r="N75" s="63"/>
      <c r="O75" s="63"/>
      <c r="P75" s="63"/>
      <c r="Q75" s="63"/>
      <c r="R75" s="63"/>
      <c r="S75" s="63"/>
      <c r="T75" s="63"/>
      <c r="U75" s="63"/>
      <c r="V75" s="63"/>
    </row>
    <row r="76" spans="4:23">
      <c r="D76" s="63"/>
      <c r="E76" s="63"/>
      <c r="F76" s="63"/>
      <c r="G76" s="63"/>
      <c r="H76" s="63"/>
      <c r="I76" s="63"/>
      <c r="J76" s="63"/>
      <c r="K76" s="63"/>
      <c r="L76" s="63"/>
      <c r="M76" s="63"/>
      <c r="N76" s="63"/>
      <c r="O76" s="63"/>
      <c r="P76" s="63"/>
      <c r="Q76" s="63"/>
      <c r="R76" s="63"/>
      <c r="S76" s="63"/>
      <c r="T76" s="63"/>
      <c r="U76" s="63"/>
      <c r="V76" s="63"/>
    </row>
    <row r="77" spans="4:23">
      <c r="D77" s="62" t="s">
        <v>235</v>
      </c>
      <c r="E77" s="62"/>
      <c r="F77" s="62"/>
      <c r="G77" s="62"/>
      <c r="H77" s="62"/>
      <c r="I77" s="63"/>
      <c r="J77" s="63"/>
      <c r="K77" s="63"/>
      <c r="L77" s="63"/>
      <c r="M77" s="63"/>
      <c r="N77" s="63"/>
      <c r="O77" s="63"/>
      <c r="P77" s="63"/>
      <c r="Q77" s="63"/>
      <c r="R77" s="63"/>
      <c r="S77" s="63"/>
      <c r="T77" s="63"/>
      <c r="U77" s="63"/>
      <c r="V77" s="63"/>
    </row>
    <row r="78" spans="4:23">
      <c r="D78" s="64" t="s">
        <v>236</v>
      </c>
      <c r="E78" s="63"/>
      <c r="F78" s="63"/>
      <c r="G78" s="63"/>
      <c r="H78" s="63"/>
      <c r="I78" s="63"/>
      <c r="J78" s="63"/>
      <c r="K78" s="63"/>
      <c r="L78" s="63"/>
      <c r="M78" s="63"/>
      <c r="N78" s="63"/>
      <c r="O78" s="63"/>
      <c r="P78" s="63"/>
      <c r="Q78" s="63"/>
      <c r="R78" s="63"/>
      <c r="S78" s="63"/>
      <c r="T78" s="63"/>
      <c r="U78" s="63"/>
      <c r="V78" s="63"/>
    </row>
    <row r="79" spans="4:23">
      <c r="D79" s="162" t="s">
        <v>237</v>
      </c>
      <c r="E79" s="327" t="str">
        <f>D44</f>
        <v>당반기말</v>
      </c>
      <c r="F79" s="164" t="s">
        <v>238</v>
      </c>
      <c r="G79" s="63"/>
      <c r="H79" s="63"/>
      <c r="I79" s="63"/>
      <c r="J79" s="63"/>
      <c r="K79" s="63"/>
      <c r="L79" s="63"/>
      <c r="M79" s="63"/>
      <c r="N79" s="63"/>
      <c r="O79" s="63"/>
      <c r="P79" s="63"/>
      <c r="Q79" s="63"/>
      <c r="R79" s="63"/>
      <c r="S79" s="63"/>
      <c r="T79" s="63"/>
      <c r="U79" s="63"/>
      <c r="V79" s="63"/>
    </row>
    <row r="80" spans="4:23">
      <c r="D80" s="67" t="s">
        <v>239</v>
      </c>
      <c r="E80" s="68">
        <f>BS!E91</f>
        <v>12842260610</v>
      </c>
      <c r="F80" s="143">
        <f>BS!F91</f>
        <v>12704252299</v>
      </c>
      <c r="G80" s="63"/>
      <c r="H80" s="63"/>
      <c r="I80" s="63"/>
      <c r="J80" s="63"/>
      <c r="K80" s="63"/>
      <c r="L80" s="63"/>
      <c r="M80" s="63"/>
      <c r="N80" s="63"/>
      <c r="O80" s="63"/>
      <c r="P80" s="63"/>
      <c r="Q80" s="63"/>
      <c r="R80" s="63"/>
      <c r="S80" s="63"/>
      <c r="T80" s="63"/>
      <c r="U80" s="63"/>
      <c r="V80" s="63"/>
    </row>
    <row r="81" spans="4:22">
      <c r="D81" s="67" t="s">
        <v>240</v>
      </c>
      <c r="E81" s="68">
        <f>BS!E101</f>
        <v>41700785295</v>
      </c>
      <c r="F81" s="143">
        <f>BS!F101</f>
        <v>42489635105</v>
      </c>
      <c r="G81" s="63"/>
      <c r="H81" s="63"/>
      <c r="I81" s="63"/>
      <c r="J81" s="63"/>
      <c r="K81" s="63"/>
      <c r="L81" s="63"/>
      <c r="M81" s="63"/>
      <c r="N81" s="63"/>
      <c r="O81" s="63"/>
      <c r="P81" s="63"/>
      <c r="Q81" s="63"/>
      <c r="R81" s="63"/>
      <c r="S81" s="63"/>
      <c r="T81" s="63"/>
      <c r="U81" s="63"/>
      <c r="V81" s="63"/>
    </row>
    <row r="82" spans="4:22">
      <c r="D82" s="77" t="s">
        <v>241</v>
      </c>
      <c r="E82" s="325">
        <f>E80/E81</f>
        <v>0.30796208078939485</v>
      </c>
      <c r="F82" s="325">
        <f>F80/F81</f>
        <v>0.29899650273779399</v>
      </c>
      <c r="G82" s="63"/>
      <c r="H82" s="63"/>
      <c r="I82" s="63"/>
      <c r="J82" s="63"/>
      <c r="K82" s="63"/>
      <c r="L82" s="63"/>
      <c r="M82" s="63"/>
      <c r="N82" s="63"/>
      <c r="O82" s="63"/>
      <c r="P82" s="63"/>
      <c r="Q82" s="63"/>
      <c r="R82" s="63"/>
      <c r="S82" s="63"/>
      <c r="T82" s="63"/>
      <c r="U82" s="63"/>
      <c r="V82" s="63"/>
    </row>
    <row r="84" spans="4:22" hidden="1" outlineLevel="1"/>
    <row r="85" spans="4:22" hidden="1" outlineLevel="1">
      <c r="D85" s="320" t="s">
        <v>1638</v>
      </c>
    </row>
    <row r="86" spans="4:22" hidden="1" outlineLevel="1"/>
    <row r="87" spans="4:22" hidden="1" outlineLevel="1"/>
    <row r="88" spans="4:22" hidden="1" outlineLevel="1">
      <c r="D88" s="162" t="s">
        <v>237</v>
      </c>
      <c r="E88" s="162" t="str">
        <f>E79</f>
        <v>당반기말</v>
      </c>
      <c r="F88" s="162" t="str">
        <f>F79</f>
        <v>전기말</v>
      </c>
      <c r="G88" s="769"/>
      <c r="H88" s="769"/>
      <c r="I88" s="769"/>
    </row>
    <row r="89" spans="4:22" hidden="1" outlineLevel="1">
      <c r="D89" s="770" t="s">
        <v>1639</v>
      </c>
      <c r="E89" s="771">
        <f>SUMIFS('19'!H:H,'19'!L:L,"변동")</f>
        <v>700000000</v>
      </c>
      <c r="F89" s="771">
        <f>SUMIFS('19'!I:I,'19'!M:M,"변동")</f>
        <v>783300000</v>
      </c>
      <c r="G89" s="769"/>
      <c r="H89" s="769"/>
      <c r="I89" s="769"/>
    </row>
    <row r="90" spans="4:22" hidden="1" outlineLevel="1">
      <c r="D90" s="769"/>
      <c r="E90" s="772"/>
      <c r="F90" s="769"/>
      <c r="G90" s="769"/>
      <c r="H90" s="769"/>
      <c r="I90" s="769"/>
    </row>
    <row r="91" spans="4:22" hidden="1" outlineLevel="1">
      <c r="D91" s="769"/>
      <c r="E91" s="772"/>
      <c r="F91" s="769"/>
      <c r="G91" s="769"/>
      <c r="H91" s="769"/>
      <c r="I91" s="769"/>
    </row>
    <row r="92" spans="4:22" hidden="1" outlineLevel="1">
      <c r="D92" s="769" t="s">
        <v>1640</v>
      </c>
      <c r="E92" s="772"/>
      <c r="F92" s="769"/>
      <c r="G92" s="769"/>
      <c r="H92" s="769"/>
      <c r="I92" s="769"/>
    </row>
    <row r="93" spans="4:22" hidden="1" outlineLevel="1">
      <c r="D93" s="1261" t="s">
        <v>237</v>
      </c>
      <c r="E93" s="776" t="s">
        <v>1802</v>
      </c>
      <c r="F93" s="776"/>
      <c r="G93" s="776" t="s">
        <v>274</v>
      </c>
      <c r="H93" s="776"/>
      <c r="I93" s="769"/>
    </row>
    <row r="94" spans="4:22" hidden="1" outlineLevel="1">
      <c r="D94" s="1262"/>
      <c r="E94" s="162" t="s">
        <v>1641</v>
      </c>
      <c r="F94" s="162" t="s">
        <v>1642</v>
      </c>
      <c r="G94" s="162" t="s">
        <v>1641</v>
      </c>
      <c r="H94" s="162" t="s">
        <v>1642</v>
      </c>
      <c r="I94" s="769"/>
    </row>
    <row r="95" spans="4:22" hidden="1" outlineLevel="1">
      <c r="D95" s="773" t="s">
        <v>25</v>
      </c>
      <c r="E95" s="774">
        <f>-ROUND(E89*1%,)</f>
        <v>-7000000</v>
      </c>
      <c r="F95" s="775">
        <f>-E95</f>
        <v>7000000</v>
      </c>
      <c r="G95" s="774">
        <f>-ROUND(F89*1%,)</f>
        <v>-7833000</v>
      </c>
      <c r="H95" s="775">
        <f>-G95</f>
        <v>7833000</v>
      </c>
      <c r="I95" s="769"/>
    </row>
    <row r="96" spans="4:22" hidden="1" outlineLevel="1"/>
    <row r="97" collapsed="1"/>
  </sheetData>
  <mergeCells count="14">
    <mergeCell ref="D93:D94"/>
    <mergeCell ref="D40:N40"/>
    <mergeCell ref="D34:D35"/>
    <mergeCell ref="E26:E27"/>
    <mergeCell ref="D28:D29"/>
    <mergeCell ref="D26:D27"/>
    <mergeCell ref="D30:D31"/>
    <mergeCell ref="D32:D33"/>
    <mergeCell ref="E10:E11"/>
    <mergeCell ref="D12:D15"/>
    <mergeCell ref="D19:D22"/>
    <mergeCell ref="F26:G26"/>
    <mergeCell ref="D10:D11"/>
    <mergeCell ref="D17:D18"/>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8" operator="containsText" id="{6936C7DF-0F34-4DA3-86F4-9A33B0A54687}">
            <xm:f>NOT(ISERROR(SEARCH("true",A19)))</xm:f>
            <xm:f>"true"</xm:f>
            <x14:dxf>
              <fill>
                <patternFill>
                  <bgColor theme="9" tint="0.79998168889431442"/>
                </patternFill>
              </fill>
            </x14:dxf>
          </x14:cfRule>
          <x14:cfRule type="containsText" priority="19" operator="containsText" id="{39851F76-CE69-443D-9802-D20A058FE327}">
            <xm:f>NOT(ISERROR(SEARCH("False",A19)))</xm:f>
            <xm:f>"False"</xm:f>
            <x14:dxf>
              <fill>
                <patternFill>
                  <bgColor theme="5"/>
                </patternFill>
              </fill>
            </x14:dxf>
          </x14:cfRule>
          <xm:sqref>A19:F22</xm:sqref>
        </x14:conditionalFormatting>
        <x14:conditionalFormatting xmlns:xm="http://schemas.microsoft.com/office/excel/2006/main">
          <x14:cfRule type="containsText" priority="22" operator="containsText" id="{61E59637-EB1C-46A2-9A52-5E8DD9AE5871}">
            <xm:f>NOT(ISERROR(SEARCH("true",A1)))</xm:f>
            <xm:f>"true"</xm:f>
            <x14:dxf>
              <fill>
                <patternFill>
                  <bgColor theme="9" tint="0.79998168889431442"/>
                </patternFill>
              </fill>
            </x14:dxf>
          </x14:cfRule>
          <xm:sqref>A1:XFD8 A9:F9 H9:XFD9 A10:J12 M10:XFD17 A13:I17 J13:J22 A18:C18 E18:I18 K18:XFD22 A23:XFD27 A28:C35 H28:XFD35 A36:XFD42 A43:C43 F43:XFD43 A44:XFD60 F61:J61 A61:C69 K61:XFD69 D62:J69 A70:XFD87 A88:C95 J88:XFD95 A96:XFD1048576</xm:sqref>
        </x14:conditionalFormatting>
        <x14:conditionalFormatting xmlns:xm="http://schemas.microsoft.com/office/excel/2006/main">
          <x14:cfRule type="containsText" priority="23" operator="containsText" id="{844338C8-DD98-4A30-BDA8-07E969FE72F1}">
            <xm:f>NOT(ISERROR(SEARCH("False",A1)))</xm:f>
            <xm:f>"False"</xm:f>
            <x14:dxf>
              <fill>
                <patternFill>
                  <bgColor theme="5"/>
                </patternFill>
              </fill>
            </x14:dxf>
          </x14:cfRule>
          <xm:sqref>A1:XFD8 A9:F9 H9:XFD9 A10:J12 M10:XFD17 G12:G19 A13:I17 J13:J22 A18:C18 E18:I18 K18:XFD22 A23:XFD27 A28:C35 H28:XFD35 A36:XFD42 A43:C43 F43:XFD43 A44:XFD60 F61:J61 A61:C69 K61:XFD69 D62:J69 A70:XFD87 A88:C95 J88:XFD95 A96:XFD1048576</xm:sqref>
        </x14:conditionalFormatting>
        <x14:conditionalFormatting xmlns:xm="http://schemas.microsoft.com/office/excel/2006/main">
          <x14:cfRule type="containsText" priority="7" operator="containsText" id="{59571863-9C26-45D8-A8DD-6E69BF994141}">
            <xm:f>NOT(ISERROR(SEARCH("true",D88)))</xm:f>
            <xm:f>"true"</xm:f>
            <x14:dxf>
              <fill>
                <patternFill>
                  <bgColor theme="9" tint="0.79998168889431442"/>
                </patternFill>
              </fill>
            </x14:dxf>
          </x14:cfRule>
          <x14:cfRule type="containsText" priority="8" operator="containsText" id="{4248E845-2310-4FF4-A4DA-92286DE4E682}">
            <xm:f>NOT(ISERROR(SEARCH("False",D88)))</xm:f>
            <xm:f>"False"</xm:f>
            <x14:dxf>
              <fill>
                <patternFill>
                  <bgColor theme="5"/>
                </patternFill>
              </fill>
            </x14:dxf>
          </x14:cfRule>
          <xm:sqref>D88:F88</xm:sqref>
        </x14:conditionalFormatting>
        <x14:conditionalFormatting xmlns:xm="http://schemas.microsoft.com/office/excel/2006/main">
          <x14:cfRule type="containsText" priority="12" operator="containsText" id="{9C041A75-2657-4A32-81D7-6520B14DEC2A}">
            <xm:f>NOT(ISERROR(SEARCH("true",D28)))</xm:f>
            <xm:f>"true"</xm:f>
            <x14:dxf>
              <fill>
                <patternFill>
                  <bgColor theme="9" tint="0.79998168889431442"/>
                </patternFill>
              </fill>
            </x14:dxf>
          </x14:cfRule>
          <x14:cfRule type="containsText" priority="13" operator="containsText" id="{44CEEC6B-5DFB-4DD1-96B1-E8EF4E965CDD}">
            <xm:f>NOT(ISERROR(SEARCH("False",D28)))</xm:f>
            <xm:f>"False"</xm:f>
            <x14:dxf>
              <fill>
                <patternFill>
                  <bgColor theme="5"/>
                </patternFill>
              </fill>
            </x14:dxf>
          </x14:cfRule>
          <xm:sqref>D28:G31 D32</xm:sqref>
        </x14:conditionalFormatting>
        <x14:conditionalFormatting xmlns:xm="http://schemas.microsoft.com/office/excel/2006/main">
          <x14:cfRule type="containsText" priority="5" operator="containsText" id="{AE2C0B94-58A2-430A-B769-6C376B75C6A9}">
            <xm:f>NOT(ISERROR(SEARCH("true",D93)))</xm:f>
            <xm:f>"true"</xm:f>
            <x14:dxf>
              <fill>
                <patternFill>
                  <bgColor theme="9" tint="0.79998168889431442"/>
                </patternFill>
              </fill>
            </x14:dxf>
          </x14:cfRule>
          <x14:cfRule type="containsText" priority="6" operator="containsText" id="{3875B368-33EE-43FB-8593-B1921FAACE14}">
            <xm:f>NOT(ISERROR(SEARCH("False",D93)))</xm:f>
            <xm:f>"False"</xm:f>
            <x14:dxf>
              <fill>
                <patternFill>
                  <bgColor theme="5"/>
                </patternFill>
              </fill>
            </x14:dxf>
          </x14:cfRule>
          <xm:sqref>D93:H93 E94:H94</xm:sqref>
        </x14:conditionalFormatting>
        <x14:conditionalFormatting xmlns:xm="http://schemas.microsoft.com/office/excel/2006/main">
          <x14:cfRule type="containsText" priority="9" operator="containsText" id="{E886985E-5840-44E7-B81C-13933B516646}">
            <xm:f>NOT(ISERROR(SEARCH(FALSE,D95)))</xm:f>
            <xm:f>FALSE</xm:f>
            <x14:dxf>
              <fill>
                <patternFill>
                  <bgColor rgb="FFFF0000"/>
                </patternFill>
              </fill>
            </x14:dxf>
          </x14:cfRule>
          <xm:sqref>D95:H95</xm:sqref>
        </x14:conditionalFormatting>
        <x14:conditionalFormatting xmlns:xm="http://schemas.microsoft.com/office/excel/2006/main">
          <x14:cfRule type="containsText" priority="10" operator="containsText" id="{3ACB7335-4C77-4873-A89E-79E6E668208B}">
            <xm:f>NOT(ISERROR(SEARCH("true",E32)))</xm:f>
            <xm:f>"true"</xm:f>
            <x14:dxf>
              <fill>
                <patternFill>
                  <bgColor theme="9" tint="0.79998168889431442"/>
                </patternFill>
              </fill>
            </x14:dxf>
          </x14:cfRule>
          <x14:cfRule type="containsText" priority="11" operator="containsText" id="{47C28B91-A604-4A07-8DA7-1A5248D772EE}">
            <xm:f>NOT(ISERROR(SEARCH("False",E32)))</xm:f>
            <xm:f>"False"</xm:f>
            <x14:dxf>
              <fill>
                <patternFill>
                  <bgColor theme="5"/>
                </patternFill>
              </fill>
            </x14:dxf>
          </x14:cfRule>
          <xm:sqref>E32:G35</xm:sqref>
        </x14:conditionalFormatting>
        <x14:conditionalFormatting xmlns:xm="http://schemas.microsoft.com/office/excel/2006/main">
          <x14:cfRule type="containsText" priority="14" operator="containsText" id="{4B9528E9-27ED-426D-908F-6D1D4BA3176A}">
            <xm:f>NOT(ISERROR(SEARCH("true",G12)))</xm:f>
            <xm:f>"true"</xm:f>
            <x14:dxf>
              <fill>
                <patternFill>
                  <bgColor theme="9" tint="0.79998168889431442"/>
                </patternFill>
              </fill>
            </x14:dxf>
          </x14:cfRule>
          <xm:sqref>G12:G22</xm:sqref>
        </x14:conditionalFormatting>
        <x14:conditionalFormatting xmlns:xm="http://schemas.microsoft.com/office/excel/2006/main">
          <x14:cfRule type="containsText" priority="15" operator="containsText" id="{A4BC6B2E-905A-4DCE-98A5-366BBD14BA4E}">
            <xm:f>NOT(ISERROR(SEARCH("False",G20)))</xm:f>
            <xm:f>"False"</xm:f>
            <x14:dxf>
              <fill>
                <patternFill>
                  <bgColor theme="5"/>
                </patternFill>
              </fill>
            </x14:dxf>
          </x14:cfRule>
          <xm:sqref>G20:G22</xm:sqref>
        </x14:conditionalFormatting>
        <x14:conditionalFormatting xmlns:xm="http://schemas.microsoft.com/office/excel/2006/main">
          <x14:cfRule type="containsText" priority="16" operator="containsText" id="{4A54DA24-A8D0-4305-922B-2D632F0FB34A}">
            <xm:f>NOT(ISERROR(SEARCH("true",H19)))</xm:f>
            <xm:f>"true"</xm:f>
            <x14:dxf>
              <fill>
                <patternFill>
                  <bgColor theme="9" tint="0.79998168889431442"/>
                </patternFill>
              </fill>
            </x14:dxf>
          </x14:cfRule>
          <x14:cfRule type="containsText" priority="17" operator="containsText" id="{3F64558F-044C-4F27-8E55-60061E6B990A}">
            <xm:f>NOT(ISERROR(SEARCH("False",H19)))</xm:f>
            <xm:f>"False"</xm:f>
            <x14:dxf>
              <fill>
                <patternFill>
                  <bgColor theme="5"/>
                </patternFill>
              </fill>
            </x14:dxf>
          </x14:cfRule>
          <xm:sqref>H19:I22</xm:sqref>
        </x14:conditionalFormatting>
        <x14:conditionalFormatting xmlns:xm="http://schemas.microsoft.com/office/excel/2006/main">
          <x14:cfRule type="containsText" priority="1" operator="containsText" id="{30516E0A-178F-48FE-B79D-3C7D9910CEA7}">
            <xm:f>NOT(ISERROR(SEARCH("FALSE",K10)))</xm:f>
            <xm:f>"FALSE"</xm:f>
            <x14:dxf>
              <fill>
                <patternFill>
                  <bgColor rgb="FFFF0000"/>
                </patternFill>
              </fill>
            </x14:dxf>
          </x14:cfRule>
          <xm:sqref>K10:L17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B2:J34"/>
  <sheetViews>
    <sheetView showGridLines="0" topLeftCell="A10" workbookViewId="0">
      <selection activeCell="E34" sqref="E34:H34"/>
    </sheetView>
  </sheetViews>
  <sheetFormatPr defaultColWidth="8.5703125" defaultRowHeight="15"/>
  <cols>
    <col min="1" max="2" width="1.85546875" style="55" customWidth="1"/>
    <col min="3" max="3" width="1.5" style="55" customWidth="1"/>
    <col min="4" max="4" width="46.0703125" style="55" customWidth="1"/>
    <col min="5" max="8" width="12.5703125" style="55" customWidth="1"/>
    <col min="9" max="10" width="11.35546875" style="55" bestFit="1" customWidth="1"/>
    <col min="11" max="16384" width="8.5703125" style="55"/>
  </cols>
  <sheetData>
    <row r="2" spans="2:10">
      <c r="B2" s="54" t="s">
        <v>984</v>
      </c>
    </row>
    <row r="4" spans="2:10">
      <c r="D4" s="62" t="s">
        <v>242</v>
      </c>
      <c r="E4" s="63"/>
      <c r="F4" s="63"/>
    </row>
    <row r="5" spans="2:10">
      <c r="D5" s="63"/>
      <c r="E5" s="63"/>
      <c r="F5" s="63"/>
    </row>
    <row r="6" spans="2:10">
      <c r="D6" s="1206" t="s">
        <v>243</v>
      </c>
      <c r="E6" s="1206"/>
      <c r="F6" s="1206"/>
    </row>
    <row r="7" spans="2:10">
      <c r="D7" s="64" t="s">
        <v>236</v>
      </c>
      <c r="E7" s="63"/>
      <c r="F7" s="63"/>
    </row>
    <row r="8" spans="2:10">
      <c r="D8" s="1269" t="s">
        <v>377</v>
      </c>
      <c r="E8" s="86" t="str">
        <f>'4'!E79</f>
        <v>당반기말</v>
      </c>
      <c r="F8" s="87"/>
      <c r="G8" s="86" t="s">
        <v>985</v>
      </c>
      <c r="H8" s="87"/>
    </row>
    <row r="9" spans="2:10">
      <c r="D9" s="1270"/>
      <c r="E9" s="88" t="s">
        <v>379</v>
      </c>
      <c r="F9" s="88" t="s">
        <v>380</v>
      </c>
      <c r="G9" s="88" t="s">
        <v>379</v>
      </c>
      <c r="H9" s="88" t="s">
        <v>380</v>
      </c>
    </row>
    <row r="10" spans="2:10">
      <c r="D10" s="65" t="s">
        <v>245</v>
      </c>
      <c r="E10" s="66"/>
      <c r="F10" s="66"/>
      <c r="G10" s="66"/>
      <c r="H10" s="66"/>
    </row>
    <row r="11" spans="2:10">
      <c r="D11" s="74" t="s">
        <v>246</v>
      </c>
      <c r="E11" s="68">
        <f>VLOOKUP($D11,BS!$C$4:$F$102,3,0)</f>
        <v>10968165061</v>
      </c>
      <c r="F11" s="68">
        <f t="shared" ref="F11:F16" si="0">E11</f>
        <v>10968165061</v>
      </c>
      <c r="G11" s="68">
        <f>VLOOKUP($D11,BS!$C$4:$F$102,4,0)</f>
        <v>19169211185</v>
      </c>
      <c r="H11" s="68">
        <f t="shared" ref="H11:H16" si="1">G11</f>
        <v>19169211185</v>
      </c>
      <c r="I11" s="55" t="b">
        <f>E11=Dart_BS!C6</f>
        <v>1</v>
      </c>
      <c r="J11" s="55" t="b">
        <f>G11=Dart_BS!D6</f>
        <v>1</v>
      </c>
    </row>
    <row r="12" spans="2:10">
      <c r="D12" s="74" t="s">
        <v>254</v>
      </c>
      <c r="E12" s="68">
        <f>VLOOKUP($D12,BS!$C$4:$F$102,3,0)</f>
        <v>1667306010</v>
      </c>
      <c r="F12" s="68">
        <f t="shared" si="0"/>
        <v>1667306010</v>
      </c>
      <c r="G12" s="68">
        <f>VLOOKUP($D12,BS!$C$4:$F$102,4,0)</f>
        <v>2048442985</v>
      </c>
      <c r="H12" s="68">
        <f t="shared" si="1"/>
        <v>2048442985</v>
      </c>
      <c r="I12" s="55" t="b">
        <f>E12=Dart_BS!C8</f>
        <v>1</v>
      </c>
      <c r="J12" s="55" t="b">
        <f>Dart_BS!D8='5'!G12</f>
        <v>1</v>
      </c>
    </row>
    <row r="13" spans="2:10">
      <c r="D13" s="74" t="s">
        <v>247</v>
      </c>
      <c r="E13" s="68">
        <f>VLOOKUP($D13,BS!$C$4:$F$102,3,0)</f>
        <v>0</v>
      </c>
      <c r="F13" s="68">
        <f t="shared" si="0"/>
        <v>0</v>
      </c>
      <c r="G13" s="68">
        <f>VLOOKUP($D13,BS!$C$4:$F$102,4,0)</f>
        <v>0</v>
      </c>
      <c r="H13" s="68">
        <f t="shared" si="1"/>
        <v>0</v>
      </c>
      <c r="I13" s="55" t="b">
        <f>E13=Dart_BS!C7</f>
        <v>1</v>
      </c>
      <c r="J13" s="55" t="b">
        <f>G13=Dart_BS!D7</f>
        <v>1</v>
      </c>
    </row>
    <row r="14" spans="2:10">
      <c r="D14" s="74" t="s">
        <v>1214</v>
      </c>
      <c r="E14" s="68">
        <f>VLOOKUP($D14,BS!$C$4:$F$102,3,0)</f>
        <v>0</v>
      </c>
      <c r="F14" s="68">
        <f t="shared" si="0"/>
        <v>0</v>
      </c>
      <c r="G14" s="68">
        <f>VLOOKUP($D14,BS!$C$4:$F$102,4,0)</f>
        <v>1250001</v>
      </c>
      <c r="H14" s="68">
        <f t="shared" si="1"/>
        <v>1250001</v>
      </c>
      <c r="I14" s="55" t="b">
        <f>E14=Dart_BS!C11</f>
        <v>1</v>
      </c>
      <c r="J14" s="55" t="b">
        <f>G14=Dart_BS!D11</f>
        <v>1</v>
      </c>
    </row>
    <row r="15" spans="2:10">
      <c r="D15" s="74" t="s">
        <v>248</v>
      </c>
      <c r="E15" s="68">
        <f>VLOOKUP($D15,BS!$C$4:$F$102,3,0)</f>
        <v>386082376</v>
      </c>
      <c r="F15" s="68">
        <f t="shared" si="0"/>
        <v>386082376</v>
      </c>
      <c r="G15" s="68">
        <f>VLOOKUP($D15,BS!$C$4:$F$102,4,0)</f>
        <v>388220275</v>
      </c>
      <c r="H15" s="68">
        <f t="shared" si="1"/>
        <v>388220275</v>
      </c>
      <c r="I15" s="55" t="b">
        <f>E15=Dart_BS!C14</f>
        <v>1</v>
      </c>
      <c r="J15" s="55" t="b">
        <f>G15=Dart_BS!D14</f>
        <v>1</v>
      </c>
    </row>
    <row r="16" spans="2:10">
      <c r="D16" s="730" t="s">
        <v>1534</v>
      </c>
      <c r="E16" s="68">
        <f>VLOOKUP($D16,BS!$C$4:$F$102,3,0)</f>
        <v>172664940</v>
      </c>
      <c r="F16" s="555">
        <f t="shared" si="0"/>
        <v>172664940</v>
      </c>
      <c r="G16" s="68">
        <f>VLOOKUP($D16,BS!$C$4:$F$102,4,0)</f>
        <v>172664940</v>
      </c>
      <c r="H16" s="68">
        <f t="shared" si="1"/>
        <v>172664940</v>
      </c>
      <c r="I16" s="55" t="b">
        <f>E16=Dart_BS!C15</f>
        <v>1</v>
      </c>
      <c r="J16" s="55" t="b">
        <f>G16=Dart_BS!D15</f>
        <v>1</v>
      </c>
    </row>
    <row r="17" spans="4:10">
      <c r="D17" s="69" t="s">
        <v>249</v>
      </c>
      <c r="E17" s="68">
        <f>SUM(E11:E16)</f>
        <v>13194218387</v>
      </c>
      <c r="F17" s="68">
        <f>SUM(F11:F16)</f>
        <v>13194218387</v>
      </c>
      <c r="G17" s="68">
        <f>SUM(G11:G16)</f>
        <v>21779789386</v>
      </c>
      <c r="H17" s="68">
        <f>SUM(H11:H16)</f>
        <v>21779789386</v>
      </c>
    </row>
    <row r="18" spans="4:10">
      <c r="D18" s="67" t="s">
        <v>250</v>
      </c>
      <c r="E18" s="70"/>
      <c r="F18" s="70"/>
      <c r="G18" s="70"/>
      <c r="H18" s="70"/>
    </row>
    <row r="19" spans="4:10">
      <c r="D19" s="74" t="s">
        <v>255</v>
      </c>
      <c r="E19" s="68">
        <f>VLOOKUP($D19,BS!$C$4:$F$102,3,0)</f>
        <v>3144825470</v>
      </c>
      <c r="F19" s="70">
        <f>E19</f>
        <v>3144825470</v>
      </c>
      <c r="G19" s="68">
        <f>VLOOKUP($D19,BS!$C$4:$F$102,4,0)</f>
        <v>1584755867</v>
      </c>
      <c r="H19" s="70">
        <f>G19</f>
        <v>1584755867</v>
      </c>
      <c r="I19" s="55" t="b">
        <f>E19=Dart_BS!C23</f>
        <v>1</v>
      </c>
      <c r="J19" s="55" t="b">
        <f>G19=Dart_BS!D23</f>
        <v>1</v>
      </c>
    </row>
    <row r="20" spans="4:10">
      <c r="D20" s="74" t="s">
        <v>251</v>
      </c>
      <c r="E20" s="68">
        <f>VLOOKUP($D20,BS!$C$4:$F$102,3,0)</f>
        <v>1120000000</v>
      </c>
      <c r="F20" s="70">
        <f>E20</f>
        <v>1120000000</v>
      </c>
      <c r="G20" s="68">
        <f>VLOOKUP($D20,BS!$C$4:$F$102,4,0)</f>
        <v>1120000000</v>
      </c>
      <c r="H20" s="70">
        <f>G20</f>
        <v>1120000000</v>
      </c>
      <c r="I20" s="55" t="b">
        <f>E20=Dart_BS!C24</f>
        <v>1</v>
      </c>
      <c r="J20" s="55" t="b">
        <f>G20=Dart_BS!D24</f>
        <v>1</v>
      </c>
    </row>
    <row r="21" spans="4:10">
      <c r="D21" s="74" t="s">
        <v>986</v>
      </c>
      <c r="E21" s="68">
        <f>SUM(E26:E27)</f>
        <v>1336425241</v>
      </c>
      <c r="F21" s="70">
        <f>E21</f>
        <v>1336425241</v>
      </c>
      <c r="G21" s="68">
        <f>SUM(G26:G27)</f>
        <v>1595258905</v>
      </c>
      <c r="H21" s="70">
        <f>G21</f>
        <v>1595258905</v>
      </c>
      <c r="I21" s="55" t="b">
        <f>Dart_BS!C26+Dart_BS!C30=E21</f>
        <v>1</v>
      </c>
      <c r="J21" s="55" t="b">
        <f>Dart_BS!D26+Dart_BS!D30=G21</f>
        <v>1</v>
      </c>
    </row>
    <row r="22" spans="4:10">
      <c r="D22" s="74" t="s">
        <v>987</v>
      </c>
      <c r="E22" s="68">
        <f>SUM(E28:E29)</f>
        <v>4100000000</v>
      </c>
      <c r="F22" s="70">
        <f>E22</f>
        <v>4100000000</v>
      </c>
      <c r="G22" s="68">
        <f>SUM(G28:G29)</f>
        <v>4183300000</v>
      </c>
      <c r="H22" s="70">
        <f>G22</f>
        <v>4183300000</v>
      </c>
      <c r="I22" s="55" t="b">
        <f>Dart_BS!C25+Dart_BS!C29=E22</f>
        <v>1</v>
      </c>
      <c r="J22" s="55" t="b">
        <f>Dart_BS!D25+Dart_BS!D29=G22</f>
        <v>1</v>
      </c>
    </row>
    <row r="23" spans="4:10">
      <c r="D23" s="71" t="s">
        <v>249</v>
      </c>
      <c r="E23" s="72">
        <f>SUM(E19:E22)</f>
        <v>9701250711</v>
      </c>
      <c r="F23" s="72">
        <f>SUM(F19:F22)</f>
        <v>9701250711</v>
      </c>
      <c r="G23" s="72">
        <f>SUM(G19:G22)</f>
        <v>8483314772</v>
      </c>
      <c r="H23" s="72">
        <f>SUM(H19:H22)</f>
        <v>8483314772</v>
      </c>
    </row>
    <row r="26" spans="4:10">
      <c r="D26" s="55" t="s">
        <v>638</v>
      </c>
      <c r="E26" s="68">
        <f>VLOOKUP($D26,BS!$C$4:$F$102,3,0)</f>
        <v>537067117</v>
      </c>
      <c r="G26" s="68">
        <f>VLOOKUP($D26,BS!$C$4:$F$102,4,0)</f>
        <v>545986082</v>
      </c>
    </row>
    <row r="27" spans="4:10">
      <c r="D27" s="55" t="s">
        <v>437</v>
      </c>
      <c r="E27" s="68">
        <f>VLOOKUP($D27,BS!$C$4:$F$102,3,0)</f>
        <v>799358124</v>
      </c>
      <c r="G27" s="68">
        <f>VLOOKUP($D27,BS!$C$4:$F$102,4,0)</f>
        <v>1049272823</v>
      </c>
    </row>
    <row r="28" spans="4:10">
      <c r="D28" s="55" t="s">
        <v>662</v>
      </c>
      <c r="E28" s="68">
        <f>VLOOKUP($D28,BS!$C$4:$F$102,3,0)</f>
        <v>0</v>
      </c>
      <c r="G28" s="68">
        <f>VLOOKUP($D28,BS!$C$4:$F$102,4,0)</f>
        <v>83300000</v>
      </c>
    </row>
    <row r="29" spans="4:10">
      <c r="D29" s="55" t="s">
        <v>253</v>
      </c>
      <c r="E29" s="68">
        <f>VLOOKUP($D29,BS!$C$4:$F$102,3,0)</f>
        <v>4100000000</v>
      </c>
      <c r="G29" s="68">
        <f>VLOOKUP($D29,BS!$C$4:$F$102,4,0)</f>
        <v>4100000000</v>
      </c>
    </row>
    <row r="32" spans="4:10">
      <c r="D32" s="88" t="s">
        <v>1536</v>
      </c>
      <c r="E32" s="88" t="s">
        <v>1537</v>
      </c>
      <c r="F32" s="88" t="s">
        <v>1538</v>
      </c>
      <c r="G32" s="88" t="s">
        <v>1539</v>
      </c>
      <c r="H32" s="88" t="s">
        <v>1540</v>
      </c>
    </row>
    <row r="33" spans="4:8">
      <c r="D33" s="932" t="str">
        <f>E8</f>
        <v>당반기말</v>
      </c>
      <c r="E33" s="927"/>
      <c r="F33" s="927"/>
      <c r="G33" s="927"/>
      <c r="H33" s="928"/>
    </row>
    <row r="34" spans="4:8">
      <c r="D34" s="411" t="s">
        <v>1535</v>
      </c>
      <c r="E34" s="68" t="s">
        <v>298</v>
      </c>
      <c r="F34" s="68">
        <v>0</v>
      </c>
      <c r="G34" s="68">
        <f>F16</f>
        <v>172664940</v>
      </c>
      <c r="H34" s="68">
        <f>SUM(E34:G34)</f>
        <v>172664940</v>
      </c>
    </row>
  </sheetData>
  <mergeCells count="2">
    <mergeCell ref="D8:D9"/>
    <mergeCell ref="D6:F6"/>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20C67BE-F601-4050-BDBC-5C271811F8C2}">
            <xm:f>NOT(ISERROR(SEARCH("true",A1)))</xm:f>
            <xm:f>"true"</xm:f>
            <x14:dxf>
              <fill>
                <patternFill>
                  <bgColor theme="9" tint="0.79998168889431442"/>
                </patternFill>
              </fill>
            </x14:dxf>
          </x14:cfRule>
          <x14:cfRule type="containsText" priority="2" operator="containsText" id="{40D09E62-A3F1-45FE-AB99-A6178E9FD6D0}">
            <xm:f>NOT(ISERROR(SEARCH("false",A1)))</xm:f>
            <xm:f>"false"</xm:f>
            <x14:dxf>
              <fill>
                <patternFill>
                  <bgColor theme="5"/>
                </patternFill>
              </fill>
            </x14:dxf>
          </x14:cfRule>
          <xm:sqref>A1:XFD1048576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B2:M42"/>
  <sheetViews>
    <sheetView showGridLines="0" topLeftCell="A19" zoomScaleNormal="100" workbookViewId="0">
      <selection activeCell="G41" sqref="G41:H41"/>
    </sheetView>
  </sheetViews>
  <sheetFormatPr defaultColWidth="8.5703125" defaultRowHeight="15"/>
  <cols>
    <col min="1" max="2" width="1.85546875" style="55" customWidth="1"/>
    <col min="3" max="3" width="1.5" style="55" customWidth="1"/>
    <col min="4" max="4" width="46.0703125" style="55" customWidth="1"/>
    <col min="5" max="10" width="12.5703125" style="55" customWidth="1"/>
    <col min="11" max="12" width="10.0703125" style="55" bestFit="1" customWidth="1"/>
    <col min="13" max="16384" width="8.5703125" style="55"/>
  </cols>
  <sheetData>
    <row r="2" spans="2:10">
      <c r="B2" s="54" t="s">
        <v>988</v>
      </c>
    </row>
    <row r="4" spans="2:10">
      <c r="D4" s="62" t="s">
        <v>989</v>
      </c>
      <c r="E4" s="63"/>
      <c r="F4" s="63"/>
    </row>
    <row r="5" spans="2:10">
      <c r="D5" s="75"/>
      <c r="E5" s="63"/>
      <c r="F5" s="63"/>
      <c r="G5" s="63"/>
      <c r="H5" s="63"/>
      <c r="I5" s="63"/>
      <c r="J5" s="63"/>
    </row>
    <row r="6" spans="2:10">
      <c r="D6" s="84" t="s">
        <v>438</v>
      </c>
      <c r="E6" s="85" t="str">
        <f>'5'!E8</f>
        <v>당반기말</v>
      </c>
      <c r="F6" s="85" t="s">
        <v>985</v>
      </c>
      <c r="G6" s="63"/>
      <c r="H6" s="63"/>
      <c r="I6" s="63"/>
      <c r="J6" s="63"/>
    </row>
    <row r="7" spans="2:10">
      <c r="D7" s="89" t="s">
        <v>439</v>
      </c>
      <c r="E7" s="90"/>
      <c r="F7" s="92"/>
      <c r="G7" s="63"/>
      <c r="H7" s="63"/>
      <c r="I7" s="63"/>
      <c r="J7" s="63"/>
    </row>
    <row r="8" spans="2:10">
      <c r="D8" s="57" t="s">
        <v>246</v>
      </c>
      <c r="E8" s="78">
        <f>'5'!E11</f>
        <v>10968165061</v>
      </c>
      <c r="F8" s="78">
        <f>'5'!G11</f>
        <v>19169211185</v>
      </c>
      <c r="G8" s="63" t="b">
        <f>BS!E4=E8</f>
        <v>1</v>
      </c>
      <c r="H8" s="63" t="b">
        <f>BS!F4=F8</f>
        <v>1</v>
      </c>
      <c r="I8" s="63"/>
      <c r="J8" s="63"/>
    </row>
    <row r="9" spans="2:10">
      <c r="D9" s="57" t="s">
        <v>440</v>
      </c>
      <c r="E9" s="78">
        <f>'5'!E12</f>
        <v>1667306010</v>
      </c>
      <c r="F9" s="78">
        <f>'5'!G12</f>
        <v>2048442985</v>
      </c>
      <c r="G9" s="63" t="b">
        <f>BS!E7=E9</f>
        <v>1</v>
      </c>
      <c r="H9" s="63" t="b">
        <f>BS!F7=F9</f>
        <v>1</v>
      </c>
      <c r="I9" s="63"/>
      <c r="J9" s="63"/>
    </row>
    <row r="10" spans="2:10">
      <c r="D10" s="57" t="s">
        <v>990</v>
      </c>
      <c r="E10" s="78">
        <f>'5'!E13</f>
        <v>0</v>
      </c>
      <c r="F10" s="78">
        <f>'5'!G13</f>
        <v>0</v>
      </c>
      <c r="G10" s="63" t="b">
        <f>BS!E6=E10</f>
        <v>1</v>
      </c>
      <c r="H10" s="63" t="b">
        <f>BS!F6=F10</f>
        <v>1</v>
      </c>
      <c r="I10" s="63"/>
      <c r="J10" s="63"/>
    </row>
    <row r="11" spans="2:10">
      <c r="D11" s="426" t="s">
        <v>1215</v>
      </c>
      <c r="E11" s="78">
        <f>'5'!E14</f>
        <v>0</v>
      </c>
      <c r="F11" s="78">
        <f>'5'!G14</f>
        <v>1250001</v>
      </c>
      <c r="G11" s="63" t="b">
        <f>E11=BS!E30</f>
        <v>1</v>
      </c>
      <c r="H11" s="63" t="b">
        <f>F11=BS!F30</f>
        <v>1</v>
      </c>
      <c r="I11" s="63"/>
      <c r="J11" s="63"/>
    </row>
    <row r="12" spans="2:10">
      <c r="D12" s="57" t="s">
        <v>248</v>
      </c>
      <c r="E12" s="78">
        <f>'5'!E15</f>
        <v>386082376</v>
      </c>
      <c r="F12" s="78">
        <f>'5'!G15</f>
        <v>388220275</v>
      </c>
      <c r="G12" s="63" t="b">
        <f>BS!E35=E12</f>
        <v>1</v>
      </c>
      <c r="H12" s="63" t="b">
        <f>BS!F35=F12</f>
        <v>1</v>
      </c>
      <c r="I12" s="63"/>
      <c r="J12" s="63"/>
    </row>
    <row r="13" spans="2:10">
      <c r="D13" s="758" t="s">
        <v>1584</v>
      </c>
      <c r="E13" s="757">
        <f>SUM(E8:E12)</f>
        <v>13021553447</v>
      </c>
      <c r="F13" s="757">
        <f>SUM(F8:F12)</f>
        <v>21607124446</v>
      </c>
      <c r="G13" s="63"/>
      <c r="H13" s="63"/>
      <c r="I13" s="63"/>
      <c r="J13" s="63"/>
    </row>
    <row r="14" spans="2:10">
      <c r="D14" s="731" t="s">
        <v>1541</v>
      </c>
      <c r="E14" s="732">
        <f>'5'!F16</f>
        <v>172664940</v>
      </c>
      <c r="F14" s="732">
        <f>'5'!G16</f>
        <v>172664940</v>
      </c>
      <c r="G14" s="63"/>
      <c r="H14" s="63"/>
      <c r="I14" s="63"/>
      <c r="J14" s="63"/>
    </row>
    <row r="15" spans="2:10">
      <c r="D15" s="58" t="s">
        <v>249</v>
      </c>
      <c r="E15" s="79">
        <f>SUM(E13:E14)</f>
        <v>13194218387</v>
      </c>
      <c r="F15" s="79">
        <f>SUM(F13:F14)</f>
        <v>21779789386</v>
      </c>
      <c r="G15" s="63"/>
      <c r="H15" s="63"/>
      <c r="I15" s="63"/>
      <c r="J15" s="63"/>
    </row>
    <row r="16" spans="2:10">
      <c r="D16" s="63"/>
      <c r="E16" s="63" t="b">
        <f>E15='5'!E17</f>
        <v>1</v>
      </c>
      <c r="F16" s="63" t="b">
        <f>F15='5'!G17</f>
        <v>1</v>
      </c>
      <c r="G16" s="63"/>
      <c r="H16" s="63"/>
      <c r="I16" s="63"/>
      <c r="J16" s="63"/>
    </row>
    <row r="17" spans="4:11">
      <c r="D17" s="63"/>
      <c r="E17" s="63"/>
      <c r="F17" s="63"/>
      <c r="G17" s="63"/>
      <c r="H17" s="63"/>
      <c r="I17" s="63"/>
      <c r="J17" s="63"/>
    </row>
    <row r="18" spans="4:11">
      <c r="D18" s="84" t="s">
        <v>441</v>
      </c>
      <c r="E18" s="85" t="str">
        <f>E6</f>
        <v>당반기말</v>
      </c>
      <c r="F18" s="85" t="str">
        <f>F6</f>
        <v>전기말</v>
      </c>
      <c r="G18" s="63"/>
      <c r="H18" s="63"/>
      <c r="I18" s="63"/>
      <c r="J18" s="63"/>
    </row>
    <row r="19" spans="4:11">
      <c r="D19" s="89" t="s">
        <v>442</v>
      </c>
      <c r="E19" s="90"/>
      <c r="F19" s="91"/>
      <c r="G19" s="63"/>
      <c r="H19" s="63"/>
      <c r="I19" s="63"/>
      <c r="J19" s="63"/>
    </row>
    <row r="20" spans="4:11">
      <c r="D20" s="57" t="s">
        <v>443</v>
      </c>
      <c r="E20" s="80">
        <f>'5'!E19</f>
        <v>3144825470</v>
      </c>
      <c r="F20" s="80">
        <f>'5'!G19</f>
        <v>1584755867</v>
      </c>
      <c r="G20" s="63" t="b">
        <f>E20=BS!E71</f>
        <v>1</v>
      </c>
      <c r="H20" s="63" t="b">
        <f>F20=BS!F71</f>
        <v>1</v>
      </c>
      <c r="I20" s="63"/>
      <c r="J20" s="63"/>
    </row>
    <row r="21" spans="4:11">
      <c r="D21" s="57" t="s">
        <v>251</v>
      </c>
      <c r="E21" s="80">
        <f>'5'!E20</f>
        <v>1120000000</v>
      </c>
      <c r="F21" s="80">
        <f>'5'!G20</f>
        <v>1120000000</v>
      </c>
      <c r="G21" s="63" t="b">
        <f>E21=BS!E76</f>
        <v>1</v>
      </c>
      <c r="H21" s="63" t="b">
        <f>F21=BS!F76</f>
        <v>1</v>
      </c>
      <c r="I21" s="63"/>
      <c r="J21" s="63"/>
    </row>
    <row r="22" spans="4:11">
      <c r="D22" s="57" t="s">
        <v>987</v>
      </c>
      <c r="E22" s="80">
        <f>'5'!E22</f>
        <v>4100000000</v>
      </c>
      <c r="F22" s="80">
        <f>'5'!G22</f>
        <v>4183300000</v>
      </c>
      <c r="G22" s="63" t="b">
        <f>SUM(BS!E77,BS!E85)=E22</f>
        <v>1</v>
      </c>
      <c r="H22" s="63" t="b">
        <f>SUM(BS!F77,BS!F85)=F22</f>
        <v>1</v>
      </c>
      <c r="I22" s="63"/>
      <c r="J22" s="63"/>
    </row>
    <row r="23" spans="4:11">
      <c r="D23" s="89" t="s">
        <v>991</v>
      </c>
      <c r="E23" s="90"/>
      <c r="F23" s="91"/>
      <c r="G23" s="63"/>
      <c r="H23" s="63"/>
      <c r="I23" s="63"/>
      <c r="J23" s="63"/>
    </row>
    <row r="24" spans="4:11">
      <c r="D24" s="57" t="s">
        <v>986</v>
      </c>
      <c r="E24" s="80">
        <f>'5'!E21</f>
        <v>1336425241</v>
      </c>
      <c r="F24" s="80">
        <f>'5'!G21</f>
        <v>1595258905</v>
      </c>
      <c r="G24" s="63" t="b">
        <f>SUM(BS!E86,BS!E78)=E24</f>
        <v>1</v>
      </c>
      <c r="H24" s="63" t="b">
        <f>SUM(BS!F86,BS!F78)=F24</f>
        <v>1</v>
      </c>
      <c r="I24" s="63"/>
      <c r="J24" s="63"/>
    </row>
    <row r="25" spans="4:11">
      <c r="D25" s="58" t="s">
        <v>249</v>
      </c>
      <c r="E25" s="81">
        <f>SUM(E20:E24)</f>
        <v>9701250711</v>
      </c>
      <c r="F25" s="81">
        <f>SUM(F20:F24)</f>
        <v>8483314772</v>
      </c>
      <c r="G25" s="63"/>
      <c r="H25" s="63"/>
      <c r="I25" s="63"/>
      <c r="J25" s="63"/>
    </row>
    <row r="26" spans="4:11">
      <c r="D26" s="82"/>
      <c r="E26" s="63" t="b">
        <f>E25='5'!E23</f>
        <v>1</v>
      </c>
      <c r="F26" s="63" t="b">
        <f>F25='5'!G23</f>
        <v>1</v>
      </c>
      <c r="G26" s="63"/>
      <c r="H26" s="63"/>
      <c r="I26" s="63"/>
      <c r="J26" s="63"/>
    </row>
    <row r="27" spans="4:11">
      <c r="D27" s="82"/>
      <c r="E27" s="83"/>
      <c r="F27" s="63"/>
      <c r="G27" s="63"/>
      <c r="H27" s="63"/>
      <c r="I27" s="63"/>
      <c r="J27" s="63"/>
    </row>
    <row r="28" spans="4:11">
      <c r="D28" s="94" t="s">
        <v>992</v>
      </c>
      <c r="E28" s="53"/>
      <c r="F28" s="53"/>
      <c r="G28" s="53"/>
      <c r="H28" s="53"/>
      <c r="I28" s="53"/>
      <c r="J28" s="53"/>
      <c r="K28" s="53"/>
    </row>
    <row r="29" spans="4:11">
      <c r="D29" s="95"/>
      <c r="E29" s="53"/>
      <c r="F29" s="53"/>
      <c r="G29" s="53"/>
      <c r="H29" s="53"/>
      <c r="I29" s="53"/>
      <c r="J29" s="53"/>
      <c r="K29" s="53" t="s">
        <v>278</v>
      </c>
    </row>
    <row r="30" spans="4:11">
      <c r="D30" s="1271" t="s">
        <v>237</v>
      </c>
      <c r="E30" s="328" t="str">
        <f>PL!$H$1</f>
        <v>당반기</v>
      </c>
      <c r="F30" s="1087"/>
      <c r="G30" s="96"/>
      <c r="H30" s="97"/>
      <c r="I30" s="328" t="str">
        <f>PL!$I$1</f>
        <v>전반기</v>
      </c>
      <c r="J30" s="96"/>
      <c r="K30" s="98"/>
    </row>
    <row r="31" spans="4:11">
      <c r="D31" s="1272"/>
      <c r="E31" s="312" t="s">
        <v>257</v>
      </c>
      <c r="F31" s="1088" t="s">
        <v>2000</v>
      </c>
      <c r="G31" s="312" t="s">
        <v>257</v>
      </c>
      <c r="H31" s="312" t="s">
        <v>1063</v>
      </c>
      <c r="I31" s="312" t="s">
        <v>257</v>
      </c>
      <c r="J31" s="312" t="s">
        <v>257</v>
      </c>
      <c r="K31" s="312" t="s">
        <v>993</v>
      </c>
    </row>
    <row r="32" spans="4:11">
      <c r="D32" s="1273"/>
      <c r="E32" s="313" t="s">
        <v>245</v>
      </c>
      <c r="F32" s="1089" t="s">
        <v>245</v>
      </c>
      <c r="G32" s="313" t="s">
        <v>250</v>
      </c>
      <c r="H32" s="313"/>
      <c r="I32" s="313" t="s">
        <v>245</v>
      </c>
      <c r="J32" s="313" t="s">
        <v>250</v>
      </c>
      <c r="K32" s="313"/>
    </row>
    <row r="33" spans="4:13">
      <c r="D33" s="93" t="s">
        <v>208</v>
      </c>
      <c r="E33" s="78">
        <f>PL!E76</f>
        <v>22098561</v>
      </c>
      <c r="F33" s="1086">
        <v>0</v>
      </c>
      <c r="G33" s="78">
        <v>0</v>
      </c>
      <c r="H33" s="78">
        <v>0</v>
      </c>
      <c r="I33" s="78">
        <f>PL!F76</f>
        <v>28008260</v>
      </c>
      <c r="J33" s="78">
        <v>0</v>
      </c>
      <c r="K33" s="78">
        <v>0</v>
      </c>
      <c r="L33" s="55" t="b">
        <f>PL!E76=SUM(E33:H33)</f>
        <v>1</v>
      </c>
      <c r="M33" s="55" t="b">
        <f>PL!F76=SUM(I33:K33)</f>
        <v>1</v>
      </c>
    </row>
    <row r="34" spans="4:13">
      <c r="D34" s="93" t="s">
        <v>112</v>
      </c>
      <c r="E34" s="78">
        <f>PL!E77</f>
        <v>109841433</v>
      </c>
      <c r="F34" s="1086">
        <v>0</v>
      </c>
      <c r="G34" s="78">
        <v>0</v>
      </c>
      <c r="H34" s="78">
        <v>0</v>
      </c>
      <c r="I34" s="78">
        <f>PL!F77</f>
        <v>20481765</v>
      </c>
      <c r="J34" s="78">
        <v>0</v>
      </c>
      <c r="K34" s="78">
        <v>0</v>
      </c>
      <c r="L34" s="55" t="b">
        <f>PL!E77=SUM(E34:H34)</f>
        <v>1</v>
      </c>
      <c r="M34" s="55" t="b">
        <f>PL!F77=SUM(I34:K34)</f>
        <v>1</v>
      </c>
    </row>
    <row r="35" spans="4:13">
      <c r="D35" s="93" t="s">
        <v>113</v>
      </c>
      <c r="E35" s="78">
        <f>PL!E78</f>
        <v>37603839</v>
      </c>
      <c r="F35" s="1086">
        <v>0</v>
      </c>
      <c r="G35" s="78">
        <v>0</v>
      </c>
      <c r="H35" s="78">
        <v>0</v>
      </c>
      <c r="I35" s="78">
        <f>PL!F78</f>
        <v>3042</v>
      </c>
      <c r="J35" s="78">
        <v>0</v>
      </c>
      <c r="K35" s="78">
        <v>0</v>
      </c>
      <c r="L35" s="55" t="b">
        <f>PL!E78=SUM(E35:H35)</f>
        <v>1</v>
      </c>
      <c r="M35" s="55" t="b">
        <f>PL!F78=SUM(I35:K35)</f>
        <v>1</v>
      </c>
    </row>
    <row r="36" spans="4:13">
      <c r="D36" s="329" t="s">
        <v>1064</v>
      </c>
      <c r="E36" s="78">
        <f t="shared" ref="E36:J36" si="0">SUM(E33:E35)</f>
        <v>169543833</v>
      </c>
      <c r="F36" s="78">
        <f t="shared" si="0"/>
        <v>0</v>
      </c>
      <c r="G36" s="78">
        <f t="shared" si="0"/>
        <v>0</v>
      </c>
      <c r="H36" s="78">
        <f t="shared" si="0"/>
        <v>0</v>
      </c>
      <c r="I36" s="78">
        <f t="shared" si="0"/>
        <v>48493067</v>
      </c>
      <c r="J36" s="78">
        <f t="shared" si="0"/>
        <v>0</v>
      </c>
      <c r="K36" s="78">
        <f>SUM(K33:K35)</f>
        <v>0</v>
      </c>
      <c r="L36" s="55" t="b">
        <f>SUM(E36:H36)=Dart_PL!D12</f>
        <v>1</v>
      </c>
      <c r="M36" s="55" t="b">
        <f>SUM(I36:K36)=Dart_PL!F12</f>
        <v>1</v>
      </c>
    </row>
    <row r="37" spans="4:13">
      <c r="D37" s="93" t="s">
        <v>25</v>
      </c>
      <c r="E37" s="78" t="s">
        <v>298</v>
      </c>
      <c r="F37" s="1086">
        <v>0</v>
      </c>
      <c r="G37" s="78">
        <f>PL!E80-H37</f>
        <v>71893278</v>
      </c>
      <c r="H37" s="78">
        <f>'20'!E52</f>
        <v>27061673</v>
      </c>
      <c r="I37" s="78" t="s">
        <v>298</v>
      </c>
      <c r="J37" s="78">
        <f>PL!F80-K37</f>
        <v>43244353</v>
      </c>
      <c r="K37" s="78">
        <f>'20'!F52</f>
        <v>0</v>
      </c>
      <c r="L37" s="55" t="b">
        <f>PL!E80=SUM(E37:H37)</f>
        <v>1</v>
      </c>
      <c r="M37" s="55" t="b">
        <f>PL!F80=SUM(I37:K37)</f>
        <v>1</v>
      </c>
    </row>
    <row r="38" spans="4:13">
      <c r="D38" s="93" t="s">
        <v>1985</v>
      </c>
      <c r="E38" s="1086">
        <v>0</v>
      </c>
      <c r="F38" s="1086">
        <f>PL!E81</f>
        <v>0</v>
      </c>
      <c r="G38" s="1086">
        <v>0</v>
      </c>
      <c r="H38" s="1086">
        <v>0</v>
      </c>
      <c r="I38" s="1086"/>
      <c r="J38" s="1086"/>
      <c r="K38" s="1086"/>
    </row>
    <row r="39" spans="4:13">
      <c r="D39" s="93" t="s">
        <v>115</v>
      </c>
      <c r="E39" s="78">
        <f>PL!E82</f>
        <v>172194962</v>
      </c>
      <c r="F39" s="1086">
        <v>0</v>
      </c>
      <c r="G39" s="78" t="s">
        <v>298</v>
      </c>
      <c r="H39" s="78" t="s">
        <v>298</v>
      </c>
      <c r="I39" s="78">
        <f>PL!F82</f>
        <v>40925617</v>
      </c>
      <c r="J39" s="78" t="s">
        <v>298</v>
      </c>
      <c r="K39" s="78" t="s">
        <v>298</v>
      </c>
      <c r="L39" s="55" t="b">
        <f>PL!E82=SUM(E39:H39)</f>
        <v>1</v>
      </c>
      <c r="M39" s="55" t="b">
        <f>PL!F82=SUM(I39:K39)</f>
        <v>1</v>
      </c>
    </row>
    <row r="40" spans="4:13">
      <c r="D40" s="93" t="s">
        <v>116</v>
      </c>
      <c r="E40" s="78">
        <f>PL!E83</f>
        <v>0</v>
      </c>
      <c r="F40" s="1086">
        <v>0</v>
      </c>
      <c r="G40" s="78" t="s">
        <v>298</v>
      </c>
      <c r="H40" s="78" t="s">
        <v>298</v>
      </c>
      <c r="I40" s="78">
        <f>PL!F83</f>
        <v>57204705</v>
      </c>
      <c r="J40" s="78" t="s">
        <v>298</v>
      </c>
      <c r="K40" s="78" t="s">
        <v>298</v>
      </c>
      <c r="L40" s="55" t="b">
        <f>PL!E83=SUM(E40:H40)</f>
        <v>1</v>
      </c>
      <c r="M40" s="55" t="b">
        <f>PL!F83=SUM(I40:K40)</f>
        <v>1</v>
      </c>
    </row>
    <row r="41" spans="4:13">
      <c r="D41" s="329" t="s">
        <v>1064</v>
      </c>
      <c r="E41" s="78">
        <f t="shared" ref="E41:K41" si="1">SUM(E37:E40)</f>
        <v>172194962</v>
      </c>
      <c r="F41" s="78">
        <f t="shared" si="1"/>
        <v>0</v>
      </c>
      <c r="G41" s="78">
        <f>SUM(G37:G40)</f>
        <v>71893278</v>
      </c>
      <c r="H41" s="78">
        <f t="shared" si="1"/>
        <v>27061673</v>
      </c>
      <c r="I41" s="78">
        <f t="shared" si="1"/>
        <v>98130322</v>
      </c>
      <c r="J41" s="78">
        <f t="shared" si="1"/>
        <v>43244353</v>
      </c>
      <c r="K41" s="78">
        <f t="shared" si="1"/>
        <v>0</v>
      </c>
      <c r="L41" s="55" t="b">
        <f>SUM(E41:H41)=Dart_PL!D13</f>
        <v>1</v>
      </c>
      <c r="M41" s="55" t="b">
        <f>SUM(I41:K41)=Dart_PL!F13</f>
        <v>1</v>
      </c>
    </row>
    <row r="42" spans="4:13">
      <c r="H42" s="55" t="s">
        <v>1065</v>
      </c>
      <c r="K42" s="55" t="s">
        <v>1065</v>
      </c>
    </row>
  </sheetData>
  <mergeCells count="1">
    <mergeCell ref="D30:D32"/>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44BBE549-E65E-4511-8725-CA5B86BA52A8}">
            <xm:f>NOT(ISERROR(SEARCH("true",A1)))</xm:f>
            <xm:f>"true"</xm:f>
            <x14:dxf>
              <fill>
                <patternFill>
                  <bgColor theme="9" tint="0.79998168889431442"/>
                </patternFill>
              </fill>
            </x14:dxf>
          </x14:cfRule>
          <x14:cfRule type="containsText" priority="2" operator="containsText" id="{D2055690-8882-4971-9328-CF0D48586604}">
            <xm:f>NOT(ISERROR(SEARCH("false",A1)))</xm:f>
            <xm:f>"false"</xm:f>
            <x14:dxf>
              <fill>
                <patternFill>
                  <bgColor theme="5"/>
                </patternFill>
              </fill>
            </x14:dxf>
          </x14:cfRule>
          <xm:sqref>A1:XFD1048576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B2:F9"/>
  <sheetViews>
    <sheetView showGridLines="0" workbookViewId="0">
      <selection activeCell="E7" sqref="E7:F7"/>
    </sheetView>
  </sheetViews>
  <sheetFormatPr defaultColWidth="8.5703125" defaultRowHeight="15"/>
  <cols>
    <col min="1" max="2" width="1.85546875" style="55" customWidth="1"/>
    <col min="3" max="3" width="1.5" style="55" customWidth="1"/>
    <col min="4" max="4" width="46.0703125" style="55" customWidth="1"/>
    <col min="5" max="6" width="12.5703125" style="55" customWidth="1"/>
    <col min="7" max="16384" width="8.5703125" style="55"/>
  </cols>
  <sheetData>
    <row r="2" spans="2:6">
      <c r="B2" s="54" t="s">
        <v>994</v>
      </c>
    </row>
    <row r="4" spans="2:6">
      <c r="D4" s="1206" t="s">
        <v>382</v>
      </c>
      <c r="E4" s="1206"/>
      <c r="F4" s="1206"/>
    </row>
    <row r="5" spans="2:6">
      <c r="D5" s="64"/>
      <c r="E5" s="63"/>
      <c r="F5" s="63" t="s">
        <v>272</v>
      </c>
    </row>
    <row r="6" spans="2:6">
      <c r="D6" s="112" t="s">
        <v>237</v>
      </c>
      <c r="E6" s="113" t="str">
        <f>'6'!E6</f>
        <v>당반기말</v>
      </c>
      <c r="F6" s="113" t="str">
        <f>'6'!F6</f>
        <v>전기말</v>
      </c>
    </row>
    <row r="7" spans="2:6">
      <c r="D7" s="77" t="s">
        <v>383</v>
      </c>
      <c r="E7" s="72">
        <f>BS!E5</f>
        <v>10968165061</v>
      </c>
      <c r="F7" s="111">
        <f>BS!F5</f>
        <v>19169211185</v>
      </c>
    </row>
    <row r="8" spans="2:6">
      <c r="E8" s="55" t="b">
        <f>'5'!E11=E7</f>
        <v>1</v>
      </c>
      <c r="F8" s="55" t="b">
        <f>'5'!G11=F7</f>
        <v>1</v>
      </c>
    </row>
    <row r="9" spans="2:6">
      <c r="E9" s="55" t="b">
        <f>E7=Dart_BS!C6</f>
        <v>1</v>
      </c>
      <c r="F9" s="55" t="b">
        <f>F7=Dart_BS!D6</f>
        <v>1</v>
      </c>
    </row>
  </sheetData>
  <mergeCells count="1">
    <mergeCell ref="D4:F4"/>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8526231E-5A93-4995-9A8B-ACB225E82D82}">
            <xm:f>NOT(ISERROR(SEARCH("true",A1)))</xm:f>
            <xm:f>"true"</xm:f>
            <x14:dxf>
              <fill>
                <patternFill>
                  <bgColor theme="9" tint="0.79998168889431442"/>
                </patternFill>
              </fill>
            </x14:dxf>
          </x14:cfRule>
          <x14:cfRule type="containsText" priority="2" operator="containsText" id="{2025CC68-B219-42CC-A41F-CCE321889913}">
            <xm:f>NOT(ISERROR(SEARCH("false",A1)))</xm:f>
            <xm:f>"false"</xm:f>
            <x14:dxf>
              <fill>
                <patternFill>
                  <bgColor theme="5"/>
                </patternFill>
              </fill>
            </x14:dxf>
          </x14:cfRule>
          <xm:sqref>A1:XFD1048576</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B2:O61"/>
  <sheetViews>
    <sheetView showGridLines="0" zoomScaleNormal="100" workbookViewId="0">
      <selection activeCell="N29" sqref="N29"/>
    </sheetView>
  </sheetViews>
  <sheetFormatPr defaultColWidth="8.5703125" defaultRowHeight="15"/>
  <cols>
    <col min="1" max="2" width="1.85546875" style="428" customWidth="1"/>
    <col min="3" max="3" width="1.5" style="428" customWidth="1"/>
    <col min="4" max="4" width="46.0703125" style="428" customWidth="1"/>
    <col min="5" max="5" width="14.85546875" style="428" bestFit="1" customWidth="1"/>
    <col min="6" max="6" width="12.5703125" style="428" customWidth="1"/>
    <col min="7" max="7" width="12.5703125" style="428" bestFit="1" customWidth="1"/>
    <col min="8" max="8" width="13.5703125" style="428" bestFit="1" customWidth="1"/>
    <col min="9" max="9" width="11.0703125" style="428" bestFit="1" customWidth="1"/>
    <col min="10" max="10" width="12.5703125" style="428" bestFit="1" customWidth="1"/>
    <col min="11" max="11" width="11.35546875" style="428" bestFit="1" customWidth="1"/>
    <col min="12" max="12" width="12.5703125" style="428" bestFit="1" customWidth="1"/>
    <col min="13" max="13" width="8.5703125" style="428" bestFit="1" customWidth="1"/>
    <col min="14" max="14" width="8.5703125" style="428"/>
    <col min="15" max="15" width="11.0703125" style="428" bestFit="1" customWidth="1"/>
    <col min="16" max="16384" width="8.5703125" style="428"/>
  </cols>
  <sheetData>
    <row r="2" spans="2:14">
      <c r="B2" s="427" t="s">
        <v>995</v>
      </c>
    </row>
    <row r="5" spans="2:14">
      <c r="D5" s="62" t="s">
        <v>333</v>
      </c>
      <c r="E5" s="214"/>
      <c r="F5" s="214"/>
      <c r="G5" s="214"/>
      <c r="H5" s="214"/>
      <c r="I5" s="214"/>
      <c r="J5" s="214"/>
      <c r="K5" s="429"/>
      <c r="L5" s="429"/>
      <c r="M5" s="429"/>
      <c r="N5" s="429"/>
    </row>
    <row r="6" spans="2:14">
      <c r="D6" s="64" t="s">
        <v>258</v>
      </c>
      <c r="E6" s="214"/>
      <c r="F6" s="214"/>
      <c r="G6" s="214"/>
      <c r="H6" s="214"/>
      <c r="I6" s="214"/>
      <c r="J6" s="214"/>
      <c r="K6" s="214"/>
      <c r="L6" s="116"/>
      <c r="M6" s="116"/>
      <c r="N6" s="116"/>
    </row>
    <row r="7" spans="2:14">
      <c r="D7" s="1274" t="s">
        <v>237</v>
      </c>
      <c r="E7" s="132" t="str">
        <f>'7'!E6</f>
        <v>당반기말</v>
      </c>
      <c r="F7" s="133"/>
      <c r="G7" s="134"/>
      <c r="H7" s="132" t="s">
        <v>985</v>
      </c>
      <c r="I7" s="133"/>
      <c r="J7" s="134"/>
      <c r="K7" s="214"/>
      <c r="L7" s="116"/>
      <c r="M7" s="116"/>
      <c r="N7" s="116"/>
    </row>
    <row r="8" spans="2:14">
      <c r="D8" s="1275"/>
      <c r="E8" s="131" t="s">
        <v>334</v>
      </c>
      <c r="F8" s="131" t="s">
        <v>297</v>
      </c>
      <c r="G8" s="131" t="s">
        <v>244</v>
      </c>
      <c r="H8" s="131" t="s">
        <v>334</v>
      </c>
      <c r="I8" s="131" t="s">
        <v>297</v>
      </c>
      <c r="J8" s="131" t="s">
        <v>244</v>
      </c>
      <c r="K8" s="214"/>
      <c r="L8" s="116"/>
      <c r="M8" s="116"/>
      <c r="N8" s="116"/>
    </row>
    <row r="9" spans="2:14">
      <c r="D9" s="69" t="s">
        <v>60</v>
      </c>
      <c r="E9" s="68">
        <f>BS!E8</f>
        <v>1535770100</v>
      </c>
      <c r="F9" s="68">
        <f>BS!E9</f>
        <v>-105342662</v>
      </c>
      <c r="G9" s="68">
        <f>SUM(E9:F9)</f>
        <v>1430427438</v>
      </c>
      <c r="H9" s="68">
        <f>BS!F8</f>
        <v>1998788804</v>
      </c>
      <c r="I9" s="68">
        <f>BS!F9</f>
        <v>-188230079</v>
      </c>
      <c r="J9" s="68">
        <f>SUM(H9:I9)</f>
        <v>1810558725</v>
      </c>
      <c r="K9" s="117"/>
      <c r="L9" s="117"/>
      <c r="M9" s="117"/>
      <c r="N9" s="117"/>
    </row>
    <row r="10" spans="2:14">
      <c r="D10" s="69" t="s">
        <v>220</v>
      </c>
      <c r="E10" s="68">
        <f>BS!E12</f>
        <v>261017572</v>
      </c>
      <c r="F10" s="68">
        <f>BS!E13</f>
        <v>-24139000</v>
      </c>
      <c r="G10" s="68">
        <f>SUM(E10:F10)</f>
        <v>236878572</v>
      </c>
      <c r="H10" s="68">
        <f>BS!F12</f>
        <v>265023260</v>
      </c>
      <c r="I10" s="68">
        <f>BS!F13</f>
        <v>-27139000</v>
      </c>
      <c r="J10" s="68">
        <f>SUM(H10:I10)</f>
        <v>237884260</v>
      </c>
      <c r="K10" s="214"/>
      <c r="L10" s="116"/>
      <c r="M10" s="116"/>
      <c r="N10" s="116"/>
    </row>
    <row r="11" spans="2:14">
      <c r="D11" s="69" t="s">
        <v>335</v>
      </c>
      <c r="E11" s="68">
        <f>BS!E10</f>
        <v>0</v>
      </c>
      <c r="F11" s="68">
        <f>BS!E11</f>
        <v>0</v>
      </c>
      <c r="G11" s="68">
        <f>SUM(E11:F11)</f>
        <v>0</v>
      </c>
      <c r="H11" s="68">
        <f>BS!F10</f>
        <v>0</v>
      </c>
      <c r="I11" s="68">
        <f>BS!F11</f>
        <v>0</v>
      </c>
      <c r="J11" s="68">
        <f>SUM(H11:I11)</f>
        <v>0</v>
      </c>
      <c r="K11" s="214"/>
      <c r="L11" s="116"/>
      <c r="M11" s="116"/>
      <c r="N11" s="116"/>
    </row>
    <row r="12" spans="2:14">
      <c r="D12" s="71" t="s">
        <v>256</v>
      </c>
      <c r="E12" s="72">
        <f t="shared" ref="E12:J12" si="0">SUM(E9:E11)</f>
        <v>1796787672</v>
      </c>
      <c r="F12" s="72">
        <f t="shared" si="0"/>
        <v>-129481662</v>
      </c>
      <c r="G12" s="72">
        <f t="shared" si="0"/>
        <v>1667306010</v>
      </c>
      <c r="H12" s="72">
        <f t="shared" si="0"/>
        <v>2263812064</v>
      </c>
      <c r="I12" s="72">
        <f t="shared" si="0"/>
        <v>-215369079</v>
      </c>
      <c r="J12" s="72">
        <f t="shared" si="0"/>
        <v>2048442985</v>
      </c>
      <c r="K12" s="214"/>
      <c r="L12" s="116"/>
      <c r="M12" s="116"/>
      <c r="N12" s="116"/>
    </row>
    <row r="13" spans="2:14">
      <c r="D13" s="214"/>
      <c r="E13" s="214"/>
      <c r="F13" s="214"/>
      <c r="G13" s="214" t="b">
        <f>G12='5'!E12</f>
        <v>1</v>
      </c>
      <c r="H13" s="214"/>
      <c r="I13" s="214"/>
      <c r="J13" s="214" t="b">
        <f>J12='5'!H12</f>
        <v>1</v>
      </c>
      <c r="K13" s="214"/>
      <c r="L13" s="214"/>
      <c r="M13" s="214"/>
      <c r="N13" s="214"/>
    </row>
    <row r="14" spans="2:14">
      <c r="D14" s="75" t="s">
        <v>336</v>
      </c>
      <c r="E14" s="214"/>
      <c r="F14" s="119"/>
      <c r="G14" s="214"/>
      <c r="H14" s="214"/>
      <c r="I14" s="214"/>
      <c r="J14" s="214"/>
      <c r="K14" s="214"/>
      <c r="L14" s="214"/>
      <c r="M14" s="214"/>
      <c r="N14" s="214"/>
    </row>
    <row r="15" spans="2:14">
      <c r="D15" s="75"/>
      <c r="E15" s="214"/>
      <c r="F15" s="119"/>
      <c r="G15" s="214"/>
      <c r="H15" s="214"/>
      <c r="I15" s="214"/>
      <c r="J15" s="214"/>
      <c r="K15" s="214"/>
      <c r="L15" s="214"/>
      <c r="M15" s="214"/>
      <c r="N15" s="214"/>
    </row>
    <row r="16" spans="2:14">
      <c r="D16" s="120" t="str">
        <f>'6'!E30</f>
        <v>당반기</v>
      </c>
      <c r="F16" s="214"/>
      <c r="G16" s="214"/>
      <c r="H16" s="214"/>
      <c r="I16" s="214"/>
      <c r="J16" s="64" t="s">
        <v>267</v>
      </c>
      <c r="K16" s="214"/>
      <c r="L16" s="214"/>
      <c r="M16" s="214"/>
      <c r="N16" s="214"/>
    </row>
    <row r="17" spans="4:14">
      <c r="D17" s="430" t="s">
        <v>237</v>
      </c>
      <c r="E17" s="430" t="s">
        <v>418</v>
      </c>
      <c r="F17" s="430" t="s">
        <v>337</v>
      </c>
      <c r="G17" s="430" t="s">
        <v>338</v>
      </c>
      <c r="H17" s="430" t="s">
        <v>339</v>
      </c>
      <c r="I17" s="430" t="s">
        <v>419</v>
      </c>
      <c r="J17" s="430" t="s">
        <v>760</v>
      </c>
      <c r="K17" s="429"/>
      <c r="L17" s="726" t="s">
        <v>2332</v>
      </c>
      <c r="M17" s="429"/>
      <c r="N17" s="429"/>
    </row>
    <row r="18" spans="4:14">
      <c r="D18" s="317" t="s">
        <v>1857</v>
      </c>
      <c r="E18" s="317"/>
      <c r="F18" s="317"/>
      <c r="G18" s="317"/>
      <c r="H18" s="317"/>
      <c r="I18" s="317"/>
      <c r="J18" s="317"/>
      <c r="K18" s="214"/>
      <c r="L18" s="214"/>
      <c r="M18" s="214"/>
      <c r="N18" s="214"/>
    </row>
    <row r="19" spans="4:14">
      <c r="D19" s="432" t="s">
        <v>1216</v>
      </c>
      <c r="E19" s="1153">
        <v>917743859</v>
      </c>
      <c r="F19" s="318">
        <v>435826138</v>
      </c>
      <c r="G19" s="318">
        <v>71329493</v>
      </c>
      <c r="H19" s="318">
        <v>3961300</v>
      </c>
      <c r="I19" s="318">
        <v>25925500</v>
      </c>
      <c r="J19" s="318">
        <f>SUM(E19:I19)</f>
        <v>1454786290</v>
      </c>
      <c r="K19" s="214"/>
      <c r="L19" s="214"/>
      <c r="M19" s="214"/>
      <c r="N19" s="214"/>
    </row>
    <row r="20" spans="4:14">
      <c r="D20" s="432" t="s">
        <v>1217</v>
      </c>
      <c r="E20" s="318">
        <v>73429910</v>
      </c>
      <c r="F20" s="318">
        <v>7069900</v>
      </c>
      <c r="G20" s="318">
        <v>484000</v>
      </c>
      <c r="H20" s="318">
        <v>0</v>
      </c>
      <c r="I20" s="318">
        <v>0</v>
      </c>
      <c r="J20" s="318"/>
      <c r="K20" s="214"/>
      <c r="L20" s="214"/>
      <c r="M20" s="214"/>
      <c r="N20" s="214"/>
    </row>
    <row r="21" spans="4:14">
      <c r="D21" s="317" t="s">
        <v>420</v>
      </c>
      <c r="E21" s="318">
        <f>SUM(E19:E20)</f>
        <v>991173769</v>
      </c>
      <c r="F21" s="318">
        <f>SUM(F19:F20)</f>
        <v>442896038</v>
      </c>
      <c r="G21" s="318">
        <f>SUM(G19:G20)</f>
        <v>71813493</v>
      </c>
      <c r="H21" s="318">
        <f>SUM(H19:H20)</f>
        <v>3961300</v>
      </c>
      <c r="I21" s="318">
        <f>SUM(I19:I20)</f>
        <v>25925500</v>
      </c>
      <c r="J21" s="318">
        <f>SUM(E21:I21)</f>
        <v>1535770100</v>
      </c>
      <c r="K21" s="214" t="b">
        <f>J21=BS!E8</f>
        <v>1</v>
      </c>
      <c r="L21" s="214" t="b">
        <f>E9=J21</f>
        <v>1</v>
      </c>
      <c r="M21" s="214"/>
      <c r="N21" s="214"/>
    </row>
    <row r="22" spans="4:14">
      <c r="D22" s="317" t="s">
        <v>421</v>
      </c>
      <c r="E22" s="727">
        <f>E25/E21</f>
        <v>1.9738443058010344E-2</v>
      </c>
      <c r="F22" s="727">
        <f>F25/F21</f>
        <v>8.4990636109506135E-2</v>
      </c>
      <c r="G22" s="727">
        <f>G25/G21</f>
        <v>0.27296725421781115</v>
      </c>
      <c r="H22" s="727">
        <f>H25/H21</f>
        <v>0.65841693383485222</v>
      </c>
      <c r="I22" s="727">
        <f>I25/I21</f>
        <v>1</v>
      </c>
      <c r="J22" s="728"/>
      <c r="K22" s="214"/>
      <c r="L22" s="214"/>
      <c r="M22" s="214"/>
      <c r="N22" s="214"/>
    </row>
    <row r="23" spans="4:14">
      <c r="D23" s="432" t="s">
        <v>1218</v>
      </c>
      <c r="E23" s="318">
        <v>19564227.143848196</v>
      </c>
      <c r="F23" s="318">
        <v>37642015.85434211</v>
      </c>
      <c r="G23" s="318">
        <v>19602732.329964064</v>
      </c>
      <c r="H23" s="318">
        <v>2608186.8266687933</v>
      </c>
      <c r="I23" s="318">
        <v>25925500</v>
      </c>
      <c r="J23" s="318">
        <f>SUM(E23:I23)</f>
        <v>105342662.15482317</v>
      </c>
      <c r="K23" s="214"/>
      <c r="L23" s="214"/>
      <c r="M23" s="214"/>
      <c r="N23" s="214"/>
    </row>
    <row r="24" spans="4:14">
      <c r="D24" s="432" t="s">
        <v>1219</v>
      </c>
      <c r="E24" s="318"/>
      <c r="F24" s="318"/>
      <c r="G24" s="318"/>
      <c r="H24" s="318"/>
      <c r="I24" s="318">
        <f>I20</f>
        <v>0</v>
      </c>
      <c r="J24" s="318"/>
      <c r="K24" s="214"/>
      <c r="L24" s="214"/>
      <c r="M24" s="214"/>
      <c r="N24" s="214"/>
    </row>
    <row r="25" spans="4:14">
      <c r="D25" s="317" t="s">
        <v>422</v>
      </c>
      <c r="E25" s="318">
        <f>ROUND(E23,)</f>
        <v>19564227</v>
      </c>
      <c r="F25" s="318">
        <f>ROUND(F23,)</f>
        <v>37642016</v>
      </c>
      <c r="G25" s="318">
        <f>ROUND(G23,)</f>
        <v>19602732</v>
      </c>
      <c r="H25" s="318">
        <f>ROUND(H23,)</f>
        <v>2608187</v>
      </c>
      <c r="I25" s="936">
        <f>ROUND(I23,)</f>
        <v>25925500</v>
      </c>
      <c r="J25" s="318">
        <f>SUM(E25:I25)</f>
        <v>105342662</v>
      </c>
      <c r="K25" s="214" t="b">
        <f>-J25=BS!E9</f>
        <v>1</v>
      </c>
      <c r="L25" s="123" t="b">
        <f>J25=-F9</f>
        <v>1</v>
      </c>
      <c r="M25" s="214"/>
      <c r="N25" s="214"/>
    </row>
    <row r="26" spans="4:14">
      <c r="D26" s="120"/>
      <c r="E26" s="124">
        <f>E25/E21</f>
        <v>1.9738443058010344E-2</v>
      </c>
      <c r="F26" s="124">
        <f>F25/F21</f>
        <v>8.4990636109506135E-2</v>
      </c>
      <c r="G26" s="124">
        <f>G25/G21</f>
        <v>0.27296725421781115</v>
      </c>
      <c r="H26" s="124">
        <f>H25/H21</f>
        <v>0.65841693383485222</v>
      </c>
      <c r="I26" s="124">
        <f>I25/I21</f>
        <v>1</v>
      </c>
      <c r="J26" s="214"/>
      <c r="K26" s="429"/>
      <c r="L26" s="214"/>
      <c r="M26" s="214"/>
      <c r="N26" s="214"/>
    </row>
    <row r="27" spans="4:14">
      <c r="D27" s="120" t="s">
        <v>1533</v>
      </c>
      <c r="E27" s="124"/>
      <c r="F27" s="124"/>
      <c r="G27" s="124"/>
      <c r="H27" s="124"/>
      <c r="I27" s="124"/>
      <c r="J27" s="214"/>
      <c r="K27" s="429"/>
      <c r="L27" s="214"/>
      <c r="M27" s="214"/>
      <c r="N27" s="214"/>
    </row>
    <row r="28" spans="4:14">
      <c r="D28" s="430" t="s">
        <v>237</v>
      </c>
      <c r="E28" s="430" t="s">
        <v>418</v>
      </c>
      <c r="F28" s="430" t="s">
        <v>337</v>
      </c>
      <c r="G28" s="430" t="s">
        <v>338</v>
      </c>
      <c r="H28" s="430" t="s">
        <v>339</v>
      </c>
      <c r="I28" s="430" t="s">
        <v>419</v>
      </c>
      <c r="J28" s="430" t="s">
        <v>256</v>
      </c>
    </row>
    <row r="29" spans="4:14">
      <c r="D29" s="335" t="s">
        <v>420</v>
      </c>
      <c r="E29" s="127">
        <v>1383719872</v>
      </c>
      <c r="F29" s="127">
        <v>417631404</v>
      </c>
      <c r="G29" s="127">
        <v>141846210</v>
      </c>
      <c r="H29" s="127">
        <v>29328060</v>
      </c>
      <c r="I29" s="127">
        <v>26263258</v>
      </c>
      <c r="J29" s="127">
        <f>SUM(E29:I29)</f>
        <v>1998788804</v>
      </c>
      <c r="K29" s="214" t="b">
        <f>BS!F8=J29</f>
        <v>1</v>
      </c>
      <c r="L29" s="214" t="b">
        <f>H9=J29</f>
        <v>1</v>
      </c>
    </row>
    <row r="30" spans="4:14">
      <c r="D30" s="335" t="s">
        <v>421</v>
      </c>
      <c r="E30" s="727">
        <f>E31/E29</f>
        <v>2.4125581828747487E-2</v>
      </c>
      <c r="F30" s="727">
        <f>F31/F29</f>
        <v>0.12157713120634961</v>
      </c>
      <c r="G30" s="727">
        <f>G31/G29</f>
        <v>0.39555028646870438</v>
      </c>
      <c r="H30" s="727">
        <f>H31/H29</f>
        <v>0.7399751978139707</v>
      </c>
      <c r="I30" s="727">
        <f>I31/I29</f>
        <v>1</v>
      </c>
      <c r="J30" s="729"/>
    </row>
    <row r="31" spans="4:14">
      <c r="D31" s="572" t="s">
        <v>422</v>
      </c>
      <c r="E31" s="127">
        <v>33383047</v>
      </c>
      <c r="F31" s="127">
        <v>50774428</v>
      </c>
      <c r="G31" s="127">
        <v>56107309</v>
      </c>
      <c r="H31" s="127">
        <v>21702037</v>
      </c>
      <c r="I31" s="127">
        <v>26263258</v>
      </c>
      <c r="J31" s="127">
        <f>SUM(E31:I31)</f>
        <v>188230079</v>
      </c>
      <c r="K31" s="214" t="b">
        <f>BS!F9=-J31</f>
        <v>1</v>
      </c>
      <c r="L31" s="123" t="b">
        <f>I9=-J31</f>
        <v>1</v>
      </c>
    </row>
    <row r="33" spans="4:15">
      <c r="D33" s="120"/>
      <c r="E33" s="124"/>
      <c r="F33" s="124"/>
      <c r="G33" s="124"/>
      <c r="H33" s="124"/>
      <c r="I33" s="124"/>
      <c r="J33" s="214"/>
      <c r="K33" s="429"/>
      <c r="L33" s="214"/>
      <c r="M33" s="214"/>
      <c r="N33" s="214"/>
    </row>
    <row r="34" spans="4:15">
      <c r="D34" s="120"/>
      <c r="E34" s="124"/>
      <c r="F34" s="124"/>
      <c r="G34" s="124"/>
      <c r="H34" s="124"/>
      <c r="I34" s="124"/>
      <c r="J34" s="214"/>
      <c r="K34" s="429"/>
      <c r="L34" s="214"/>
      <c r="M34" s="214"/>
      <c r="N34" s="214"/>
    </row>
    <row r="35" spans="4:15">
      <c r="D35" s="120"/>
      <c r="E35" s="124"/>
      <c r="F35" s="124"/>
      <c r="G35" s="124"/>
      <c r="H35" s="124"/>
      <c r="I35" s="124"/>
      <c r="J35" s="214"/>
      <c r="K35" s="429"/>
      <c r="L35" s="214"/>
      <c r="M35" s="214"/>
      <c r="N35" s="214"/>
    </row>
    <row r="36" spans="4:15">
      <c r="D36" s="62" t="s">
        <v>340</v>
      </c>
      <c r="E36" s="62"/>
      <c r="F36" s="62"/>
      <c r="G36" s="62"/>
      <c r="H36" s="214"/>
      <c r="I36" s="214"/>
      <c r="J36" s="118"/>
      <c r="K36" s="214"/>
      <c r="L36" s="214"/>
      <c r="M36" s="214"/>
      <c r="N36" s="214"/>
    </row>
    <row r="37" spans="4:15">
      <c r="D37" s="431"/>
      <c r="E37" s="214"/>
      <c r="F37" s="214"/>
      <c r="G37" s="214"/>
      <c r="H37" s="214"/>
      <c r="I37" s="214"/>
      <c r="J37" s="214"/>
      <c r="K37" s="214"/>
      <c r="L37" s="214"/>
      <c r="M37" s="214"/>
      <c r="N37" s="214"/>
    </row>
    <row r="38" spans="4:15">
      <c r="D38" s="126" t="str">
        <f>D16</f>
        <v>당반기</v>
      </c>
      <c r="E38" s="214"/>
      <c r="F38" s="214"/>
      <c r="G38" s="214"/>
      <c r="H38" s="214"/>
      <c r="I38" s="214"/>
      <c r="J38" s="214"/>
      <c r="K38" s="214"/>
      <c r="L38" s="214"/>
      <c r="M38" s="214"/>
      <c r="N38" s="214"/>
    </row>
    <row r="39" spans="4:15">
      <c r="D39" s="120"/>
      <c r="E39" s="64" t="s">
        <v>267</v>
      </c>
      <c r="F39" s="214"/>
      <c r="G39" s="214"/>
      <c r="H39" s="214"/>
      <c r="I39" s="214"/>
      <c r="J39" s="214"/>
      <c r="K39" s="214"/>
      <c r="L39" s="214"/>
      <c r="M39" s="214"/>
      <c r="N39" s="214"/>
    </row>
    <row r="40" spans="4:15">
      <c r="D40" s="135" t="s">
        <v>237</v>
      </c>
      <c r="E40" s="135" t="s">
        <v>341</v>
      </c>
      <c r="F40" s="135" t="s">
        <v>109</v>
      </c>
      <c r="G40" s="135" t="s">
        <v>342</v>
      </c>
      <c r="H40" s="135" t="s">
        <v>996</v>
      </c>
      <c r="I40" s="135" t="s">
        <v>343</v>
      </c>
      <c r="J40" s="214"/>
      <c r="K40" s="214"/>
      <c r="L40" s="214"/>
      <c r="M40" s="214"/>
      <c r="N40" s="214"/>
      <c r="O40" s="214"/>
    </row>
    <row r="41" spans="4:15">
      <c r="D41" s="76" t="s">
        <v>60</v>
      </c>
      <c r="E41" s="127">
        <f>I52</f>
        <v>188230079</v>
      </c>
      <c r="F41" s="127">
        <f>'CF정산표(26.2Q)'!H15</f>
        <v>-82887417</v>
      </c>
      <c r="G41" s="127">
        <f>-'CF정산표(26.2Q)'!P14</f>
        <v>0</v>
      </c>
      <c r="H41" s="127">
        <v>0</v>
      </c>
      <c r="I41" s="127">
        <f>SUM(E41:H41)</f>
        <v>105342662</v>
      </c>
      <c r="J41" s="118" t="b">
        <f>-F9=I41</f>
        <v>1</v>
      </c>
      <c r="K41" s="214"/>
      <c r="L41" s="214"/>
      <c r="M41" s="214"/>
      <c r="N41" s="214"/>
      <c r="O41" s="214"/>
    </row>
    <row r="42" spans="4:15">
      <c r="D42" s="76" t="s">
        <v>645</v>
      </c>
      <c r="E42" s="127">
        <f t="shared" ref="E42:E43" si="1">I53</f>
        <v>27139000</v>
      </c>
      <c r="F42" s="127">
        <f>'CF정산표(26.2Q)'!H19</f>
        <v>-3000000</v>
      </c>
      <c r="G42" s="127">
        <v>0</v>
      </c>
      <c r="H42" s="127">
        <v>0</v>
      </c>
      <c r="I42" s="127">
        <f t="shared" ref="I42:I44" si="2">SUM(E42:H42)</f>
        <v>24139000</v>
      </c>
      <c r="J42" s="118" t="b">
        <f>-F10=I42</f>
        <v>1</v>
      </c>
      <c r="K42" s="214"/>
      <c r="L42" s="214"/>
      <c r="M42" s="214"/>
      <c r="N42" s="214"/>
      <c r="O42" s="214"/>
    </row>
    <row r="43" spans="4:15">
      <c r="D43" s="76" t="s">
        <v>717</v>
      </c>
      <c r="E43" s="127">
        <f t="shared" si="1"/>
        <v>0</v>
      </c>
      <c r="F43" s="127">
        <v>0</v>
      </c>
      <c r="G43" s="127">
        <v>0</v>
      </c>
      <c r="H43" s="127">
        <f>-'CF정산표(26.2Q)'!Q17+'CF정산표(26.2Q)'!P17</f>
        <v>0</v>
      </c>
      <c r="I43" s="127">
        <f t="shared" si="2"/>
        <v>0</v>
      </c>
      <c r="J43" s="118" t="b">
        <f>-F11=I43</f>
        <v>1</v>
      </c>
      <c r="K43" s="214"/>
      <c r="L43" s="214"/>
      <c r="M43" s="214"/>
      <c r="N43" s="214"/>
      <c r="O43" s="214"/>
    </row>
    <row r="44" spans="4:15">
      <c r="D44" s="76" t="s">
        <v>712</v>
      </c>
      <c r="E44" s="127">
        <f>I55</f>
        <v>0</v>
      </c>
      <c r="F44" s="127">
        <f>'CF정산표(26.2Q)'!H32</f>
        <v>0</v>
      </c>
      <c r="G44" s="127">
        <f>'CF정산표(26.2Q)'!P32</f>
        <v>0</v>
      </c>
      <c r="H44" s="127">
        <v>0</v>
      </c>
      <c r="I44" s="127">
        <f t="shared" si="2"/>
        <v>0</v>
      </c>
      <c r="J44" s="118" t="b">
        <f>I44=-BS!E26</f>
        <v>1</v>
      </c>
      <c r="K44" s="214"/>
      <c r="L44" s="214"/>
      <c r="M44" s="214"/>
      <c r="N44" s="214"/>
      <c r="O44" s="214"/>
    </row>
    <row r="45" spans="4:15">
      <c r="D45" s="76" t="s">
        <v>646</v>
      </c>
      <c r="E45" s="127">
        <f>SUM(E41:E44)</f>
        <v>215369079</v>
      </c>
      <c r="F45" s="127">
        <f>SUM(F41:F44)</f>
        <v>-85887417</v>
      </c>
      <c r="G45" s="127">
        <f>SUM(G41:G44)</f>
        <v>0</v>
      </c>
      <c r="H45" s="127">
        <f>SUM(H41:H44)</f>
        <v>0</v>
      </c>
      <c r="I45" s="127">
        <f>SUM(I41:I44)</f>
        <v>129481662</v>
      </c>
      <c r="J45" s="128" t="b">
        <f>-I45-'10'!E9=F12</f>
        <v>1</v>
      </c>
      <c r="K45" s="214"/>
      <c r="L45" s="214"/>
      <c r="M45" s="214"/>
      <c r="N45" s="214"/>
      <c r="O45" s="214"/>
    </row>
    <row r="46" spans="4:15">
      <c r="D46" s="129"/>
      <c r="E46" s="130"/>
      <c r="F46" s="428">
        <f>PL!E53-PL!E62-F45</f>
        <v>0</v>
      </c>
      <c r="G46" s="130"/>
      <c r="H46" s="130"/>
      <c r="I46" s="130"/>
      <c r="J46" s="214"/>
      <c r="K46" s="214"/>
      <c r="L46" s="214"/>
      <c r="M46" s="214"/>
      <c r="N46" s="214"/>
      <c r="O46" s="214"/>
    </row>
    <row r="49" spans="4:11">
      <c r="D49" s="126" t="s">
        <v>534</v>
      </c>
      <c r="E49" s="214"/>
      <c r="F49" s="214"/>
      <c r="G49" s="214"/>
      <c r="H49" s="214"/>
      <c r="I49" s="214"/>
      <c r="J49" s="214"/>
      <c r="K49" s="214"/>
    </row>
    <row r="50" spans="4:11">
      <c r="D50" s="120"/>
      <c r="E50" s="64" t="s">
        <v>267</v>
      </c>
      <c r="F50" s="214"/>
      <c r="G50" s="214"/>
      <c r="H50" s="214"/>
      <c r="I50" s="214"/>
      <c r="J50" s="214"/>
      <c r="K50" s="214"/>
    </row>
    <row r="51" spans="4:11">
      <c r="D51" s="135" t="s">
        <v>237</v>
      </c>
      <c r="E51" s="135" t="s">
        <v>341</v>
      </c>
      <c r="F51" s="135" t="s">
        <v>109</v>
      </c>
      <c r="G51" s="135" t="s">
        <v>342</v>
      </c>
      <c r="H51" s="135" t="s">
        <v>1804</v>
      </c>
      <c r="I51" s="135" t="s">
        <v>343</v>
      </c>
      <c r="J51" s="214"/>
      <c r="K51" s="214"/>
    </row>
    <row r="52" spans="4:11">
      <c r="D52" s="76" t="s">
        <v>60</v>
      </c>
      <c r="E52" s="127">
        <v>201139449</v>
      </c>
      <c r="F52" s="127">
        <v>-4709632</v>
      </c>
      <c r="G52" s="127">
        <v>-8199738</v>
      </c>
      <c r="H52" s="127">
        <v>0</v>
      </c>
      <c r="I52" s="127">
        <f>SUM(E52:H52)</f>
        <v>188230079</v>
      </c>
      <c r="J52" s="118" t="b">
        <f>-I52=I9</f>
        <v>1</v>
      </c>
      <c r="K52" s="214"/>
    </row>
    <row r="53" spans="4:11">
      <c r="D53" s="76" t="s">
        <v>645</v>
      </c>
      <c r="E53" s="127">
        <v>42320850</v>
      </c>
      <c r="F53" s="127">
        <v>-15181850</v>
      </c>
      <c r="G53" s="127">
        <v>0</v>
      </c>
      <c r="H53" s="127">
        <v>0</v>
      </c>
      <c r="I53" s="127">
        <f t="shared" ref="I53:I55" si="3">SUM(E53:H53)</f>
        <v>27139000</v>
      </c>
      <c r="J53" s="118" t="b">
        <f>-I10=I53</f>
        <v>1</v>
      </c>
      <c r="K53" s="214"/>
    </row>
    <row r="54" spans="4:11">
      <c r="D54" s="76" t="s">
        <v>717</v>
      </c>
      <c r="E54" s="127">
        <v>0</v>
      </c>
      <c r="F54" s="127">
        <v>0</v>
      </c>
      <c r="G54" s="127">
        <v>0</v>
      </c>
      <c r="H54" s="127">
        <v>0</v>
      </c>
      <c r="I54" s="127">
        <f t="shared" si="3"/>
        <v>0</v>
      </c>
      <c r="J54" s="118" t="b">
        <f>-I11=I54</f>
        <v>1</v>
      </c>
      <c r="K54" s="214"/>
    </row>
    <row r="55" spans="4:11">
      <c r="D55" s="76" t="s">
        <v>3</v>
      </c>
      <c r="E55" s="127">
        <v>0</v>
      </c>
      <c r="F55" s="127">
        <v>0</v>
      </c>
      <c r="G55" s="127">
        <v>0</v>
      </c>
      <c r="H55" s="127">
        <v>0</v>
      </c>
      <c r="I55" s="127">
        <f t="shared" si="3"/>
        <v>0</v>
      </c>
      <c r="J55" s="118" t="b">
        <f>I55=-BS!F26</f>
        <v>1</v>
      </c>
      <c r="K55" s="214"/>
    </row>
    <row r="56" spans="4:11">
      <c r="D56" s="76" t="s">
        <v>311</v>
      </c>
      <c r="E56" s="127">
        <f>SUM(E52:E55)</f>
        <v>243460299</v>
      </c>
      <c r="F56" s="127">
        <f>SUM(F52:F55)</f>
        <v>-19891482</v>
      </c>
      <c r="G56" s="127">
        <f>SUM(G52:G55)</f>
        <v>-8199738</v>
      </c>
      <c r="H56" s="127">
        <f>SUM(H52:H55)</f>
        <v>0</v>
      </c>
      <c r="I56" s="127">
        <f>SUM(I52:I55)</f>
        <v>215369079</v>
      </c>
      <c r="J56" s="128" t="b">
        <f>-I56-'10'!F9=I12</f>
        <v>1</v>
      </c>
      <c r="K56" s="214"/>
    </row>
    <row r="57" spans="4:11">
      <c r="D57" s="129"/>
      <c r="E57" s="130"/>
      <c r="G57" s="130"/>
      <c r="H57" s="130"/>
      <c r="I57" s="130"/>
      <c r="J57" s="214"/>
      <c r="K57" s="214"/>
    </row>
    <row r="61" spans="4:11">
      <c r="E61" s="428" t="s">
        <v>1660</v>
      </c>
      <c r="F61" s="428">
        <f>F53+F55</f>
        <v>-15181850</v>
      </c>
    </row>
  </sheetData>
  <mergeCells count="1">
    <mergeCell ref="D7:D8"/>
  </mergeCells>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7F153EDE-A60E-421E-BC5C-31D7EF5AAB8D}">
            <xm:f>NOT(ISERROR(SEARCH("true",A1)))</xm:f>
            <xm:f>"true"</xm:f>
            <x14:dxf>
              <fill>
                <patternFill>
                  <bgColor theme="9" tint="0.79998168889431442"/>
                </patternFill>
              </fill>
            </x14:dxf>
          </x14:cfRule>
          <x14:cfRule type="containsText" priority="4" operator="containsText" id="{BBDC6776-B721-4D9E-9B61-97473B930080}">
            <xm:f>NOT(ISERROR(SEARCH("false",A1)))</xm:f>
            <xm:f>"false"</xm:f>
            <x14:dxf>
              <fill>
                <patternFill>
                  <bgColor theme="5"/>
                </patternFill>
              </fill>
            </x14:dxf>
          </x14:cfRule>
          <xm:sqref>A1:XFD49 O50:XFD55 A50:K57 L56:XFD57 A58:XFD1048576</xm:sqref>
        </x14:conditionalFormatting>
        <x14:conditionalFormatting xmlns:xm="http://schemas.microsoft.com/office/excel/2006/main">
          <x14:cfRule type="containsText" priority="1" operator="containsText" id="{02034CDE-C37A-41D9-8FD8-5AC2CA96A6AE}">
            <xm:f>NOT(ISERROR(SEARCH("true",E29)))</xm:f>
            <xm:f>"true"</xm:f>
            <x14:dxf>
              <fill>
                <patternFill>
                  <bgColor theme="9" tint="0.79998168889431442"/>
                </patternFill>
              </fill>
            </x14:dxf>
          </x14:cfRule>
          <x14:cfRule type="containsText" priority="2" operator="containsText" id="{DBBEB74C-BBCB-4D0B-9A4F-58188056C40B}">
            <xm:f>NOT(ISERROR(SEARCH("false",E29)))</xm:f>
            <xm:f>"false"</xm:f>
            <x14:dxf>
              <fill>
                <patternFill>
                  <bgColor theme="5"/>
                </patternFill>
              </fill>
            </x14:dxf>
          </x14:cfRule>
          <xm:sqref>E29:J31</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B2:H26"/>
  <sheetViews>
    <sheetView showGridLines="0" zoomScale="115" zoomScaleNormal="115" workbookViewId="0">
      <selection activeCell="F8" sqref="F8:F15"/>
    </sheetView>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7" width="12.5703125" style="55" bestFit="1" customWidth="1"/>
    <col min="8" max="8" width="11.35546875" style="55" bestFit="1" customWidth="1"/>
    <col min="9" max="9" width="11.0703125" style="55" bestFit="1" customWidth="1"/>
    <col min="10" max="10" width="12.5703125" style="55" bestFit="1" customWidth="1"/>
    <col min="11" max="11" width="8.5703125" style="55" bestFit="1" customWidth="1"/>
    <col min="12" max="12" width="12.5703125" style="55" bestFit="1" customWidth="1"/>
    <col min="13" max="13" width="8.5703125" style="55" bestFit="1" customWidth="1"/>
    <col min="14" max="16384" width="8.5703125" style="55"/>
  </cols>
  <sheetData>
    <row r="2" spans="2:7">
      <c r="B2" s="54" t="s">
        <v>997</v>
      </c>
    </row>
    <row r="4" spans="2:7">
      <c r="D4" s="55" t="s">
        <v>998</v>
      </c>
    </row>
    <row r="6" spans="2:7">
      <c r="E6" s="63"/>
      <c r="F6" s="64" t="s">
        <v>258</v>
      </c>
      <c r="G6" s="63"/>
    </row>
    <row r="7" spans="2:7">
      <c r="D7" s="135" t="s">
        <v>237</v>
      </c>
      <c r="E7" s="135" t="str">
        <f>'7'!E6</f>
        <v>당반기말</v>
      </c>
      <c r="F7" s="135" t="s">
        <v>238</v>
      </c>
      <c r="G7" s="63"/>
    </row>
    <row r="8" spans="2:7">
      <c r="D8" s="136" t="s">
        <v>265</v>
      </c>
      <c r="E8" s="127">
        <f>BS!E15</f>
        <v>47852743</v>
      </c>
      <c r="F8" s="127">
        <f>BS!F15</f>
        <v>42227029</v>
      </c>
      <c r="G8" s="63"/>
    </row>
    <row r="9" spans="2:7">
      <c r="D9" s="136" t="s">
        <v>264</v>
      </c>
      <c r="E9" s="127">
        <f>BS!E16</f>
        <v>0</v>
      </c>
      <c r="F9" s="127">
        <f>BS!F16</f>
        <v>-14089</v>
      </c>
      <c r="G9" s="63">
        <f>F9-E9</f>
        <v>-14089</v>
      </c>
    </row>
    <row r="10" spans="2:7">
      <c r="D10" s="136" t="s">
        <v>266</v>
      </c>
      <c r="E10" s="127">
        <f>BS!E17</f>
        <v>2534717672</v>
      </c>
      <c r="F10" s="127">
        <f>BS!F17</f>
        <v>2349819825</v>
      </c>
      <c r="G10" s="63"/>
    </row>
    <row r="11" spans="2:7">
      <c r="D11" s="136" t="s">
        <v>264</v>
      </c>
      <c r="E11" s="127">
        <f>BS!E18</f>
        <v>-827921741</v>
      </c>
      <c r="F11" s="127">
        <f>BS!F18</f>
        <v>-725171962</v>
      </c>
      <c r="G11" s="63">
        <f>F11-E11</f>
        <v>102749779</v>
      </c>
    </row>
    <row r="12" spans="2:7">
      <c r="D12" s="136" t="s">
        <v>263</v>
      </c>
      <c r="E12" s="127">
        <f>BS!E19</f>
        <v>464851515</v>
      </c>
      <c r="F12" s="127">
        <f>BS!F19</f>
        <v>354984836</v>
      </c>
      <c r="G12" s="63"/>
    </row>
    <row r="13" spans="2:7">
      <c r="D13" s="136" t="str">
        <f>D11</f>
        <v>차감:평가충당금</v>
      </c>
      <c r="E13" s="127">
        <f>BS!E20</f>
        <v>-44697318</v>
      </c>
      <c r="F13" s="127">
        <f>BS!F20</f>
        <v>-34479470</v>
      </c>
      <c r="G13" s="63">
        <f>F13-E13</f>
        <v>10217848</v>
      </c>
    </row>
    <row r="14" spans="2:7">
      <c r="D14" s="137" t="s">
        <v>1235</v>
      </c>
      <c r="E14" s="127">
        <f>BS!E21</f>
        <v>48405072</v>
      </c>
      <c r="F14" s="127">
        <f>BS!F21</f>
        <v>49267189</v>
      </c>
      <c r="G14" s="63"/>
    </row>
    <row r="15" spans="2:7">
      <c r="D15" s="567" t="s">
        <v>1236</v>
      </c>
      <c r="E15" s="127">
        <f>BS!E22</f>
        <v>-20598322</v>
      </c>
      <c r="F15" s="127">
        <f>BS!F22</f>
        <v>-2358686</v>
      </c>
      <c r="G15" s="63">
        <f>F15-E15</f>
        <v>18239636</v>
      </c>
    </row>
    <row r="16" spans="2:7">
      <c r="D16" s="567" t="s">
        <v>750</v>
      </c>
      <c r="E16" s="127">
        <f>BS!E23</f>
        <v>0</v>
      </c>
      <c r="F16" s="127">
        <f>BS!F23</f>
        <v>0</v>
      </c>
      <c r="G16" s="63"/>
    </row>
    <row r="17" spans="4:8">
      <c r="D17" s="138" t="s">
        <v>256</v>
      </c>
      <c r="E17" s="139">
        <f>SUM(E8:E16)</f>
        <v>2202609621</v>
      </c>
      <c r="F17" s="139">
        <f>SUM(F8:F16)</f>
        <v>2034274672</v>
      </c>
      <c r="G17" s="63"/>
    </row>
    <row r="18" spans="4:8">
      <c r="D18" s="125"/>
      <c r="E18" s="63" t="b">
        <f>E17=BS!E14</f>
        <v>1</v>
      </c>
      <c r="F18" s="63" t="b">
        <f>F17=BS!F14</f>
        <v>1</v>
      </c>
      <c r="G18" s="63"/>
    </row>
    <row r="19" spans="4:8">
      <c r="D19" s="125"/>
      <c r="E19" s="63" t="b">
        <f>E17=Dart_BS!C9</f>
        <v>1</v>
      </c>
      <c r="F19" s="63" t="b">
        <f>F17=Dart_BS!D9</f>
        <v>1</v>
      </c>
      <c r="G19" s="63"/>
    </row>
    <row r="20" spans="4:8" ht="15.45" thickBot="1">
      <c r="D20" s="125"/>
      <c r="E20" s="63"/>
      <c r="F20" s="63"/>
      <c r="G20" s="63"/>
    </row>
    <row r="21" spans="4:8" ht="15.45" thickBot="1">
      <c r="D21" s="62" t="s">
        <v>1253</v>
      </c>
      <c r="E21" s="140">
        <f>ROUND((SUM('CF정산표(26.2Q)'!H22:H29)-SUM('CF정산표(26.2Q)'!J22:J29))/10^6,)</f>
        <v>131</v>
      </c>
      <c r="F21" s="62" t="s">
        <v>1797</v>
      </c>
      <c r="G21" s="141">
        <v>193</v>
      </c>
      <c r="H21" s="55" t="s">
        <v>999</v>
      </c>
    </row>
    <row r="22" spans="4:8">
      <c r="D22" s="63"/>
      <c r="E22" s="63">
        <f>E9+E11+E13+E15</f>
        <v>-893217381</v>
      </c>
      <c r="F22" s="63">
        <f>F9+F11+F13+F15</f>
        <v>-762024207</v>
      </c>
      <c r="G22" s="63">
        <f>G9+G11+G13+G15</f>
        <v>131193174</v>
      </c>
    </row>
    <row r="23" spans="4:8">
      <c r="D23" s="63"/>
      <c r="E23" s="118"/>
      <c r="F23" s="63"/>
      <c r="G23" s="754"/>
      <c r="H23" s="753"/>
    </row>
    <row r="24" spans="4:8">
      <c r="D24" s="129"/>
      <c r="E24" s="130"/>
      <c r="F24" s="130"/>
      <c r="G24" s="755"/>
      <c r="H24" s="753"/>
    </row>
    <row r="25" spans="4:8">
      <c r="D25" s="129"/>
      <c r="E25" s="130"/>
      <c r="F25" s="130"/>
      <c r="G25" s="755"/>
      <c r="H25" s="753"/>
    </row>
    <row r="26" spans="4:8">
      <c r="G26" s="756"/>
    </row>
  </sheetData>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81BE16A8-8D93-4749-93DF-444474DC6B61}">
            <xm:f>NOT(ISERROR(SEARCH("true",A1)))</xm:f>
            <xm:f>"true"</xm:f>
            <x14:dxf>
              <fill>
                <patternFill>
                  <bgColor theme="9" tint="0.79998168889431442"/>
                </patternFill>
              </fill>
            </x14:dxf>
          </x14:cfRule>
          <x14:cfRule type="containsText" priority="2" operator="containsText" id="{AF6B94C1-48DC-4F3B-8F46-C71910742CBF}">
            <xm:f>NOT(ISERROR(SEARCH("false",A1)))</xm:f>
            <xm:f>"false"</xm:f>
            <x14:dxf>
              <fill>
                <patternFill>
                  <bgColor theme="5"/>
                </patternFill>
              </fill>
            </x14:dxf>
          </x14:cfRule>
          <xm:sqref>A1:XFD1048576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B2:G14"/>
  <sheetViews>
    <sheetView showGridLines="0" zoomScale="85" zoomScaleNormal="85" workbookViewId="0">
      <selection activeCell="E10" sqref="E10:E12"/>
    </sheetView>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7" width="12.5703125" style="55" bestFit="1" customWidth="1"/>
    <col min="8" max="8" width="11.35546875" style="55" bestFit="1" customWidth="1"/>
    <col min="9" max="9" width="11.0703125" style="55" bestFit="1" customWidth="1"/>
    <col min="10" max="10" width="12.5703125" style="55" bestFit="1" customWidth="1"/>
    <col min="11" max="11" width="8.5703125" style="55" bestFit="1" customWidth="1"/>
    <col min="12" max="12" width="12.5703125" style="55" bestFit="1" customWidth="1"/>
    <col min="13" max="13" width="8.5703125" style="55" bestFit="1" customWidth="1"/>
    <col min="14" max="16384" width="8.5703125" style="55"/>
  </cols>
  <sheetData>
    <row r="2" spans="2:7">
      <c r="B2" s="54" t="s">
        <v>1002</v>
      </c>
    </row>
    <row r="4" spans="2:7">
      <c r="D4" s="55" t="s">
        <v>1003</v>
      </c>
    </row>
    <row r="6" spans="2:7">
      <c r="E6" s="63"/>
      <c r="F6" s="64" t="s">
        <v>258</v>
      </c>
      <c r="G6" s="63"/>
    </row>
    <row r="7" spans="2:7">
      <c r="D7" s="135" t="s">
        <v>237</v>
      </c>
      <c r="E7" s="135" t="str">
        <f>'7'!E6</f>
        <v>당반기말</v>
      </c>
      <c r="F7" s="135" t="s">
        <v>238</v>
      </c>
      <c r="G7" s="63"/>
    </row>
    <row r="8" spans="2:7">
      <c r="D8" s="67" t="s">
        <v>3</v>
      </c>
      <c r="E8" s="68">
        <f>BS!E25</f>
        <v>394157762</v>
      </c>
      <c r="F8" s="143">
        <f>BS!F25</f>
        <v>2254829529</v>
      </c>
      <c r="G8" s="63"/>
    </row>
    <row r="9" spans="2:7">
      <c r="D9" s="67" t="s">
        <v>262</v>
      </c>
      <c r="E9" s="68">
        <f>BS!E26</f>
        <v>0</v>
      </c>
      <c r="F9" s="143">
        <f>BS!F26</f>
        <v>0</v>
      </c>
      <c r="G9" s="63"/>
    </row>
    <row r="10" spans="2:7">
      <c r="D10" s="67" t="s">
        <v>4</v>
      </c>
      <c r="E10" s="68">
        <f>BS!E27</f>
        <v>1698698289</v>
      </c>
      <c r="F10" s="143">
        <f>BS!F27</f>
        <v>473315521</v>
      </c>
      <c r="G10" s="63"/>
    </row>
    <row r="11" spans="2:7">
      <c r="D11" s="752" t="s">
        <v>1582</v>
      </c>
      <c r="E11" s="68">
        <f>BS!E28</f>
        <v>4272227</v>
      </c>
      <c r="F11" s="143">
        <f>BS!F28</f>
        <v>7692640</v>
      </c>
      <c r="G11" s="63"/>
    </row>
    <row r="12" spans="2:7">
      <c r="D12" s="71" t="s">
        <v>256</v>
      </c>
      <c r="E12" s="72">
        <f>SUM(E8:E11)</f>
        <v>2097128278</v>
      </c>
      <c r="F12" s="72">
        <f>SUM(F8:F11)</f>
        <v>2735837690</v>
      </c>
      <c r="G12" s="63"/>
    </row>
    <row r="13" spans="2:7">
      <c r="E13" s="55" t="b">
        <f>E12=BS!E24</f>
        <v>1</v>
      </c>
      <c r="F13" s="55" t="b">
        <f>F12=BS!F24</f>
        <v>1</v>
      </c>
    </row>
    <row r="14" spans="2:7">
      <c r="E14" s="55" t="b">
        <f>E12=Dart_BS!C10</f>
        <v>1</v>
      </c>
      <c r="F14" s="55" t="b">
        <f>F12=Dart_BS!D10</f>
        <v>1</v>
      </c>
    </row>
  </sheetData>
  <phoneticPr fontId="2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C3762E0E-A017-4F18-86A1-4D2D1C0369D3}">
            <xm:f>NOT(ISERROR(SEARCH("TRUE",A1)))</xm:f>
            <xm:f>"TRUE"</xm:f>
            <x14:dxf>
              <fill>
                <patternFill>
                  <bgColor theme="9" tint="0.79998168889431442"/>
                </patternFill>
              </fill>
            </x14:dxf>
          </x14:cfRule>
          <x14:cfRule type="containsText" priority="2" operator="containsText" id="{9B4D1428-65F9-4FBB-BE33-6A3B84333C0C}">
            <xm:f>NOT(ISERROR(SEARCH("FALSE",A1)))</xm:f>
            <xm:f>"FALSE"</xm:f>
            <x14:dxf>
              <fill>
                <patternFill>
                  <bgColor theme="5"/>
                </patternFill>
              </fill>
            </x14:dxf>
          </x14:cfRule>
          <xm:sqref>A1:XFD1048576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B2:I33"/>
  <sheetViews>
    <sheetView showGridLines="0" zoomScale="85" zoomScaleNormal="85" workbookViewId="0"/>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7" width="12.5703125" style="55" bestFit="1" customWidth="1"/>
    <col min="8" max="8" width="11.35546875" style="55" bestFit="1" customWidth="1"/>
    <col min="9" max="9" width="11.0703125" style="55" bestFit="1" customWidth="1"/>
    <col min="10" max="10" width="12.5703125" style="55" bestFit="1" customWidth="1"/>
    <col min="11" max="11" width="8.5703125" style="55" bestFit="1" customWidth="1"/>
    <col min="12" max="12" width="12.5703125" style="55" bestFit="1" customWidth="1"/>
    <col min="13" max="13" width="8.5703125" style="55" bestFit="1" customWidth="1"/>
    <col min="14" max="16384" width="8.5703125" style="55"/>
  </cols>
  <sheetData>
    <row r="2" spans="2:7">
      <c r="B2" s="54" t="s">
        <v>1006</v>
      </c>
    </row>
    <row r="4" spans="2:7">
      <c r="D4" s="55" t="s">
        <v>1005</v>
      </c>
    </row>
    <row r="5" spans="2:7">
      <c r="D5" s="55" t="s">
        <v>1004</v>
      </c>
    </row>
    <row r="6" spans="2:7">
      <c r="E6" s="63"/>
      <c r="F6" s="64" t="s">
        <v>258</v>
      </c>
      <c r="G6" s="63"/>
    </row>
    <row r="7" spans="2:7">
      <c r="D7" s="135" t="s">
        <v>237</v>
      </c>
      <c r="E7" s="135" t="str">
        <f>'7'!E6</f>
        <v>당반기말</v>
      </c>
      <c r="F7" s="135" t="s">
        <v>238</v>
      </c>
      <c r="G7" s="63"/>
    </row>
    <row r="8" spans="2:7">
      <c r="D8" s="67" t="s">
        <v>1010</v>
      </c>
      <c r="E8" s="68">
        <f>BS!E31</f>
        <v>0</v>
      </c>
      <c r="F8" s="68">
        <f>BS!F31</f>
        <v>0</v>
      </c>
      <c r="G8" s="63"/>
    </row>
    <row r="9" spans="2:7">
      <c r="D9" s="67" t="s">
        <v>1013</v>
      </c>
      <c r="E9" s="68">
        <f>BS!E32</f>
        <v>0</v>
      </c>
      <c r="F9" s="68">
        <f>BS!F32</f>
        <v>1250001</v>
      </c>
      <c r="G9" s="63"/>
    </row>
    <row r="10" spans="2:7">
      <c r="D10" s="71" t="s">
        <v>256</v>
      </c>
      <c r="E10" s="72">
        <f>SUM(E8:E9)</f>
        <v>0</v>
      </c>
      <c r="F10" s="72">
        <f>SUM(F8:F9)</f>
        <v>1250001</v>
      </c>
      <c r="G10" s="63"/>
    </row>
    <row r="11" spans="2:7">
      <c r="E11" s="55" t="b">
        <f>E10=BS!E30</f>
        <v>1</v>
      </c>
      <c r="F11" s="55" t="b">
        <f>F10=BS!F30</f>
        <v>1</v>
      </c>
    </row>
    <row r="12" spans="2:7">
      <c r="E12" s="55" t="b">
        <f>E10='6'!E11</f>
        <v>1</v>
      </c>
      <c r="F12" s="55" t="b">
        <f>F10='6'!F11</f>
        <v>1</v>
      </c>
    </row>
    <row r="13" spans="2:7">
      <c r="D13" s="55" t="s">
        <v>1007</v>
      </c>
    </row>
    <row r="14" spans="2:7">
      <c r="D14" s="55" t="s">
        <v>1008</v>
      </c>
    </row>
    <row r="15" spans="2:7">
      <c r="E15" s="63"/>
      <c r="F15" s="64" t="s">
        <v>258</v>
      </c>
    </row>
    <row r="16" spans="2:7">
      <c r="D16" s="135" t="s">
        <v>259</v>
      </c>
      <c r="E16" s="135" t="str">
        <f>E7</f>
        <v>당반기말</v>
      </c>
      <c r="F16" s="135" t="str">
        <f>F7</f>
        <v>전기말</v>
      </c>
    </row>
    <row r="17" spans="2:9">
      <c r="D17" s="67" t="s">
        <v>1011</v>
      </c>
      <c r="E17" s="68">
        <f>BS!E36+BS!E37</f>
        <v>375946506</v>
      </c>
      <c r="F17" s="68">
        <f>BS!F36+BS!F37</f>
        <v>378196105</v>
      </c>
    </row>
    <row r="18" spans="2:9">
      <c r="D18" s="67" t="s">
        <v>261</v>
      </c>
      <c r="E18" s="68">
        <f>BS!E38</f>
        <v>10135870</v>
      </c>
      <c r="F18" s="68">
        <f>BS!F38</f>
        <v>10024170</v>
      </c>
    </row>
    <row r="19" spans="2:9">
      <c r="D19" s="71" t="s">
        <v>256</v>
      </c>
      <c r="E19" s="72">
        <f>SUM(E17:E18)</f>
        <v>386082376</v>
      </c>
      <c r="F19" s="72">
        <f>SUM(F17:F18)</f>
        <v>388220275</v>
      </c>
    </row>
    <row r="20" spans="2:9">
      <c r="D20" s="63"/>
      <c r="E20" s="118" t="b">
        <f>E19=BS!E35</f>
        <v>1</v>
      </c>
      <c r="F20" s="118" t="b">
        <f>F19=BS!F35</f>
        <v>1</v>
      </c>
    </row>
    <row r="21" spans="2:9">
      <c r="E21" s="55" t="b">
        <f>E19='6'!E12</f>
        <v>1</v>
      </c>
      <c r="F21" s="55" t="b">
        <f>F19='6'!F12</f>
        <v>1</v>
      </c>
    </row>
    <row r="26" spans="2:9">
      <c r="B26" s="54" t="s">
        <v>1542</v>
      </c>
    </row>
    <row r="28" spans="2:9" s="265" customFormat="1"/>
    <row r="29" spans="2:9" s="265" customFormat="1">
      <c r="D29" s="1276" t="s">
        <v>259</v>
      </c>
      <c r="E29" s="1276" t="s">
        <v>1543</v>
      </c>
      <c r="F29" s="222" t="str">
        <f>E16</f>
        <v>당반기말</v>
      </c>
      <c r="G29" s="222"/>
      <c r="H29" s="222" t="str">
        <f>F16</f>
        <v>전기말</v>
      </c>
      <c r="I29" s="222"/>
    </row>
    <row r="30" spans="2:9" s="265" customFormat="1">
      <c r="D30" s="1277"/>
      <c r="E30" s="1277"/>
      <c r="F30" s="135" t="s">
        <v>1017</v>
      </c>
      <c r="G30" s="135" t="s">
        <v>244</v>
      </c>
      <c r="H30" s="135" t="s">
        <v>1017</v>
      </c>
      <c r="I30" s="135" t="s">
        <v>244</v>
      </c>
    </row>
    <row r="31" spans="2:9" s="265" customFormat="1">
      <c r="D31" s="67" t="s">
        <v>1544</v>
      </c>
      <c r="E31" s="67" t="s">
        <v>1545</v>
      </c>
      <c r="F31" s="68">
        <f>'5'!E16</f>
        <v>172664940</v>
      </c>
      <c r="G31" s="68">
        <f>'5'!E16</f>
        <v>172664940</v>
      </c>
      <c r="H31" s="68">
        <f>'5'!G16</f>
        <v>172664940</v>
      </c>
      <c r="I31" s="68">
        <f>'5'!H16</f>
        <v>172664940</v>
      </c>
    </row>
    <row r="32" spans="2:9" s="265" customFormat="1">
      <c r="D32" s="67" t="s">
        <v>1777</v>
      </c>
      <c r="E32" s="67"/>
      <c r="F32" s="68">
        <f>SUM(F31)</f>
        <v>172664940</v>
      </c>
      <c r="G32" s="68">
        <f>SUM(G31)</f>
        <v>172664940</v>
      </c>
      <c r="H32" s="68">
        <f>SUM(H31)</f>
        <v>172664940</v>
      </c>
      <c r="I32" s="68">
        <f>SUM(I31)</f>
        <v>172664940</v>
      </c>
    </row>
    <row r="33" spans="7:9" s="265" customFormat="1">
      <c r="G33" s="265" t="b">
        <f>G32=Dart_BS!C15</f>
        <v>1</v>
      </c>
      <c r="I33" s="265" t="b">
        <f>I32=Dart_BS!D15</f>
        <v>1</v>
      </c>
    </row>
  </sheetData>
  <mergeCells count="2">
    <mergeCell ref="D29:D30"/>
    <mergeCell ref="E29:E30"/>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9" operator="containsText" id="{93A63DFC-4BBB-4B74-953A-18323C5E40F1}">
            <xm:f>NOT(ISERROR(SEARCH("TRUE",A1)))</xm:f>
            <xm:f>"TRUE"</xm:f>
            <x14:dxf>
              <fill>
                <patternFill>
                  <bgColor theme="9" tint="0.79998168889431442"/>
                </patternFill>
              </fill>
            </x14:dxf>
          </x14:cfRule>
          <x14:cfRule type="containsText" priority="10" operator="containsText" id="{95C2A28C-B9C7-4820-B585-061F6BE956EB}">
            <xm:f>NOT(ISERROR(SEARCH("FALSE",A1)))</xm:f>
            <xm:f>"FALSE"</xm:f>
            <x14:dxf>
              <fill>
                <patternFill>
                  <bgColor theme="5"/>
                </patternFill>
              </fill>
            </x14:dxf>
          </x14:cfRule>
          <xm:sqref>A1:XFD3 A4:C4 E4:XFD4 A5:XFD14 A15:C15 E15:XFD15 A16:XFD28 A29:C32 J29:XFD32 A33:XFD1048576</xm:sqref>
        </x14:conditionalFormatting>
        <x14:conditionalFormatting xmlns:xm="http://schemas.microsoft.com/office/excel/2006/main">
          <x14:cfRule type="containsText" priority="3" operator="containsText" id="{2A6FB0F7-0158-4893-83EC-AD7532F61923}">
            <xm:f>NOT(ISERROR(SEARCH("TRUE",D31)))</xm:f>
            <xm:f>"TRUE"</xm:f>
            <x14:dxf>
              <fill>
                <patternFill>
                  <bgColor theme="9" tint="0.79998168889431442"/>
                </patternFill>
              </fill>
            </x14:dxf>
          </x14:cfRule>
          <x14:cfRule type="containsText" priority="4" operator="containsText" id="{419317BF-CD07-4A17-9E43-1FF984D5661F}">
            <xm:f>NOT(ISERROR(SEARCH("FALSE",D31)))</xm:f>
            <xm:f>"FALSE"</xm:f>
            <x14:dxf>
              <fill>
                <patternFill>
                  <bgColor theme="5"/>
                </patternFill>
              </fill>
            </x14:dxf>
          </x14:cfRule>
          <xm:sqref>D31:E32</xm:sqref>
        </x14:conditionalFormatting>
        <x14:conditionalFormatting xmlns:xm="http://schemas.microsoft.com/office/excel/2006/main">
          <x14:cfRule type="containsText" priority="5" operator="containsText" id="{F161060F-2856-4BE3-BED6-2EDD59132E2D}">
            <xm:f>NOT(ISERROR(SEARCH("TRUE",D29)))</xm:f>
            <xm:f>"TRUE"</xm:f>
            <x14:dxf>
              <fill>
                <patternFill>
                  <bgColor theme="9" tint="0.79998168889431442"/>
                </patternFill>
              </fill>
            </x14:dxf>
          </x14:cfRule>
          <x14:cfRule type="containsText" priority="6" operator="containsText" id="{1A6737A7-D2C0-4444-A3BC-E6C467AFBF02}">
            <xm:f>NOT(ISERROR(SEARCH("FALSE",D29)))</xm:f>
            <xm:f>"FALSE"</xm:f>
            <x14:dxf>
              <fill>
                <patternFill>
                  <bgColor theme="5"/>
                </patternFill>
              </fill>
            </x14:dxf>
          </x14:cfRule>
          <xm:sqref>D29:I29</xm:sqref>
        </x14:conditionalFormatting>
        <x14:conditionalFormatting xmlns:xm="http://schemas.microsoft.com/office/excel/2006/main">
          <x14:cfRule type="containsText" priority="1" operator="containsText" id="{8F5D567E-10CD-4D2C-8C2C-EE58B3A2E8B2}">
            <xm:f>NOT(ISERROR(SEARCH("TRUE",F30)))</xm:f>
            <xm:f>"TRUE"</xm:f>
            <x14:dxf>
              <fill>
                <patternFill>
                  <bgColor theme="9" tint="0.79998168889431442"/>
                </patternFill>
              </fill>
            </x14:dxf>
          </x14:cfRule>
          <x14:cfRule type="containsText" priority="2" operator="containsText" id="{6EBD734F-FF60-4234-8158-39CB66E865D8}">
            <xm:f>NOT(ISERROR(SEARCH("FALSE",F30)))</xm:f>
            <xm:f>"FALSE"</xm:f>
            <x14:dxf>
              <fill>
                <patternFill>
                  <bgColor theme="5"/>
                </patternFill>
              </fill>
            </x14:dxf>
          </x14:cfRule>
          <xm:sqref>F30:I32</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B2:Q64"/>
  <sheetViews>
    <sheetView showGridLines="0" topLeftCell="B19" zoomScaleNormal="100" workbookViewId="0">
      <selection activeCell="H31" sqref="H31"/>
    </sheetView>
  </sheetViews>
  <sheetFormatPr defaultColWidth="8.5703125" defaultRowHeight="15"/>
  <cols>
    <col min="1" max="2" width="1.85546875" style="55" customWidth="1"/>
    <col min="3" max="3" width="1.5" style="55" customWidth="1"/>
    <col min="4" max="4" width="46.0703125" style="55" customWidth="1"/>
    <col min="5" max="5" width="16.0703125" style="55" customWidth="1"/>
    <col min="6" max="6" width="18.35546875" style="55" customWidth="1"/>
    <col min="7" max="8" width="12.5703125" style="55" bestFit="1" customWidth="1"/>
    <col min="9" max="9" width="13.5703125" style="55" bestFit="1" customWidth="1"/>
    <col min="10" max="10" width="12.5703125" style="55" bestFit="1" customWidth="1"/>
    <col min="11" max="11" width="11.35546875" style="55" bestFit="1" customWidth="1"/>
    <col min="12" max="12" width="12.5703125" style="55" bestFit="1" customWidth="1"/>
    <col min="13" max="13" width="8.5703125" style="55" bestFit="1" customWidth="1"/>
    <col min="14" max="14" width="9.140625" style="55" bestFit="1" customWidth="1"/>
    <col min="15" max="15" width="12.5703125" style="55" bestFit="1" customWidth="1"/>
    <col min="16" max="16384" width="8.5703125" style="55"/>
  </cols>
  <sheetData>
    <row r="2" spans="2:17">
      <c r="B2" s="54" t="s">
        <v>1552</v>
      </c>
    </row>
    <row r="4" spans="2:17">
      <c r="D4" s="62" t="s">
        <v>329</v>
      </c>
      <c r="E4" s="63"/>
      <c r="F4" s="63"/>
      <c r="G4" s="63"/>
      <c r="H4" s="63"/>
      <c r="I4" s="63"/>
      <c r="J4" s="63"/>
      <c r="K4" s="63"/>
      <c r="L4" s="63"/>
      <c r="M4" s="63"/>
      <c r="N4" s="63"/>
      <c r="O4" s="63"/>
      <c r="P4" s="63"/>
      <c r="Q4" s="63"/>
    </row>
    <row r="5" spans="2:17">
      <c r="D5" s="64"/>
      <c r="E5" s="63"/>
      <c r="F5" s="63"/>
      <c r="G5" s="63"/>
      <c r="H5" s="63"/>
      <c r="I5" s="63"/>
      <c r="J5" s="63" t="s">
        <v>272</v>
      </c>
      <c r="K5" s="63"/>
      <c r="L5" s="63"/>
      <c r="M5" s="63"/>
      <c r="N5" s="63"/>
      <c r="O5" s="63"/>
      <c r="P5" s="63"/>
      <c r="Q5" s="63"/>
    </row>
    <row r="6" spans="2:17">
      <c r="D6" s="1278" t="s">
        <v>237</v>
      </c>
      <c r="E6" s="157" t="str">
        <f>'11-12'!E16</f>
        <v>당반기말</v>
      </c>
      <c r="F6" s="158"/>
      <c r="G6" s="159"/>
      <c r="H6" s="157" t="s">
        <v>238</v>
      </c>
      <c r="I6" s="158"/>
      <c r="J6" s="159"/>
      <c r="K6" s="63"/>
      <c r="L6" s="63"/>
      <c r="M6" s="63"/>
      <c r="N6" s="63"/>
      <c r="O6" s="63"/>
      <c r="P6" s="63"/>
      <c r="Q6" s="63"/>
    </row>
    <row r="7" spans="2:17">
      <c r="D7" s="1279"/>
      <c r="E7" s="160" t="s">
        <v>1018</v>
      </c>
      <c r="F7" s="160" t="s">
        <v>330</v>
      </c>
      <c r="G7" s="160" t="s">
        <v>244</v>
      </c>
      <c r="H7" s="160" t="s">
        <v>1017</v>
      </c>
      <c r="I7" s="160" t="s">
        <v>330</v>
      </c>
      <c r="J7" s="161" t="s">
        <v>244</v>
      </c>
      <c r="K7" s="63"/>
      <c r="L7" s="63"/>
      <c r="M7" s="63"/>
      <c r="N7" s="63"/>
      <c r="O7" s="63"/>
      <c r="P7" s="63"/>
      <c r="Q7" s="63"/>
    </row>
    <row r="8" spans="2:17">
      <c r="D8" s="144" t="s">
        <v>1224</v>
      </c>
      <c r="E8" s="70">
        <f>BS!E44</f>
        <v>1115280040</v>
      </c>
      <c r="F8" s="68">
        <v>0</v>
      </c>
      <c r="G8" s="68">
        <f t="shared" ref="G8:G17" si="0">SUM(E8:F8)</f>
        <v>1115280040</v>
      </c>
      <c r="H8" s="68">
        <f>BS!F44</f>
        <v>557640020</v>
      </c>
      <c r="I8" s="68">
        <v>0</v>
      </c>
      <c r="J8" s="145">
        <f t="shared" ref="J8:J17" si="1">SUM(H8:I8)</f>
        <v>557640020</v>
      </c>
      <c r="K8" s="63"/>
      <c r="L8" s="63"/>
      <c r="M8" s="63"/>
      <c r="N8" s="63"/>
      <c r="O8" s="63"/>
      <c r="P8" s="63"/>
      <c r="Q8" s="63"/>
    </row>
    <row r="9" spans="2:17">
      <c r="D9" s="759" t="s">
        <v>1795</v>
      </c>
      <c r="E9" s="70">
        <f>BS!E45</f>
        <v>2832428420</v>
      </c>
      <c r="F9" s="68">
        <f>BS!E46</f>
        <v>-61959374</v>
      </c>
      <c r="G9" s="68">
        <f t="shared" si="0"/>
        <v>2770469046</v>
      </c>
      <c r="H9" s="760">
        <f>BS!F45</f>
        <v>1355889942</v>
      </c>
      <c r="I9" s="760">
        <f>BS!F46</f>
        <v>-31072481</v>
      </c>
      <c r="J9" s="145">
        <f t="shared" si="1"/>
        <v>1324817461</v>
      </c>
      <c r="K9" s="63"/>
      <c r="L9" s="63"/>
      <c r="M9" s="63"/>
      <c r="N9" s="63"/>
      <c r="O9" s="63"/>
      <c r="P9" s="63"/>
      <c r="Q9" s="63"/>
    </row>
    <row r="10" spans="2:17">
      <c r="D10" s="144" t="s">
        <v>66</v>
      </c>
      <c r="E10" s="70">
        <f>BS!E47</f>
        <v>2674264961</v>
      </c>
      <c r="F10" s="68">
        <f>BS!E48</f>
        <v>-1323604760</v>
      </c>
      <c r="G10" s="68">
        <f t="shared" si="0"/>
        <v>1350660201</v>
      </c>
      <c r="H10" s="68">
        <f>BS!F47</f>
        <v>1819453967</v>
      </c>
      <c r="I10" s="68">
        <f>BS!F48</f>
        <v>-1210652849</v>
      </c>
      <c r="J10" s="145">
        <f t="shared" si="1"/>
        <v>608801118</v>
      </c>
      <c r="K10" s="63"/>
      <c r="L10" s="63"/>
      <c r="M10" s="63"/>
      <c r="N10" s="63"/>
      <c r="O10" s="63"/>
      <c r="P10" s="63"/>
      <c r="Q10" s="63"/>
    </row>
    <row r="11" spans="2:17">
      <c r="D11" s="144" t="s">
        <v>67</v>
      </c>
      <c r="E11" s="70">
        <f>BS!E49</f>
        <v>7974819</v>
      </c>
      <c r="F11" s="68">
        <f>BS!E50</f>
        <v>-7972819</v>
      </c>
      <c r="G11" s="68">
        <f t="shared" si="0"/>
        <v>2000</v>
      </c>
      <c r="H11" s="68">
        <f>BS!F49</f>
        <v>7974819</v>
      </c>
      <c r="I11" s="68">
        <f>BS!F50</f>
        <v>-7972819</v>
      </c>
      <c r="J11" s="145">
        <f t="shared" si="1"/>
        <v>2000</v>
      </c>
      <c r="K11" s="63"/>
      <c r="L11" s="63"/>
      <c r="M11" s="63"/>
      <c r="N11" s="63"/>
      <c r="O11" s="63"/>
      <c r="P11" s="63"/>
      <c r="Q11" s="63"/>
    </row>
    <row r="12" spans="2:17">
      <c r="D12" s="144" t="s">
        <v>68</v>
      </c>
      <c r="E12" s="70">
        <f>BS!E51</f>
        <v>131100000</v>
      </c>
      <c r="F12" s="68">
        <f>BS!E52</f>
        <v>-67838194</v>
      </c>
      <c r="G12" s="68">
        <f t="shared" si="0"/>
        <v>63261806</v>
      </c>
      <c r="H12" s="68">
        <f>BS!F51</f>
        <v>131100000</v>
      </c>
      <c r="I12" s="68">
        <f>BS!F52</f>
        <v>-58155206</v>
      </c>
      <c r="J12" s="145">
        <f t="shared" si="1"/>
        <v>72944794</v>
      </c>
      <c r="K12" s="63"/>
      <c r="L12" s="63"/>
      <c r="M12" s="63"/>
      <c r="N12" s="63"/>
      <c r="O12" s="63"/>
      <c r="P12" s="63"/>
      <c r="Q12" s="63"/>
    </row>
    <row r="13" spans="2:17">
      <c r="D13" s="144" t="s">
        <v>331</v>
      </c>
      <c r="E13" s="70">
        <f>BS!E53</f>
        <v>368187065</v>
      </c>
      <c r="F13" s="68">
        <f>BS!E54</f>
        <v>-189699106</v>
      </c>
      <c r="G13" s="68">
        <f t="shared" si="0"/>
        <v>178487959</v>
      </c>
      <c r="H13" s="68">
        <f>BS!F53</f>
        <v>392461239</v>
      </c>
      <c r="I13" s="68">
        <f>BS!F54</f>
        <v>-341221676</v>
      </c>
      <c r="J13" s="145">
        <f t="shared" si="1"/>
        <v>51239563</v>
      </c>
      <c r="K13" s="63"/>
      <c r="L13" s="63"/>
      <c r="M13" s="63"/>
      <c r="N13" s="63"/>
      <c r="O13" s="63"/>
      <c r="P13" s="63"/>
      <c r="Q13" s="63"/>
    </row>
    <row r="14" spans="2:17">
      <c r="D14" s="144" t="s">
        <v>332</v>
      </c>
      <c r="E14" s="70">
        <f>BS!E56</f>
        <v>131819200</v>
      </c>
      <c r="F14" s="68">
        <f>BS!E57</f>
        <v>-131811200</v>
      </c>
      <c r="G14" s="68">
        <f t="shared" si="0"/>
        <v>8000</v>
      </c>
      <c r="H14" s="68">
        <f>BS!F56</f>
        <v>218118382</v>
      </c>
      <c r="I14" s="68">
        <f>BS!F57</f>
        <v>-217473398</v>
      </c>
      <c r="J14" s="145">
        <f t="shared" si="1"/>
        <v>644984</v>
      </c>
      <c r="K14" s="63"/>
      <c r="L14" s="63"/>
      <c r="M14" s="63"/>
      <c r="N14" s="63"/>
      <c r="O14" s="63"/>
      <c r="P14" s="63"/>
      <c r="Q14" s="63"/>
    </row>
    <row r="15" spans="2:17">
      <c r="D15" s="550" t="s">
        <v>1796</v>
      </c>
      <c r="E15" s="911">
        <f>BS!E58</f>
        <v>972487904</v>
      </c>
      <c r="F15" s="912">
        <f>BS!E59</f>
        <v>-169400862</v>
      </c>
      <c r="G15" s="68">
        <f t="shared" si="0"/>
        <v>803087042</v>
      </c>
      <c r="H15" s="912">
        <f>+BS!F58</f>
        <v>473450000</v>
      </c>
      <c r="I15" s="760">
        <f>+BS!F59</f>
        <v>-85582504</v>
      </c>
      <c r="J15" s="145">
        <f t="shared" si="1"/>
        <v>387867496</v>
      </c>
      <c r="K15" s="63"/>
      <c r="L15" s="63"/>
      <c r="M15" s="63"/>
      <c r="N15" s="63"/>
      <c r="O15" s="63"/>
      <c r="P15" s="63"/>
      <c r="Q15" s="63"/>
    </row>
    <row r="16" spans="2:17">
      <c r="D16" s="146" t="s">
        <v>386</v>
      </c>
      <c r="E16" s="147">
        <f>BS!E60</f>
        <v>1731999794</v>
      </c>
      <c r="F16" s="148">
        <f>BS!E61</f>
        <v>-370585998</v>
      </c>
      <c r="G16" s="68">
        <f t="shared" si="0"/>
        <v>1361413796</v>
      </c>
      <c r="H16" s="147">
        <f>BS!F60</f>
        <v>1784674683</v>
      </c>
      <c r="I16" s="70">
        <f>BS!F61</f>
        <v>-145809800</v>
      </c>
      <c r="J16" s="145">
        <f t="shared" si="1"/>
        <v>1638864883</v>
      </c>
      <c r="K16" s="63"/>
      <c r="L16" s="63"/>
      <c r="M16" s="63"/>
      <c r="N16" s="63"/>
      <c r="O16" s="63"/>
      <c r="P16" s="63"/>
      <c r="Q16" s="63"/>
    </row>
    <row r="17" spans="4:17">
      <c r="D17" s="550" t="s">
        <v>1223</v>
      </c>
      <c r="E17" s="551">
        <f>BS!E55</f>
        <v>1376213175</v>
      </c>
      <c r="F17" s="552">
        <v>0</v>
      </c>
      <c r="G17" s="68">
        <f t="shared" si="0"/>
        <v>1376213175</v>
      </c>
      <c r="H17" s="551">
        <f>BS!F55</f>
        <v>4039985025</v>
      </c>
      <c r="I17" s="551">
        <v>0</v>
      </c>
      <c r="J17" s="145">
        <f t="shared" si="1"/>
        <v>4039985025</v>
      </c>
      <c r="K17" s="63"/>
      <c r="L17" s="63"/>
      <c r="M17" s="63"/>
      <c r="N17" s="63"/>
      <c r="O17" s="63"/>
      <c r="P17" s="63"/>
      <c r="Q17" s="63"/>
    </row>
    <row r="18" spans="4:17">
      <c r="D18" s="149" t="s">
        <v>256</v>
      </c>
      <c r="E18" s="150">
        <f t="shared" ref="E18:J18" si="2">SUM(E8:E17)</f>
        <v>11341755378</v>
      </c>
      <c r="F18" s="150">
        <f t="shared" si="2"/>
        <v>-2322872313</v>
      </c>
      <c r="G18" s="150">
        <f t="shared" si="2"/>
        <v>9018883065</v>
      </c>
      <c r="H18" s="150">
        <f t="shared" si="2"/>
        <v>10780748077</v>
      </c>
      <c r="I18" s="150">
        <f t="shared" si="2"/>
        <v>-2097940733</v>
      </c>
      <c r="J18" s="150">
        <f t="shared" si="2"/>
        <v>8682807344</v>
      </c>
      <c r="K18" s="63"/>
      <c r="L18" s="63"/>
      <c r="M18" s="63"/>
      <c r="N18" s="63"/>
      <c r="O18" s="63"/>
      <c r="P18" s="63"/>
      <c r="Q18" s="63"/>
    </row>
    <row r="19" spans="4:17">
      <c r="D19" s="125"/>
      <c r="E19" s="63"/>
      <c r="F19" s="63"/>
      <c r="G19" s="63" t="b">
        <f>G18=BS!E43</f>
        <v>1</v>
      </c>
      <c r="H19" s="63"/>
      <c r="I19" s="63"/>
      <c r="J19" s="118" t="b">
        <f>J18=BS!F43</f>
        <v>1</v>
      </c>
      <c r="K19" s="63"/>
      <c r="L19" s="63"/>
      <c r="M19" s="63"/>
      <c r="N19" s="63"/>
      <c r="O19" s="63"/>
      <c r="P19" s="63"/>
      <c r="Q19" s="63"/>
    </row>
    <row r="20" spans="4:17">
      <c r="D20" s="125"/>
      <c r="E20" s="63"/>
      <c r="F20" s="63"/>
      <c r="G20" s="63" t="b">
        <f>G18=Dart_BS!C17</f>
        <v>1</v>
      </c>
      <c r="H20" s="63"/>
      <c r="I20" s="63"/>
      <c r="J20" s="63" t="b">
        <f>J18=Dart_BS!D17</f>
        <v>1</v>
      </c>
    </row>
    <row r="21" spans="4:17">
      <c r="D21" s="152" t="s">
        <v>384</v>
      </c>
      <c r="E21" s="63"/>
      <c r="F21" s="63"/>
      <c r="G21" s="63"/>
      <c r="H21" s="63"/>
      <c r="I21" s="63"/>
      <c r="J21" s="63"/>
    </row>
    <row r="22" spans="4:17">
      <c r="D22" s="125"/>
      <c r="E22" s="63"/>
      <c r="F22" s="63"/>
      <c r="G22" s="63"/>
      <c r="H22" s="63"/>
      <c r="I22" s="63"/>
      <c r="J22" s="63"/>
    </row>
    <row r="23" spans="4:17">
      <c r="D23" s="126" t="str">
        <f>PL!H1</f>
        <v>당반기</v>
      </c>
      <c r="E23" s="63"/>
      <c r="F23" s="63"/>
      <c r="G23" s="63"/>
      <c r="H23" s="63"/>
      <c r="I23" s="63"/>
      <c r="J23" s="63"/>
    </row>
    <row r="24" spans="4:17">
      <c r="D24" s="120"/>
      <c r="E24" s="64"/>
      <c r="F24" s="63"/>
      <c r="G24" s="63"/>
      <c r="H24" s="63"/>
      <c r="I24" s="63"/>
      <c r="J24" s="63"/>
      <c r="K24" s="166" t="s">
        <v>267</v>
      </c>
    </row>
    <row r="25" spans="4:17">
      <c r="D25" s="162" t="s">
        <v>237</v>
      </c>
      <c r="E25" s="163" t="s">
        <v>1794</v>
      </c>
      <c r="F25" s="163" t="s">
        <v>385</v>
      </c>
      <c r="G25" s="163" t="s">
        <v>1225</v>
      </c>
      <c r="H25" s="163" t="s">
        <v>548</v>
      </c>
      <c r="I25" s="719" t="s">
        <v>1521</v>
      </c>
      <c r="J25" s="163" t="s">
        <v>15</v>
      </c>
      <c r="K25" s="164" t="s">
        <v>343</v>
      </c>
    </row>
    <row r="26" spans="4:17">
      <c r="D26" s="67" t="s">
        <v>1224</v>
      </c>
      <c r="E26" s="68">
        <f>K43</f>
        <v>557640020</v>
      </c>
      <c r="F26" s="70">
        <f>'CF정산표(26.2Q)'!M49</f>
        <v>0</v>
      </c>
      <c r="G26" s="554">
        <v>0</v>
      </c>
      <c r="H26" s="70">
        <v>0</v>
      </c>
      <c r="I26" s="554">
        <f>'CF정산표(26.2Q)'!Q49</f>
        <v>557640020</v>
      </c>
      <c r="J26" s="68">
        <f>-'CF정산표(26.2Q)'!H52</f>
        <v>0</v>
      </c>
      <c r="K26" s="143">
        <f t="shared" ref="K26:K33" si="3">SUM(E26:J26)</f>
        <v>1115280040</v>
      </c>
      <c r="L26" s="55" t="b">
        <f t="shared" ref="L26:L35" si="4">K26=G8</f>
        <v>1</v>
      </c>
    </row>
    <row r="27" spans="4:17">
      <c r="D27" s="908" t="s">
        <v>1795</v>
      </c>
      <c r="E27" s="68">
        <f t="shared" ref="E27:E35" si="5">K44</f>
        <v>1324817461</v>
      </c>
      <c r="F27" s="909">
        <f>'CF정산표(26.2Q)'!M50</f>
        <v>0</v>
      </c>
      <c r="G27" s="909">
        <v>0</v>
      </c>
      <c r="H27" s="909"/>
      <c r="I27" s="554">
        <f>'CF정산표(26.2Q)'!Q50</f>
        <v>1476538478</v>
      </c>
      <c r="J27" s="760">
        <f>-'CF정산표(26.2Q)'!H51</f>
        <v>-30886893</v>
      </c>
      <c r="K27" s="143">
        <f t="shared" si="3"/>
        <v>2770469046</v>
      </c>
      <c r="L27" s="55" t="b">
        <f t="shared" si="4"/>
        <v>1</v>
      </c>
    </row>
    <row r="28" spans="4:17">
      <c r="D28" s="67" t="s">
        <v>66</v>
      </c>
      <c r="E28" s="68">
        <f t="shared" si="5"/>
        <v>608801118</v>
      </c>
      <c r="F28" s="70">
        <f>'CF정산표(26.2Q)'!M52</f>
        <v>488099500</v>
      </c>
      <c r="G28" s="554">
        <v>0</v>
      </c>
      <c r="H28" s="70">
        <f>-('CF정산표(26.2Q)'!P52-'CF정산표(26.2Q)'!J53)</f>
        <v>-89250000</v>
      </c>
      <c r="I28" s="554">
        <f>'CF정산표(26.2Q)'!Q52</f>
        <v>456711494</v>
      </c>
      <c r="J28" s="68">
        <f>-'CF정산표(26.2Q)'!H53</f>
        <v>-113701911</v>
      </c>
      <c r="K28" s="143">
        <f t="shared" si="3"/>
        <v>1350660201</v>
      </c>
      <c r="L28" s="55" t="b">
        <f t="shared" si="4"/>
        <v>1</v>
      </c>
    </row>
    <row r="29" spans="4:17">
      <c r="D29" s="67" t="s">
        <v>67</v>
      </c>
      <c r="E29" s="68">
        <f t="shared" si="5"/>
        <v>2000</v>
      </c>
      <c r="F29" s="70">
        <f>'CF정산표(26.2Q)'!M54</f>
        <v>0</v>
      </c>
      <c r="G29" s="554">
        <v>0</v>
      </c>
      <c r="H29" s="68">
        <f>-'CF정산표(26.2Q)'!L54-'CF정산표(26.2Q)'!L55+'CF정산표(26.2Q)'!J54-'CF정산표(26.2Q)'!H54</f>
        <v>0</v>
      </c>
      <c r="I29" s="555">
        <v>0</v>
      </c>
      <c r="J29" s="68">
        <f>-'CF정산표(26.2Q)'!H55</f>
        <v>0</v>
      </c>
      <c r="K29" s="143">
        <f t="shared" si="3"/>
        <v>2000</v>
      </c>
      <c r="L29" s="55" t="b">
        <f t="shared" si="4"/>
        <v>1</v>
      </c>
    </row>
    <row r="30" spans="4:17">
      <c r="D30" s="67" t="s">
        <v>68</v>
      </c>
      <c r="E30" s="68">
        <f t="shared" si="5"/>
        <v>72944794</v>
      </c>
      <c r="F30" s="68">
        <f>'CF정산표(26.2Q)'!M56</f>
        <v>0</v>
      </c>
      <c r="G30" s="555">
        <v>0</v>
      </c>
      <c r="H30" s="70">
        <v>0</v>
      </c>
      <c r="I30" s="554">
        <v>0</v>
      </c>
      <c r="J30" s="68">
        <f>-'CF정산표(26.2Q)'!H57</f>
        <v>-9682988</v>
      </c>
      <c r="K30" s="143">
        <f t="shared" si="3"/>
        <v>63261806</v>
      </c>
      <c r="L30" s="55" t="b">
        <f t="shared" si="4"/>
        <v>1</v>
      </c>
    </row>
    <row r="31" spans="4:17">
      <c r="D31" s="67" t="s">
        <v>331</v>
      </c>
      <c r="E31" s="68">
        <f t="shared" si="5"/>
        <v>51239563</v>
      </c>
      <c r="F31" s="68">
        <f>'CF정산표(26.2Q)'!M58</f>
        <v>33830272</v>
      </c>
      <c r="G31" s="555">
        <v>0</v>
      </c>
      <c r="H31" s="70">
        <f>-'CF정산표(26.2Q)'!H58</f>
        <v>-4822402</v>
      </c>
      <c r="I31" s="554">
        <f>'CF정산표(26.2Q)'!Q58</f>
        <v>115440965</v>
      </c>
      <c r="J31" s="68">
        <f>-'CF정산표(26.2Q)'!H59</f>
        <v>-17200439</v>
      </c>
      <c r="K31" s="143">
        <f t="shared" si="3"/>
        <v>178487959</v>
      </c>
      <c r="L31" s="55" t="b">
        <f t="shared" si="4"/>
        <v>1</v>
      </c>
    </row>
    <row r="32" spans="4:17">
      <c r="D32" s="67" t="s">
        <v>1014</v>
      </c>
      <c r="E32" s="68">
        <f t="shared" si="5"/>
        <v>644984</v>
      </c>
      <c r="F32" s="70">
        <f>'CF정산표(26.2Q)'!M61</f>
        <v>0</v>
      </c>
      <c r="G32" s="554">
        <v>0</v>
      </c>
      <c r="H32" s="70">
        <f>-'CF정산표(26.2Q)'!H61</f>
        <v>-3000</v>
      </c>
      <c r="I32" s="554">
        <v>0</v>
      </c>
      <c r="J32" s="68">
        <f>-'CF정산표(26.2Q)'!H62</f>
        <v>-633984</v>
      </c>
      <c r="K32" s="145">
        <f t="shared" si="3"/>
        <v>8000</v>
      </c>
      <c r="L32" s="55" t="b">
        <f t="shared" si="4"/>
        <v>1</v>
      </c>
    </row>
    <row r="33" spans="4:13">
      <c r="D33" s="910" t="s">
        <v>1796</v>
      </c>
      <c r="E33" s="68">
        <f t="shared" si="5"/>
        <v>387867496</v>
      </c>
      <c r="F33" s="909">
        <f>'CF정산표(26.2Q)'!M63</f>
        <v>0</v>
      </c>
      <c r="G33" s="909">
        <v>0</v>
      </c>
      <c r="H33" s="909">
        <f>-('CF정산표(26.2Q)'!L63-'CF정산표(26.2Q)'!Q64)</f>
        <v>0</v>
      </c>
      <c r="I33" s="909">
        <f>'CF정산표(26.2Q)'!Q63</f>
        <v>499037904</v>
      </c>
      <c r="J33" s="760">
        <f>-'CF정산표(26.2Q)'!H64</f>
        <v>-83818358</v>
      </c>
      <c r="K33" s="145">
        <f t="shared" si="3"/>
        <v>803087042</v>
      </c>
      <c r="L33" s="55" t="b">
        <f t="shared" si="4"/>
        <v>1</v>
      </c>
    </row>
    <row r="34" spans="4:13">
      <c r="D34" s="154" t="s">
        <v>359</v>
      </c>
      <c r="E34" s="68">
        <f t="shared" si="5"/>
        <v>1638864883</v>
      </c>
      <c r="F34" s="68">
        <f>SUM('CF정산표(26.2Q)'!T66:U66)</f>
        <v>9012918</v>
      </c>
      <c r="G34" s="555">
        <v>0</v>
      </c>
      <c r="H34" s="68">
        <f>-('CF정산표(26.2Q)'!T65-'CF정산표(26.2Q)'!U65)</f>
        <v>-18218466</v>
      </c>
      <c r="I34" s="555">
        <v>0</v>
      </c>
      <c r="J34" s="68">
        <f>-'CF정산표(26.2Q)'!H66</f>
        <v>-268245539</v>
      </c>
      <c r="K34" s="145">
        <f>ROUNDDOWN(SUM(E34:J34),-0.1)</f>
        <v>1361413796</v>
      </c>
      <c r="L34" s="55" t="b">
        <f>K34=G16</f>
        <v>1</v>
      </c>
      <c r="M34" s="55" t="b">
        <f>'20'!G16=-J34</f>
        <v>1</v>
      </c>
    </row>
    <row r="35" spans="4:13">
      <c r="D35" s="553" t="s">
        <v>1223</v>
      </c>
      <c r="E35" s="68">
        <f t="shared" si="5"/>
        <v>4039985025</v>
      </c>
      <c r="F35" s="68">
        <f>'CF정산표(26.2Q)'!M60</f>
        <v>416565450</v>
      </c>
      <c r="G35" s="555">
        <v>0</v>
      </c>
      <c r="H35" s="68">
        <v>0</v>
      </c>
      <c r="I35" s="555">
        <f>'CF정산표(26.2Q)'!P76-'CF정산표(26.2Q)'!P60</f>
        <v>-3080337300</v>
      </c>
      <c r="J35" s="68">
        <v>0</v>
      </c>
      <c r="K35" s="145">
        <f>ROUNDDOWN(SUM(E35:J35),-0.1)</f>
        <v>1376213175</v>
      </c>
      <c r="L35" s="55" t="b">
        <f t="shared" si="4"/>
        <v>1</v>
      </c>
    </row>
    <row r="36" spans="4:13">
      <c r="D36" s="71" t="s">
        <v>256</v>
      </c>
      <c r="E36" s="155">
        <f t="shared" ref="E36:K36" si="6">SUM(E26:E35)</f>
        <v>8682807344</v>
      </c>
      <c r="F36" s="155">
        <f t="shared" si="6"/>
        <v>947508140</v>
      </c>
      <c r="G36" s="155">
        <f t="shared" si="6"/>
        <v>0</v>
      </c>
      <c r="H36" s="155">
        <f t="shared" si="6"/>
        <v>-112293868</v>
      </c>
      <c r="I36" s="155">
        <f t="shared" si="6"/>
        <v>25031561</v>
      </c>
      <c r="J36" s="155">
        <f t="shared" si="6"/>
        <v>-524170112</v>
      </c>
      <c r="K36" s="155">
        <f t="shared" si="6"/>
        <v>9018883065</v>
      </c>
    </row>
    <row r="37" spans="4:13">
      <c r="D37" s="63"/>
      <c r="E37" s="166" t="s">
        <v>1020</v>
      </c>
      <c r="F37" s="63">
        <f>CF!D51</f>
        <v>938495222</v>
      </c>
      <c r="G37" s="63"/>
      <c r="H37" s="166" t="s">
        <v>1020</v>
      </c>
      <c r="I37" s="166"/>
      <c r="J37" s="63">
        <f>CF!D16</f>
        <v>524170112</v>
      </c>
      <c r="K37" s="75" t="b">
        <f>K36=G18</f>
        <v>1</v>
      </c>
    </row>
    <row r="38" spans="4:13">
      <c r="D38" s="63"/>
      <c r="E38" s="63"/>
      <c r="F38" s="63" t="b">
        <f>SUM(F26:F33,F35)=F37</f>
        <v>1</v>
      </c>
      <c r="G38" s="63"/>
      <c r="J38" s="75" t="b">
        <f>J37=-J36</f>
        <v>1</v>
      </c>
      <c r="K38" s="63"/>
    </row>
    <row r="39" spans="4:13">
      <c r="D39" s="63"/>
      <c r="E39" s="63"/>
      <c r="F39" s="63"/>
      <c r="G39" s="63"/>
      <c r="H39" s="63"/>
      <c r="I39" s="63"/>
      <c r="J39" s="75"/>
      <c r="K39" s="63"/>
    </row>
    <row r="40" spans="4:13">
      <c r="D40" s="126" t="s">
        <v>534</v>
      </c>
      <c r="E40" s="63"/>
      <c r="F40" s="63"/>
      <c r="G40" s="63"/>
      <c r="H40" s="63"/>
      <c r="I40" s="63"/>
      <c r="J40" s="63"/>
      <c r="K40" s="75"/>
      <c r="L40" s="63"/>
    </row>
    <row r="41" spans="4:13">
      <c r="D41" s="120"/>
      <c r="E41" s="64"/>
      <c r="F41" s="63"/>
      <c r="G41" s="63"/>
      <c r="H41" s="63"/>
      <c r="I41" s="63"/>
      <c r="J41" s="63"/>
      <c r="K41" s="166" t="s">
        <v>267</v>
      </c>
    </row>
    <row r="42" spans="4:13">
      <c r="D42" s="162" t="s">
        <v>237</v>
      </c>
      <c r="E42" s="163" t="s">
        <v>1794</v>
      </c>
      <c r="F42" s="163" t="s">
        <v>385</v>
      </c>
      <c r="G42" s="163" t="s">
        <v>1225</v>
      </c>
      <c r="H42" s="163" t="s">
        <v>548</v>
      </c>
      <c r="I42" s="719" t="s">
        <v>1521</v>
      </c>
      <c r="J42" s="163" t="s">
        <v>15</v>
      </c>
      <c r="K42" s="164" t="s">
        <v>343</v>
      </c>
    </row>
    <row r="43" spans="4:13">
      <c r="D43" s="67" t="s">
        <v>1890</v>
      </c>
      <c r="E43" s="68">
        <v>0</v>
      </c>
      <c r="F43" s="70">
        <v>0</v>
      </c>
      <c r="G43" s="554">
        <v>0</v>
      </c>
      <c r="H43" s="70">
        <v>0</v>
      </c>
      <c r="I43" s="554">
        <v>557640020</v>
      </c>
      <c r="J43" s="68">
        <v>0</v>
      </c>
      <c r="K43" s="143">
        <f t="shared" ref="K43:K44" si="7">SUM(E43:J43)</f>
        <v>557640020</v>
      </c>
      <c r="L43" s="55" t="b">
        <f t="shared" ref="L43:L51" si="8">K43=J8</f>
        <v>1</v>
      </c>
    </row>
    <row r="44" spans="4:13">
      <c r="D44" s="908" t="s">
        <v>676</v>
      </c>
      <c r="E44" s="760">
        <v>0</v>
      </c>
      <c r="F44" s="909">
        <v>0</v>
      </c>
      <c r="G44" s="909">
        <v>0</v>
      </c>
      <c r="H44" s="909"/>
      <c r="I44" s="554">
        <v>1355889942</v>
      </c>
      <c r="J44" s="760">
        <v>-31072481</v>
      </c>
      <c r="K44" s="143">
        <f t="shared" si="7"/>
        <v>1324817461</v>
      </c>
      <c r="L44" s="55" t="b">
        <f t="shared" si="8"/>
        <v>1</v>
      </c>
    </row>
    <row r="45" spans="4:13">
      <c r="D45" s="67" t="s">
        <v>66</v>
      </c>
      <c r="E45" s="68">
        <v>644349896</v>
      </c>
      <c r="F45" s="70">
        <v>124209000</v>
      </c>
      <c r="G45" s="909">
        <v>0</v>
      </c>
      <c r="H45" s="70">
        <v>0</v>
      </c>
      <c r="I45" s="68">
        <v>12520000</v>
      </c>
      <c r="J45" s="575">
        <v>-172277778</v>
      </c>
      <c r="K45" s="143">
        <f>SUM(E45:J45)</f>
        <v>608801118</v>
      </c>
      <c r="L45" s="55" t="b">
        <f t="shared" si="8"/>
        <v>1</v>
      </c>
    </row>
    <row r="46" spans="4:13">
      <c r="D46" s="67" t="s">
        <v>67</v>
      </c>
      <c r="E46" s="68">
        <v>3000</v>
      </c>
      <c r="F46" s="70">
        <v>0</v>
      </c>
      <c r="G46" s="909">
        <v>0</v>
      </c>
      <c r="H46" s="68">
        <v>-1000</v>
      </c>
      <c r="I46" s="68">
        <v>0</v>
      </c>
      <c r="J46" s="575">
        <v>0</v>
      </c>
      <c r="K46" s="143">
        <f t="shared" ref="K46:K48" si="9">SUM(E46:J46)</f>
        <v>2000</v>
      </c>
      <c r="L46" s="55" t="b">
        <f t="shared" si="8"/>
        <v>1</v>
      </c>
    </row>
    <row r="47" spans="4:13">
      <c r="D47" s="908" t="s">
        <v>68</v>
      </c>
      <c r="E47" s="760">
        <v>35813809</v>
      </c>
      <c r="F47" s="909">
        <v>50000000</v>
      </c>
      <c r="G47" s="909">
        <v>0</v>
      </c>
      <c r="H47" s="760">
        <v>0</v>
      </c>
      <c r="I47" s="760">
        <v>0</v>
      </c>
      <c r="J47" s="575">
        <v>-12869015</v>
      </c>
      <c r="K47" s="143">
        <f t="shared" si="9"/>
        <v>72944794</v>
      </c>
      <c r="L47" s="55" t="b">
        <f t="shared" si="8"/>
        <v>1</v>
      </c>
    </row>
    <row r="48" spans="4:13">
      <c r="D48" s="67" t="s">
        <v>331</v>
      </c>
      <c r="E48" s="68">
        <v>34312028</v>
      </c>
      <c r="F48" s="68">
        <v>21042428</v>
      </c>
      <c r="G48" s="760">
        <v>0</v>
      </c>
      <c r="H48" s="70">
        <v>0</v>
      </c>
      <c r="I48" s="68">
        <v>14023000</v>
      </c>
      <c r="J48" s="575">
        <v>-18137893</v>
      </c>
      <c r="K48" s="143">
        <f t="shared" si="9"/>
        <v>51239563</v>
      </c>
      <c r="L48" s="55" t="b">
        <f t="shared" si="8"/>
        <v>1</v>
      </c>
    </row>
    <row r="49" spans="4:17">
      <c r="D49" s="67" t="s">
        <v>332</v>
      </c>
      <c r="E49" s="68">
        <v>16238199</v>
      </c>
      <c r="F49" s="68">
        <v>0</v>
      </c>
      <c r="G49" s="760">
        <v>0</v>
      </c>
      <c r="H49" s="70">
        <v>0</v>
      </c>
      <c r="I49" s="68">
        <v>0</v>
      </c>
      <c r="J49" s="575">
        <v>-15593215</v>
      </c>
      <c r="K49" s="143">
        <f t="shared" ref="K49:K52" si="10">SUM(E49:J49)</f>
        <v>644984</v>
      </c>
      <c r="L49" s="55" t="b">
        <f t="shared" si="8"/>
        <v>1</v>
      </c>
    </row>
    <row r="50" spans="4:17">
      <c r="D50" s="67" t="s">
        <v>2234</v>
      </c>
      <c r="E50" s="68">
        <v>0</v>
      </c>
      <c r="F50" s="70">
        <v>7300000</v>
      </c>
      <c r="G50" s="909">
        <v>0</v>
      </c>
      <c r="H50" s="70">
        <v>-4845000</v>
      </c>
      <c r="I50" s="68">
        <v>471250000</v>
      </c>
      <c r="J50" s="575">
        <v>-85837504</v>
      </c>
      <c r="K50" s="143">
        <f t="shared" si="10"/>
        <v>387867496</v>
      </c>
      <c r="L50" s="55" t="b">
        <f t="shared" si="8"/>
        <v>1</v>
      </c>
    </row>
    <row r="51" spans="4:17">
      <c r="D51" s="154" t="s">
        <v>359</v>
      </c>
      <c r="E51" s="70">
        <v>462419792</v>
      </c>
      <c r="F51" s="68">
        <v>1605741555</v>
      </c>
      <c r="G51" s="760">
        <v>0</v>
      </c>
      <c r="H51" s="68">
        <v>-7997433</v>
      </c>
      <c r="I51" s="68">
        <v>0</v>
      </c>
      <c r="J51" s="575">
        <v>-421299031</v>
      </c>
      <c r="K51" s="143">
        <f t="shared" si="10"/>
        <v>1638864883</v>
      </c>
      <c r="L51" s="55" t="b">
        <f t="shared" si="8"/>
        <v>1</v>
      </c>
    </row>
    <row r="52" spans="4:17">
      <c r="D52" s="910" t="s">
        <v>1568</v>
      </c>
      <c r="E52" s="70">
        <v>4892122921</v>
      </c>
      <c r="F52" s="68">
        <v>1436862120</v>
      </c>
      <c r="G52" s="760">
        <v>0</v>
      </c>
      <c r="H52" s="68">
        <v>0</v>
      </c>
      <c r="I52" s="68">
        <v>-2289000016</v>
      </c>
      <c r="J52" s="575">
        <v>0</v>
      </c>
      <c r="K52" s="143">
        <f t="shared" si="10"/>
        <v>4039985025</v>
      </c>
    </row>
    <row r="53" spans="4:17">
      <c r="D53" s="71" t="s">
        <v>256</v>
      </c>
      <c r="E53" s="165">
        <f t="shared" ref="E53:K53" si="11">SUM(E43:E52)</f>
        <v>6085259645</v>
      </c>
      <c r="F53" s="165">
        <f t="shared" si="11"/>
        <v>3245155103</v>
      </c>
      <c r="G53" s="165">
        <f t="shared" si="11"/>
        <v>0</v>
      </c>
      <c r="H53" s="165">
        <f t="shared" si="11"/>
        <v>-12843433</v>
      </c>
      <c r="I53" s="165">
        <f t="shared" si="11"/>
        <v>122322946</v>
      </c>
      <c r="J53" s="165">
        <f t="shared" si="11"/>
        <v>-757086917</v>
      </c>
      <c r="K53" s="165">
        <f t="shared" si="11"/>
        <v>8682807344</v>
      </c>
    </row>
    <row r="54" spans="4:17">
      <c r="D54" s="63"/>
      <c r="E54" s="166" t="s">
        <v>1020</v>
      </c>
      <c r="F54" s="63">
        <v>1639413548</v>
      </c>
      <c r="G54" s="63"/>
      <c r="H54" s="166"/>
      <c r="I54" s="166" t="s">
        <v>1020</v>
      </c>
      <c r="J54" s="63">
        <v>757086917</v>
      </c>
      <c r="K54" s="75" t="b">
        <f>K53=J18</f>
        <v>1</v>
      </c>
    </row>
    <row r="55" spans="4:17">
      <c r="D55" s="63"/>
      <c r="E55" s="63"/>
      <c r="F55" s="63" t="b">
        <f>SUM(F45:F50,F52)=F54</f>
        <v>1</v>
      </c>
      <c r="G55" s="63"/>
      <c r="I55" s="75"/>
      <c r="J55" s="75" t="b">
        <f>J54=-J53</f>
        <v>1</v>
      </c>
      <c r="K55" s="63"/>
    </row>
    <row r="56" spans="4:17">
      <c r="D56" s="126"/>
      <c r="E56" s="63"/>
      <c r="F56" s="63"/>
      <c r="G56" s="63"/>
      <c r="H56" s="63"/>
      <c r="I56" s="75"/>
      <c r="J56" s="75"/>
      <c r="K56" s="63"/>
    </row>
    <row r="57" spans="4:17">
      <c r="D57" s="63"/>
      <c r="E57" s="63"/>
      <c r="F57" s="63"/>
      <c r="G57" s="63"/>
      <c r="H57" s="63"/>
      <c r="I57" s="75"/>
      <c r="J57" s="63"/>
    </row>
    <row r="58" spans="4:17">
      <c r="D58" s="142" t="s">
        <v>1015</v>
      </c>
      <c r="E58" s="63"/>
      <c r="F58" s="63"/>
      <c r="G58" s="63"/>
      <c r="H58" s="63"/>
      <c r="I58" s="75"/>
      <c r="J58" s="63"/>
    </row>
    <row r="59" spans="4:17">
      <c r="D59" s="63"/>
      <c r="E59" s="63"/>
      <c r="F59" s="63"/>
      <c r="G59" s="63"/>
      <c r="H59" s="63"/>
      <c r="I59" s="75"/>
      <c r="J59" s="63"/>
      <c r="K59" s="63"/>
      <c r="L59" s="63"/>
      <c r="M59" s="63"/>
      <c r="N59" s="63"/>
      <c r="O59" s="63"/>
      <c r="P59" s="63"/>
      <c r="Q59" s="63"/>
    </row>
    <row r="60" spans="4:17">
      <c r="D60" s="168" t="s">
        <v>530</v>
      </c>
      <c r="E60" s="168" t="str">
        <f>E6</f>
        <v>당반기말</v>
      </c>
      <c r="F60" s="220" t="str">
        <f>H6</f>
        <v>전기말</v>
      </c>
      <c r="G60" s="63"/>
      <c r="H60" s="63"/>
      <c r="I60" s="75"/>
      <c r="J60" s="63"/>
      <c r="K60" s="63"/>
      <c r="L60" s="63"/>
      <c r="M60" s="63"/>
      <c r="N60" s="63"/>
      <c r="O60" s="63"/>
      <c r="P60" s="63"/>
      <c r="Q60" s="63"/>
    </row>
    <row r="61" spans="4:17">
      <c r="D61" s="121" t="s">
        <v>531</v>
      </c>
      <c r="E61" s="122">
        <f>1232060041-2</f>
        <v>1232060039</v>
      </c>
      <c r="F61" s="122">
        <v>1465196252</v>
      </c>
      <c r="G61" s="63" t="b">
        <f>E61='20'!F20</f>
        <v>1</v>
      </c>
      <c r="H61" s="63"/>
      <c r="I61" s="75"/>
      <c r="J61" s="75"/>
      <c r="K61" s="63"/>
      <c r="L61" s="63"/>
      <c r="M61" s="63"/>
      <c r="N61" s="63"/>
      <c r="O61" s="63"/>
      <c r="P61" s="63"/>
      <c r="Q61" s="63"/>
    </row>
    <row r="62" spans="4:17">
      <c r="D62" s="121" t="s">
        <v>532</v>
      </c>
      <c r="E62" s="122">
        <f>129353757</f>
        <v>129353757</v>
      </c>
      <c r="F62" s="122">
        <v>173668631</v>
      </c>
      <c r="G62" s="63" t="b">
        <f>E62='20'!E20</f>
        <v>1</v>
      </c>
      <c r="H62" s="63"/>
      <c r="I62" s="75"/>
      <c r="J62" s="63"/>
      <c r="K62" s="63"/>
      <c r="L62" s="63"/>
      <c r="M62" s="63"/>
      <c r="N62" s="63"/>
      <c r="O62" s="63"/>
      <c r="P62" s="63"/>
      <c r="Q62" s="63"/>
    </row>
    <row r="63" spans="4:17">
      <c r="D63" s="167" t="s">
        <v>533</v>
      </c>
      <c r="E63" s="122">
        <f>SUM(E61:E62)</f>
        <v>1361413796</v>
      </c>
      <c r="F63" s="122">
        <f>SUM(F61:F62)</f>
        <v>1638864883</v>
      </c>
      <c r="G63" s="63"/>
      <c r="H63" s="63"/>
      <c r="I63" s="63"/>
      <c r="J63" s="63"/>
      <c r="K63" s="63"/>
      <c r="L63" s="63"/>
      <c r="M63" s="63"/>
      <c r="N63" s="63"/>
      <c r="O63" s="63"/>
      <c r="P63" s="63"/>
      <c r="Q63" s="63"/>
    </row>
    <row r="64" spans="4:17">
      <c r="D64" s="63"/>
      <c r="E64" s="63" t="b">
        <f>E63=K34</f>
        <v>1</v>
      </c>
      <c r="F64" s="63" t="b">
        <f>F63=E34</f>
        <v>1</v>
      </c>
      <c r="G64" s="63"/>
      <c r="H64" s="63"/>
      <c r="I64" s="63"/>
      <c r="J64" s="63"/>
      <c r="K64" s="63"/>
      <c r="L64" s="63"/>
      <c r="M64" s="63"/>
      <c r="N64" s="63"/>
      <c r="O64" s="63"/>
      <c r="P64" s="63"/>
      <c r="Q64" s="63"/>
    </row>
  </sheetData>
  <mergeCells count="1">
    <mergeCell ref="D6:D7"/>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8F26550D-79AF-483C-9A7A-282B9C1C8AB2}">
            <xm:f>NOT(ISERROR(SEARCH("TRUE",A41)))</xm:f>
            <xm:f>"TRUE"</xm:f>
            <x14:dxf>
              <fill>
                <patternFill>
                  <bgColor theme="9" tint="0.79998168889431442"/>
                </patternFill>
              </fill>
            </x14:dxf>
          </x14:cfRule>
          <x14:cfRule type="containsText" priority="17" operator="containsText" id="{1D87865B-4E17-41E3-B6D2-ECED0C45BDC9}">
            <xm:f>NOT(ISERROR(SEARCH("FALSE",A41)))</xm:f>
            <xm:f>"FALSE"</xm:f>
            <x14:dxf>
              <fill>
                <patternFill>
                  <bgColor theme="5"/>
                </patternFill>
              </fill>
            </x14:dxf>
          </x14:cfRule>
          <xm:sqref>A41:C55 L42:M55</xm:sqref>
        </x14:conditionalFormatting>
        <x14:conditionalFormatting xmlns:xm="http://schemas.microsoft.com/office/excel/2006/main">
          <x14:cfRule type="containsText" priority="15" operator="containsText" id="{D3466A78-2033-470C-98F2-6B4DA179EEA5}">
            <xm:f>NOT(ISERROR(SEARCH("FALSE",A1)))</xm:f>
            <xm:f>"FALSE"</xm:f>
            <x14:dxf>
              <fill>
                <patternFill>
                  <bgColor theme="5"/>
                </patternFill>
              </fill>
            </x14:dxf>
          </x14:cfRule>
          <xm:sqref>A1:XFD23 A24:H36 I24:I37 J24:XFD38 A37:G38 A39:XFD39 A40:F40 G40:XFD41 D41:F41 D42:K52 N42:XFD56 I54:K55 A56:F56 H56:M56 A57:XFD1048576 E53:K53 G53:G56 H53:H54</xm:sqref>
        </x14:conditionalFormatting>
        <x14:conditionalFormatting xmlns:xm="http://schemas.microsoft.com/office/excel/2006/main">
          <x14:cfRule type="containsText" priority="14" operator="containsText" id="{CE9CC231-7C7C-46ED-9C8F-91631C323FCD}">
            <xm:f>NOT(ISERROR(SEARCH("TRUE",A1)))</xm:f>
            <xm:f>"TRUE"</xm:f>
            <x14:dxf>
              <fill>
                <patternFill>
                  <bgColor theme="9" tint="0.79998168889431442"/>
                </patternFill>
              </fill>
            </x14:dxf>
          </x14:cfRule>
          <xm:sqref>A1:XFD23 A24:H36 I24:I37 J24:XFD38 A37:G38 A39:XFD39 A40:F40 G40:XFD41 D41:F41 D42:K52 N42:XFD56 I54:K55 A56:F56 H56:M56 A57:XFD1048576</xm:sqref>
        </x14:conditionalFormatting>
        <x14:conditionalFormatting xmlns:xm="http://schemas.microsoft.com/office/excel/2006/main">
          <x14:cfRule type="containsText" priority="6" operator="containsText" id="{2B740B5F-9E72-48D7-8565-1D12E57159A8}">
            <xm:f>NOT(ISERROR(SEARCH("TRUE",D53)))</xm:f>
            <xm:f>"TRUE"</xm:f>
            <x14:dxf>
              <fill>
                <patternFill>
                  <bgColor theme="9" tint="0.79998168889431442"/>
                </patternFill>
              </fill>
            </x14:dxf>
          </x14:cfRule>
          <x14:cfRule type="containsText" priority="7" operator="containsText" id="{FAF4DE47-4F57-46FE-92A1-5E32E421FE8F}">
            <xm:f>NOT(ISERROR(SEARCH("FALSE",D53)))</xm:f>
            <xm:f>"FALSE"</xm:f>
            <x14:dxf>
              <fill>
                <patternFill>
                  <bgColor theme="5"/>
                </patternFill>
              </fill>
            </x14:dxf>
          </x14:cfRule>
          <xm:sqref>D53:F55</xm:sqref>
        </x14:conditionalFormatting>
        <x14:conditionalFormatting xmlns:xm="http://schemas.microsoft.com/office/excel/2006/main">
          <x14:cfRule type="containsText" priority="1" operator="containsText" id="{D79CD592-8E29-48E5-80A9-18CC919A1DF2}">
            <xm:f>NOT(ISERROR(SEARCH("TRUE",E53)))</xm:f>
            <xm:f>"TRUE"</xm:f>
            <x14:dxf>
              <fill>
                <patternFill>
                  <bgColor theme="9" tint="0.79998168889431442"/>
                </patternFill>
              </fill>
            </x14:dxf>
          </x14:cfRule>
          <xm:sqref>E53:K53</xm:sqref>
        </x14:conditionalFormatting>
        <x14:conditionalFormatting xmlns:xm="http://schemas.microsoft.com/office/excel/2006/main">
          <x14:cfRule type="containsText" priority="5" operator="containsText" id="{BF3191E7-702C-4079-8204-D48C40ED2C6B}">
            <xm:f>NOT(ISERROR(SEARCH("TRUE",G53)))</xm:f>
            <xm:f>"TRUE"</xm:f>
            <x14:dxf>
              <fill>
                <patternFill>
                  <bgColor theme="9" tint="0.79998168889431442"/>
                </patternFill>
              </fill>
            </x14:dxf>
          </x14:cfRule>
          <xm:sqref>G53:G56</xm:sqref>
        </x14:conditionalFormatting>
        <x14:conditionalFormatting xmlns:xm="http://schemas.microsoft.com/office/excel/2006/main">
          <x14:cfRule type="containsText" priority="12" operator="containsText" id="{53B502AA-C3E3-4AF5-B7BB-AEBF948E68E7}">
            <xm:f>NOT(ISERROR(SEARCH("TRUE",H37)))</xm:f>
            <xm:f>"TRUE"</xm:f>
            <x14:dxf>
              <fill>
                <patternFill>
                  <bgColor theme="9" tint="0.79998168889431442"/>
                </patternFill>
              </fill>
            </x14:dxf>
          </x14:cfRule>
          <x14:cfRule type="containsText" priority="13" operator="containsText" id="{052A44B0-DB75-4CDC-BAEB-F7A35BADE997}">
            <xm:f>NOT(ISERROR(SEARCH("FALSE",H37)))</xm:f>
            <xm:f>"FALSE"</xm:f>
            <x14:dxf>
              <fill>
                <patternFill>
                  <bgColor theme="5"/>
                </patternFill>
              </fill>
            </x14:dxf>
          </x14:cfRule>
          <xm:sqref>H37</xm:sqref>
        </x14:conditionalFormatting>
        <x14:conditionalFormatting xmlns:xm="http://schemas.microsoft.com/office/excel/2006/main">
          <x14:cfRule type="containsText" priority="4" operator="containsText" id="{442C1DA4-D611-458E-8B62-C276D3FEC419}">
            <xm:f>NOT(ISERROR(SEARCH("TRUE",H53)))</xm:f>
            <xm:f>"TRUE"</xm:f>
            <x14:dxf>
              <fill>
                <patternFill>
                  <bgColor theme="9" tint="0.79998168889431442"/>
                </patternFill>
              </fill>
            </x14:dxf>
          </x14:cfRule>
          <xm:sqref>H53:H54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B2:Q51"/>
  <sheetViews>
    <sheetView showGridLines="0" tabSelected="1" zoomScale="85" zoomScaleNormal="85" workbookViewId="0">
      <selection activeCell="M10" sqref="M10"/>
    </sheetView>
  </sheetViews>
  <sheetFormatPr defaultColWidth="8.5703125" defaultRowHeight="15"/>
  <cols>
    <col min="1" max="2" width="1.85546875" style="55" customWidth="1"/>
    <col min="3" max="3" width="1.5" style="55" customWidth="1"/>
    <col min="4" max="4" width="26.0703125" style="55" customWidth="1"/>
    <col min="5" max="5" width="20.35546875" style="55" customWidth="1"/>
    <col min="6" max="6" width="18.35546875" style="55" customWidth="1"/>
    <col min="7" max="8" width="12.5703125" style="55" bestFit="1" customWidth="1"/>
    <col min="9" max="9" width="13.5703125" style="55" bestFit="1" customWidth="1"/>
    <col min="10" max="10" width="12.5703125" style="55" bestFit="1" customWidth="1"/>
    <col min="11" max="11" width="9.85546875" style="55" bestFit="1" customWidth="1"/>
    <col min="12" max="12" width="12.5703125" style="55" bestFit="1" customWidth="1"/>
    <col min="13" max="13" width="8.5703125" style="55" bestFit="1" customWidth="1"/>
    <col min="14" max="14" width="8.5703125" style="55"/>
    <col min="15" max="15" width="12.5703125" style="55" bestFit="1" customWidth="1"/>
    <col min="16" max="16384" width="8.5703125" style="55"/>
  </cols>
  <sheetData>
    <row r="2" spans="2:17">
      <c r="B2" s="54" t="s">
        <v>1551</v>
      </c>
    </row>
    <row r="4" spans="2:17">
      <c r="D4" s="62" t="s">
        <v>1016</v>
      </c>
      <c r="E4" s="63"/>
      <c r="F4" s="63"/>
      <c r="G4" s="63"/>
      <c r="H4" s="63"/>
      <c r="I4" s="63"/>
      <c r="J4" s="63"/>
      <c r="K4" s="63"/>
      <c r="L4" s="63"/>
      <c r="M4" s="63"/>
      <c r="N4" s="63"/>
      <c r="O4" s="63"/>
      <c r="P4" s="63"/>
      <c r="Q4" s="63"/>
    </row>
    <row r="5" spans="2:17">
      <c r="D5" s="64"/>
      <c r="E5" s="63"/>
      <c r="F5" s="63"/>
      <c r="G5" s="63"/>
      <c r="H5" s="63"/>
      <c r="I5" s="63"/>
      <c r="J5" s="63" t="s">
        <v>272</v>
      </c>
      <c r="K5" s="63"/>
      <c r="L5" s="63"/>
      <c r="M5" s="63"/>
      <c r="N5" s="63"/>
      <c r="O5" s="63"/>
      <c r="P5" s="63"/>
      <c r="Q5" s="63"/>
    </row>
    <row r="6" spans="2:17">
      <c r="D6" s="1278" t="s">
        <v>237</v>
      </c>
      <c r="E6" s="157" t="str">
        <f>'11-12'!E16</f>
        <v>당반기말</v>
      </c>
      <c r="F6" s="158"/>
      <c r="G6" s="159"/>
      <c r="H6" s="157" t="s">
        <v>238</v>
      </c>
      <c r="I6" s="158"/>
      <c r="J6" s="159"/>
      <c r="K6" s="63"/>
      <c r="L6" s="63"/>
      <c r="M6" s="63"/>
      <c r="N6" s="63"/>
      <c r="O6" s="63"/>
      <c r="P6" s="63"/>
      <c r="Q6" s="63"/>
    </row>
    <row r="7" spans="2:17">
      <c r="D7" s="1279"/>
      <c r="E7" s="160" t="s">
        <v>1018</v>
      </c>
      <c r="F7" s="160" t="s">
        <v>330</v>
      </c>
      <c r="G7" s="160" t="s">
        <v>244</v>
      </c>
      <c r="H7" s="160" t="s">
        <v>1017</v>
      </c>
      <c r="I7" s="160" t="s">
        <v>330</v>
      </c>
      <c r="J7" s="161" t="s">
        <v>244</v>
      </c>
      <c r="K7" s="63"/>
      <c r="L7" s="63"/>
      <c r="M7" s="63"/>
      <c r="N7" s="63"/>
      <c r="O7" s="63"/>
      <c r="P7" s="63"/>
      <c r="Q7" s="63"/>
    </row>
    <row r="8" spans="2:17">
      <c r="D8" s="144" t="s">
        <v>387</v>
      </c>
      <c r="E8" s="68">
        <f>G8-F8</f>
        <v>372505746</v>
      </c>
      <c r="F8" s="68">
        <f>I8-'CF정산표(26.2Q)'!H68-'CF정산표(26.2Q)'!H69</f>
        <v>-299677275</v>
      </c>
      <c r="G8" s="70">
        <f>BS!E63+BS!E64</f>
        <v>72828471</v>
      </c>
      <c r="H8" s="68">
        <f>J8-I8</f>
        <v>323823267</v>
      </c>
      <c r="I8" s="68">
        <v>-285801804</v>
      </c>
      <c r="J8" s="68">
        <f>BS!F63+BS!F64</f>
        <v>38021463</v>
      </c>
      <c r="K8" s="63"/>
      <c r="L8" s="63"/>
      <c r="M8" s="63"/>
      <c r="N8" s="63"/>
      <c r="O8" s="63"/>
      <c r="P8" s="63"/>
      <c r="Q8" s="63"/>
    </row>
    <row r="9" spans="2:17">
      <c r="D9" s="144" t="s">
        <v>388</v>
      </c>
      <c r="E9" s="68">
        <f>G9-F9</f>
        <v>214442363</v>
      </c>
      <c r="F9" s="68">
        <f>I9-'CF정산표(26.2Q)'!H71</f>
        <v>-162548712</v>
      </c>
      <c r="G9" s="70">
        <f>BS!E66</f>
        <v>51893651</v>
      </c>
      <c r="H9" s="68">
        <f>J9-I9</f>
        <v>167242363</v>
      </c>
      <c r="I9" s="68">
        <v>-154895076</v>
      </c>
      <c r="J9" s="68">
        <f>BS!F66</f>
        <v>12347287</v>
      </c>
      <c r="K9" s="63"/>
      <c r="L9" s="63"/>
      <c r="M9" s="63"/>
      <c r="N9" s="63"/>
      <c r="O9" s="63"/>
      <c r="P9" s="63"/>
      <c r="Q9" s="63"/>
    </row>
    <row r="10" spans="2:17">
      <c r="D10" s="144" t="s">
        <v>389</v>
      </c>
      <c r="E10" s="68">
        <f>G10-F10</f>
        <v>1256267925</v>
      </c>
      <c r="F10" s="70">
        <f>I10-'CF정산표(26.2Q)'!H70</f>
        <v>-1256267925</v>
      </c>
      <c r="G10" s="70">
        <f>BS!E65</f>
        <v>0</v>
      </c>
      <c r="H10" s="70">
        <f>J10-I10</f>
        <v>1256267925</v>
      </c>
      <c r="I10" s="70">
        <v>-1256267925</v>
      </c>
      <c r="J10" s="70">
        <f>BS!F65</f>
        <v>0</v>
      </c>
      <c r="K10" s="63"/>
      <c r="L10" s="63"/>
      <c r="M10" s="63"/>
      <c r="N10" s="63"/>
      <c r="O10" s="63"/>
      <c r="P10" s="63"/>
      <c r="Q10" s="63"/>
    </row>
    <row r="11" spans="2:17">
      <c r="D11" s="149" t="s">
        <v>256</v>
      </c>
      <c r="E11" s="151">
        <f t="shared" ref="E11:J11" si="0">SUM(E8:E10)</f>
        <v>1843216034</v>
      </c>
      <c r="F11" s="151">
        <f t="shared" si="0"/>
        <v>-1718493912</v>
      </c>
      <c r="G11" s="150">
        <f t="shared" si="0"/>
        <v>124722122</v>
      </c>
      <c r="H11" s="68">
        <f t="shared" si="0"/>
        <v>1747333555</v>
      </c>
      <c r="I11" s="68">
        <f t="shared" si="0"/>
        <v>-1696964805</v>
      </c>
      <c r="J11" s="68">
        <f t="shared" si="0"/>
        <v>50368750</v>
      </c>
      <c r="K11" s="63"/>
      <c r="L11" s="63"/>
      <c r="M11" s="63"/>
      <c r="N11" s="63"/>
      <c r="O11" s="63"/>
      <c r="P11" s="63"/>
      <c r="Q11" s="63"/>
    </row>
    <row r="12" spans="2:17">
      <c r="D12" s="125"/>
      <c r="E12" s="63"/>
      <c r="F12" s="63"/>
      <c r="G12" s="170" t="b">
        <f>G11=BS!E62</f>
        <v>1</v>
      </c>
      <c r="H12" s="63"/>
      <c r="I12" s="63"/>
      <c r="J12" s="63" t="b">
        <f>J11=BS!F62</f>
        <v>1</v>
      </c>
      <c r="K12" s="63"/>
      <c r="L12" s="63"/>
      <c r="M12" s="63"/>
      <c r="N12" s="63"/>
      <c r="O12" s="63"/>
      <c r="P12" s="63"/>
      <c r="Q12" s="63"/>
    </row>
    <row r="13" spans="2:17">
      <c r="D13" s="125"/>
      <c r="E13" s="63"/>
      <c r="F13" s="63"/>
      <c r="G13" s="63" t="b">
        <f>G11=Dart_BS!C18</f>
        <v>1</v>
      </c>
      <c r="H13" s="63"/>
      <c r="I13" s="63"/>
      <c r="J13" s="63" t="b">
        <f>J11=Dart_BS!D18</f>
        <v>1</v>
      </c>
    </row>
    <row r="14" spans="2:17" ht="30">
      <c r="D14" s="152" t="s">
        <v>1019</v>
      </c>
      <c r="E14" s="63"/>
      <c r="F14" s="63"/>
      <c r="G14" s="63"/>
      <c r="H14" s="63"/>
      <c r="I14" s="63"/>
      <c r="J14" s="63"/>
    </row>
    <row r="15" spans="2:17">
      <c r="D15" s="125"/>
      <c r="E15" s="63"/>
      <c r="F15" s="63"/>
      <c r="G15" s="63"/>
      <c r="H15" s="63"/>
      <c r="I15" s="63"/>
      <c r="J15" s="63"/>
    </row>
    <row r="16" spans="2:17">
      <c r="D16" s="126" t="str">
        <f>E6</f>
        <v>당반기말</v>
      </c>
      <c r="E16" s="63"/>
      <c r="F16" s="63"/>
      <c r="G16" s="63"/>
      <c r="H16" s="63"/>
      <c r="I16" s="63"/>
      <c r="J16" s="63"/>
    </row>
    <row r="17" spans="4:10">
      <c r="D17" s="120"/>
      <c r="E17" s="64"/>
      <c r="F17" s="63"/>
      <c r="G17" s="63"/>
      <c r="H17" s="63"/>
      <c r="I17" s="166" t="s">
        <v>267</v>
      </c>
    </row>
    <row r="18" spans="4:10">
      <c r="D18" s="162" t="s">
        <v>237</v>
      </c>
      <c r="E18" s="163" t="s">
        <v>341</v>
      </c>
      <c r="F18" s="163" t="s">
        <v>385</v>
      </c>
      <c r="G18" s="719" t="s">
        <v>1779</v>
      </c>
      <c r="H18" s="163" t="s">
        <v>15</v>
      </c>
      <c r="I18" s="164" t="s">
        <v>343</v>
      </c>
    </row>
    <row r="19" spans="4:10">
      <c r="D19" s="144" t="s">
        <v>387</v>
      </c>
      <c r="E19" s="70">
        <f>I29</f>
        <v>38021463</v>
      </c>
      <c r="F19" s="70">
        <f>'14'!E8-'14'!H8-G19</f>
        <v>48682479</v>
      </c>
      <c r="G19" s="905">
        <f>'CF정산표(26.2Q)'!Q68</f>
        <v>0</v>
      </c>
      <c r="H19" s="171">
        <f>'14'!F8-'14'!I8</f>
        <v>-13875471</v>
      </c>
      <c r="I19" s="143">
        <f>SUM(E19:H19)</f>
        <v>72828471</v>
      </c>
      <c r="J19" s="55" t="b">
        <f>I19=G8</f>
        <v>1</v>
      </c>
    </row>
    <row r="20" spans="4:10">
      <c r="D20" s="144" t="s">
        <v>388</v>
      </c>
      <c r="E20" s="70">
        <f t="shared" ref="E20:E21" si="1">I30</f>
        <v>12347287</v>
      </c>
      <c r="F20" s="70">
        <f>'14'!E9-'14'!H9-G20</f>
        <v>47200000</v>
      </c>
      <c r="G20" s="905"/>
      <c r="H20" s="171">
        <f>'14'!F9-'14'!I9</f>
        <v>-7653636</v>
      </c>
      <c r="I20" s="143">
        <f>SUM(E20:H20)</f>
        <v>51893651</v>
      </c>
      <c r="J20" s="55" t="b">
        <f>I20=G9</f>
        <v>1</v>
      </c>
    </row>
    <row r="21" spans="4:10">
      <c r="D21" s="144" t="s">
        <v>389</v>
      </c>
      <c r="E21" s="70">
        <f t="shared" si="1"/>
        <v>0</v>
      </c>
      <c r="F21" s="70">
        <f>'14'!E10-'14'!H10-G21</f>
        <v>0</v>
      </c>
      <c r="G21" s="905"/>
      <c r="H21" s="171">
        <f>'14'!F10-'14'!I10</f>
        <v>0</v>
      </c>
      <c r="I21" s="143">
        <f>SUM(E21:H21)</f>
        <v>0</v>
      </c>
      <c r="J21" s="55" t="b">
        <f>I21=G10</f>
        <v>1</v>
      </c>
    </row>
    <row r="22" spans="4:10">
      <c r="D22" s="149" t="s">
        <v>256</v>
      </c>
      <c r="E22" s="150">
        <f>SUM(E19:E21)</f>
        <v>50368750</v>
      </c>
      <c r="F22" s="150">
        <f>SUM(F19:F21)</f>
        <v>95882479</v>
      </c>
      <c r="G22" s="150">
        <f>SUM(G19:G21)</f>
        <v>0</v>
      </c>
      <c r="H22" s="172">
        <f>SUM(H19:H21)</f>
        <v>-21529107</v>
      </c>
      <c r="I22" s="143">
        <f>SUM(E22:H22)</f>
        <v>124722122</v>
      </c>
      <c r="J22" s="55" t="b">
        <f>I22=G11</f>
        <v>1</v>
      </c>
    </row>
    <row r="23" spans="4:10">
      <c r="D23" s="63"/>
      <c r="E23" s="166" t="s">
        <v>1020</v>
      </c>
      <c r="F23" s="63">
        <f>CF!D52</f>
        <v>95882479</v>
      </c>
      <c r="G23" s="63"/>
      <c r="H23" s="63">
        <f>CF!D17</f>
        <v>21529107</v>
      </c>
      <c r="I23" s="63"/>
    </row>
    <row r="24" spans="4:10">
      <c r="D24" s="63"/>
      <c r="E24" s="63"/>
      <c r="F24" s="63" t="b">
        <f>F22=F23</f>
        <v>1</v>
      </c>
      <c r="G24" s="63"/>
      <c r="H24" s="63" t="b">
        <f>H22=-H23</f>
        <v>1</v>
      </c>
      <c r="I24" s="63"/>
    </row>
    <row r="25" spans="4:10">
      <c r="D25" s="63"/>
      <c r="E25" s="63"/>
      <c r="F25" s="63"/>
      <c r="G25" s="63"/>
      <c r="H25" s="63"/>
      <c r="I25" s="75"/>
      <c r="J25" s="63"/>
    </row>
    <row r="26" spans="4:10">
      <c r="D26" s="126" t="str">
        <f>H6</f>
        <v>전기말</v>
      </c>
      <c r="E26" s="63"/>
      <c r="F26" s="63"/>
      <c r="G26" s="63"/>
      <c r="H26" s="75"/>
      <c r="I26" s="63"/>
    </row>
    <row r="27" spans="4:10">
      <c r="D27" s="120"/>
      <c r="E27" s="64"/>
      <c r="F27" s="63"/>
      <c r="G27" s="63"/>
      <c r="H27" s="63"/>
      <c r="I27" s="166" t="s">
        <v>267</v>
      </c>
    </row>
    <row r="28" spans="4:10">
      <c r="D28" s="162" t="s">
        <v>237</v>
      </c>
      <c r="E28" s="163" t="s">
        <v>341</v>
      </c>
      <c r="F28" s="163" t="s">
        <v>385</v>
      </c>
      <c r="G28" s="719" t="s">
        <v>2233</v>
      </c>
      <c r="H28" s="163" t="s">
        <v>15</v>
      </c>
      <c r="I28" s="164" t="s">
        <v>343</v>
      </c>
    </row>
    <row r="29" spans="4:10">
      <c r="D29" s="67" t="s">
        <v>387</v>
      </c>
      <c r="E29" s="68">
        <v>58628342</v>
      </c>
      <c r="F29" s="70">
        <v>0</v>
      </c>
      <c r="G29" s="909">
        <v>7031500</v>
      </c>
      <c r="H29" s="68">
        <v>-27638379</v>
      </c>
      <c r="I29" s="143">
        <f>SUM(E29:H29)</f>
        <v>38021463</v>
      </c>
      <c r="J29" s="55" t="b">
        <f>I29=J8</f>
        <v>1</v>
      </c>
    </row>
    <row r="30" spans="4:10">
      <c r="D30" s="67" t="s">
        <v>388</v>
      </c>
      <c r="E30" s="68">
        <v>18214555</v>
      </c>
      <c r="F30" s="70">
        <v>0</v>
      </c>
      <c r="G30" s="909"/>
      <c r="H30" s="68">
        <v>-5867268</v>
      </c>
      <c r="I30" s="143">
        <f>SUM(E30:H30)</f>
        <v>12347287</v>
      </c>
      <c r="J30" s="55" t="b">
        <f>I30=J9</f>
        <v>1</v>
      </c>
    </row>
    <row r="31" spans="4:10">
      <c r="D31" s="67" t="s">
        <v>389</v>
      </c>
      <c r="E31" s="68">
        <v>141914582</v>
      </c>
      <c r="F31" s="68">
        <v>0</v>
      </c>
      <c r="G31" s="760"/>
      <c r="H31" s="68">
        <v>-141914582</v>
      </c>
      <c r="I31" s="143">
        <f>SUM(E31:H31)</f>
        <v>0</v>
      </c>
      <c r="J31" s="55" t="b">
        <f>I31=J10</f>
        <v>1</v>
      </c>
    </row>
    <row r="32" spans="4:10">
      <c r="D32" s="71" t="s">
        <v>256</v>
      </c>
      <c r="E32" s="155">
        <f>SUM(E29:E31)</f>
        <v>218757479</v>
      </c>
      <c r="F32" s="155">
        <f>SUM(F29:F31)</f>
        <v>0</v>
      </c>
      <c r="G32" s="155"/>
      <c r="H32" s="155">
        <f>SUM(H29:H31)</f>
        <v>-175420229</v>
      </c>
      <c r="I32" s="165">
        <f>SUM(I29:I31)</f>
        <v>50368750</v>
      </c>
      <c r="J32" s="55" t="b">
        <f>I32=J11</f>
        <v>1</v>
      </c>
    </row>
    <row r="33" spans="4:13">
      <c r="D33" s="63"/>
      <c r="E33" s="166" t="s">
        <v>1020</v>
      </c>
      <c r="F33" s="63">
        <v>0</v>
      </c>
      <c r="G33" s="63"/>
      <c r="H33" s="63">
        <v>175420229</v>
      </c>
      <c r="I33" s="63"/>
    </row>
    <row r="34" spans="4:13">
      <c r="D34" s="63"/>
      <c r="E34" s="63"/>
      <c r="F34" s="63" t="b">
        <f>F32=F33</f>
        <v>1</v>
      </c>
      <c r="G34" s="63"/>
      <c r="H34" s="75" t="b">
        <f>H32=-H33</f>
        <v>1</v>
      </c>
      <c r="I34" s="63"/>
    </row>
    <row r="35" spans="4:13">
      <c r="D35" s="126"/>
      <c r="E35" s="63"/>
      <c r="F35" s="63"/>
      <c r="G35" s="63"/>
      <c r="H35" s="75"/>
      <c r="I35" s="63"/>
    </row>
    <row r="36" spans="4:13">
      <c r="D36" s="63"/>
      <c r="E36" s="63"/>
      <c r="F36" s="63"/>
      <c r="G36" s="63"/>
      <c r="H36" s="63"/>
      <c r="I36" s="75"/>
      <c r="J36" s="63"/>
    </row>
    <row r="38" spans="4:13">
      <c r="D38" s="173" t="s">
        <v>1021</v>
      </c>
      <c r="E38" s="174"/>
      <c r="F38" s="174"/>
      <c r="G38" s="175"/>
      <c r="H38" s="174"/>
      <c r="I38" s="63"/>
      <c r="J38" s="63"/>
      <c r="K38" s="63"/>
      <c r="L38" s="63"/>
      <c r="M38" s="63"/>
    </row>
    <row r="39" spans="4:13">
      <c r="D39" s="176"/>
      <c r="E39" s="174"/>
      <c r="F39" s="174"/>
      <c r="G39" s="175" t="s">
        <v>267</v>
      </c>
      <c r="H39" s="174"/>
      <c r="I39" s="115" t="s">
        <v>1025</v>
      </c>
      <c r="J39" s="115" t="s">
        <v>1024</v>
      </c>
      <c r="K39" s="115" t="s">
        <v>1026</v>
      </c>
      <c r="L39" s="63"/>
      <c r="M39" s="63"/>
    </row>
    <row r="40" spans="4:13">
      <c r="D40" s="192" t="s">
        <v>237</v>
      </c>
      <c r="E40" s="193" t="s">
        <v>535</v>
      </c>
      <c r="F40" s="193" t="s">
        <v>536</v>
      </c>
      <c r="G40" s="194" t="s">
        <v>1023</v>
      </c>
      <c r="H40" s="174"/>
      <c r="I40" s="187">
        <v>44044</v>
      </c>
      <c r="J40" s="187">
        <v>45869</v>
      </c>
      <c r="K40" s="191">
        <v>46203</v>
      </c>
      <c r="L40" s="63"/>
      <c r="M40" s="63"/>
    </row>
    <row r="41" spans="4:13" ht="30">
      <c r="D41" s="177" t="s">
        <v>537</v>
      </c>
      <c r="E41" s="185" t="s">
        <v>538</v>
      </c>
      <c r="F41" s="186">
        <f>I21</f>
        <v>0</v>
      </c>
      <c r="G41" s="190">
        <v>0</v>
      </c>
      <c r="H41" s="178"/>
      <c r="I41" s="115"/>
      <c r="K41" s="115">
        <f>J40-K40</f>
        <v>-334</v>
      </c>
      <c r="L41" s="189">
        <f>K41/365</f>
        <v>-0.91506849315068495</v>
      </c>
      <c r="M41" s="115"/>
    </row>
    <row r="42" spans="4:13">
      <c r="D42" s="176"/>
      <c r="E42" s="174"/>
      <c r="F42" s="174"/>
      <c r="G42" s="175"/>
      <c r="H42" s="174"/>
      <c r="I42" s="63"/>
      <c r="J42" s="63"/>
      <c r="K42" s="188"/>
      <c r="L42" s="63"/>
      <c r="M42" s="63"/>
    </row>
    <row r="43" spans="4:13">
      <c r="D43" s="176"/>
      <c r="E43" s="174"/>
      <c r="F43" s="174"/>
      <c r="G43" s="175"/>
      <c r="H43" s="174"/>
      <c r="I43" s="63"/>
      <c r="J43" s="63"/>
      <c r="K43" s="63"/>
      <c r="L43" s="63"/>
      <c r="M43" s="63"/>
    </row>
    <row r="44" spans="4:13">
      <c r="D44" s="63"/>
      <c r="E44" s="63"/>
      <c r="F44" s="63"/>
      <c r="G44" s="63"/>
      <c r="H44" s="63"/>
      <c r="I44" s="63"/>
      <c r="J44" s="63"/>
      <c r="K44" s="63"/>
      <c r="L44" s="63"/>
      <c r="M44" s="63"/>
    </row>
    <row r="45" spans="4:13">
      <c r="D45" s="179" t="s">
        <v>1022</v>
      </c>
      <c r="E45" s="63"/>
      <c r="F45" s="63"/>
      <c r="G45" s="63"/>
      <c r="H45" s="63"/>
      <c r="I45" s="63"/>
      <c r="J45" s="63"/>
      <c r="K45" s="63"/>
      <c r="L45" s="63"/>
      <c r="M45" s="63"/>
    </row>
    <row r="46" spans="4:13">
      <c r="D46" s="180"/>
      <c r="E46" s="63"/>
      <c r="F46" s="175" t="s">
        <v>267</v>
      </c>
      <c r="G46" s="63"/>
      <c r="H46" s="63"/>
      <c r="I46" s="63"/>
      <c r="J46" s="63"/>
      <c r="K46" s="63"/>
      <c r="L46" s="63"/>
      <c r="M46" s="63"/>
    </row>
    <row r="47" spans="4:13">
      <c r="D47" s="195" t="s">
        <v>237</v>
      </c>
      <c r="E47" s="195" t="str">
        <f>'27'!E7</f>
        <v>당반기</v>
      </c>
      <c r="F47" s="195" t="str">
        <f>'27'!G7</f>
        <v>전반기</v>
      </c>
      <c r="G47" s="63"/>
      <c r="H47" s="63"/>
      <c r="I47" s="63"/>
      <c r="J47" s="63"/>
      <c r="K47" s="63"/>
      <c r="L47" s="63"/>
      <c r="M47" s="63"/>
    </row>
    <row r="48" spans="4:13">
      <c r="D48" s="181" t="s">
        <v>107</v>
      </c>
      <c r="E48" s="182">
        <f>PL!E43</f>
        <v>364625079</v>
      </c>
      <c r="F48" s="182">
        <f>PL!F43</f>
        <v>337688016</v>
      </c>
      <c r="G48" s="63"/>
      <c r="H48" s="63"/>
      <c r="I48" s="63"/>
      <c r="J48" s="63"/>
      <c r="K48" s="63"/>
      <c r="L48" s="63"/>
      <c r="M48" s="63"/>
    </row>
    <row r="49" spans="4:13">
      <c r="D49" s="181" t="s">
        <v>390</v>
      </c>
      <c r="E49" s="182">
        <v>0</v>
      </c>
      <c r="F49" s="182">
        <v>0</v>
      </c>
      <c r="G49" s="63"/>
      <c r="H49" s="63"/>
      <c r="I49" s="63"/>
      <c r="J49" s="63"/>
      <c r="K49" s="63"/>
      <c r="L49" s="63"/>
      <c r="M49" s="63"/>
    </row>
    <row r="50" spans="4:13">
      <c r="D50" s="181" t="s">
        <v>256</v>
      </c>
      <c r="E50" s="182">
        <f>SUM(E48:E49)</f>
        <v>364625079</v>
      </c>
      <c r="F50" s="182">
        <f>SUM(F48:F49)</f>
        <v>337688016</v>
      </c>
      <c r="G50" s="63"/>
      <c r="H50" s="63"/>
      <c r="I50" s="63"/>
      <c r="J50" s="63"/>
      <c r="K50" s="63"/>
      <c r="L50" s="63"/>
      <c r="M50" s="63"/>
    </row>
    <row r="51" spans="4:13">
      <c r="D51" s="183"/>
      <c r="E51" s="184" t="b">
        <f>E50=PL!E43</f>
        <v>1</v>
      </c>
      <c r="F51" s="184" t="b">
        <f>F50=PL!F43</f>
        <v>1</v>
      </c>
      <c r="G51" s="63"/>
      <c r="H51" s="63"/>
      <c r="I51" s="63"/>
      <c r="J51" s="63"/>
      <c r="K51" s="63"/>
      <c r="L51" s="63"/>
      <c r="M51" s="63"/>
    </row>
  </sheetData>
  <mergeCells count="1">
    <mergeCell ref="D6:D7"/>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DE23E72-B8A7-4491-9649-4EE1D6403CAD}">
            <xm:f>NOT(ISERROR(SEARCH("TRUE",A1)))</xm:f>
            <xm:f>"TRUE"</xm:f>
            <x14:dxf>
              <fill>
                <patternFill>
                  <bgColor theme="9" tint="0.79998168889431442"/>
                </patternFill>
              </fill>
            </x14:dxf>
          </x14:cfRule>
          <x14:cfRule type="containsText" priority="2" operator="containsText" id="{AABFD702-79D1-4A28-AD66-4F941FEFD91D}">
            <xm:f>NOT(ISERROR(SEARCH("FALSE",A1)))</xm:f>
            <xm:f>"FALSE"</xm:f>
            <x14:dxf>
              <fill>
                <patternFill>
                  <bgColor theme="5"/>
                </patternFill>
              </fill>
            </x14:dxf>
          </x14:cfRule>
          <xm:sqref>A41:I41 K41:XFD41 A42:XFD1048576 A1:XFD40</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1"/>
  <dimension ref="H4:M38"/>
  <sheetViews>
    <sheetView topLeftCell="A28" workbookViewId="0">
      <selection activeCell="M22" sqref="M22"/>
    </sheetView>
  </sheetViews>
  <sheetFormatPr defaultRowHeight="17.600000000000001"/>
  <cols>
    <col min="8" max="8" width="25.640625" bestFit="1" customWidth="1"/>
    <col min="9" max="9" width="7.140625" bestFit="1" customWidth="1"/>
    <col min="10" max="11" width="18.140625" bestFit="1" customWidth="1"/>
    <col min="13" max="13" width="13.640625" bestFit="1" customWidth="1"/>
  </cols>
  <sheetData>
    <row r="4" spans="8:11">
      <c r="H4" s="1092" t="s">
        <v>39</v>
      </c>
      <c r="I4" s="1093" t="s">
        <v>1830</v>
      </c>
      <c r="J4" s="1093" t="s">
        <v>2001</v>
      </c>
      <c r="K4" s="1094" t="s">
        <v>2002</v>
      </c>
    </row>
    <row r="5" spans="8:11">
      <c r="H5" s="1095" t="s">
        <v>1166</v>
      </c>
      <c r="I5" s="1096"/>
      <c r="J5" s="1097"/>
      <c r="K5" s="1098"/>
    </row>
    <row r="6" spans="8:11">
      <c r="H6" s="1095" t="s">
        <v>285</v>
      </c>
      <c r="I6" s="1099"/>
      <c r="J6" s="1100">
        <v>16611573134</v>
      </c>
      <c r="K6" s="1101">
        <v>2615770018</v>
      </c>
    </row>
    <row r="7" spans="8:11">
      <c r="H7" s="1102" t="s">
        <v>2003</v>
      </c>
      <c r="I7" s="1099" t="s">
        <v>1832</v>
      </c>
      <c r="J7" s="1103">
        <v>15100984480</v>
      </c>
      <c r="K7" s="1104">
        <v>766238617</v>
      </c>
    </row>
    <row r="8" spans="8:11">
      <c r="H8" s="1102" t="s">
        <v>2004</v>
      </c>
      <c r="I8" s="1099">
        <v>8</v>
      </c>
      <c r="J8" s="1105" t="s">
        <v>298</v>
      </c>
      <c r="K8" s="1104">
        <v>22402866</v>
      </c>
    </row>
    <row r="9" spans="8:11">
      <c r="H9" s="1102" t="s">
        <v>2005</v>
      </c>
      <c r="I9" s="1099"/>
      <c r="J9" s="1103">
        <v>401651</v>
      </c>
      <c r="K9" s="1104">
        <v>4846920</v>
      </c>
    </row>
    <row r="10" spans="8:11">
      <c r="H10" s="1102" t="s">
        <v>2006</v>
      </c>
      <c r="I10" s="1099" t="s">
        <v>2007</v>
      </c>
      <c r="J10" s="1103">
        <v>1253346150</v>
      </c>
      <c r="K10" s="1104">
        <v>1381401144</v>
      </c>
    </row>
    <row r="11" spans="8:11">
      <c r="H11" s="1102" t="s">
        <v>2008</v>
      </c>
      <c r="I11" s="1099">
        <v>10</v>
      </c>
      <c r="J11" s="1103">
        <v>256840853</v>
      </c>
      <c r="K11" s="1104">
        <v>440880471</v>
      </c>
    </row>
    <row r="12" spans="8:11">
      <c r="H12" s="1095" t="s">
        <v>287</v>
      </c>
      <c r="I12" s="1099"/>
      <c r="J12" s="1100">
        <v>9285791822</v>
      </c>
      <c r="K12" s="1101">
        <v>11843051143</v>
      </c>
    </row>
    <row r="13" spans="8:11">
      <c r="H13" s="1102" t="s">
        <v>2009</v>
      </c>
      <c r="I13" s="1099">
        <v>11</v>
      </c>
      <c r="J13" s="1103">
        <v>736605984</v>
      </c>
      <c r="K13" s="1104">
        <v>1637563409</v>
      </c>
    </row>
    <row r="14" spans="8:11">
      <c r="H14" s="1102" t="s">
        <v>2010</v>
      </c>
      <c r="I14" s="1099">
        <v>13</v>
      </c>
      <c r="J14" s="1103">
        <v>6434208125</v>
      </c>
      <c r="K14" s="1104">
        <v>7631375351</v>
      </c>
    </row>
    <row r="15" spans="8:11">
      <c r="H15" s="1102" t="s">
        <v>2011</v>
      </c>
      <c r="I15" s="1099">
        <v>12</v>
      </c>
      <c r="J15" s="1103">
        <v>1278431177</v>
      </c>
      <c r="K15" s="1104">
        <v>1645936609</v>
      </c>
    </row>
    <row r="16" spans="8:11">
      <c r="H16" s="1102" t="s">
        <v>2012</v>
      </c>
      <c r="I16" s="1099" t="s">
        <v>2007</v>
      </c>
      <c r="J16" s="1103">
        <v>369673339</v>
      </c>
      <c r="K16" s="1104">
        <v>401302577</v>
      </c>
    </row>
    <row r="17" spans="8:13">
      <c r="H17" s="1102" t="s">
        <v>2013</v>
      </c>
      <c r="I17" s="1099">
        <v>10</v>
      </c>
      <c r="J17" s="1103">
        <v>466873197</v>
      </c>
      <c r="K17" s="1104">
        <v>526873197</v>
      </c>
    </row>
    <row r="18" spans="8:13">
      <c r="H18" s="1106" t="s">
        <v>2014</v>
      </c>
      <c r="I18" s="1099"/>
      <c r="J18" s="1107">
        <v>25897364956</v>
      </c>
      <c r="K18" s="1108">
        <v>14458821161</v>
      </c>
      <c r="M18" s="1091">
        <f>J6+J12</f>
        <v>25897364956</v>
      </c>
    </row>
    <row r="19" spans="8:13">
      <c r="H19" s="1095" t="s">
        <v>1180</v>
      </c>
      <c r="I19" s="1099"/>
      <c r="J19" s="1109"/>
      <c r="K19" s="1110"/>
    </row>
    <row r="20" spans="8:13">
      <c r="H20" s="1095" t="s">
        <v>289</v>
      </c>
      <c r="I20" s="1099"/>
      <c r="J20" s="1100">
        <v>18653681183</v>
      </c>
      <c r="K20" s="1101">
        <v>59892545375</v>
      </c>
    </row>
    <row r="21" spans="8:13">
      <c r="H21" s="1102" t="s">
        <v>2015</v>
      </c>
      <c r="I21" s="1099" t="s">
        <v>1839</v>
      </c>
      <c r="J21" s="1103">
        <v>395465304</v>
      </c>
      <c r="K21" s="1104">
        <v>385389081</v>
      </c>
    </row>
    <row r="22" spans="8:13">
      <c r="H22" s="1111" t="s">
        <v>2016</v>
      </c>
      <c r="I22" s="1099" t="s">
        <v>2017</v>
      </c>
      <c r="J22" s="1105" t="s">
        <v>298</v>
      </c>
      <c r="K22" s="1104">
        <v>45720775058</v>
      </c>
      <c r="M22" s="1091">
        <f>SUM(J21:J24)</f>
        <v>18673779131</v>
      </c>
    </row>
    <row r="23" spans="8:13">
      <c r="H23" s="1102" t="s">
        <v>2018</v>
      </c>
      <c r="I23" s="1099" t="s">
        <v>2019</v>
      </c>
      <c r="J23" s="1103">
        <v>13304643066</v>
      </c>
      <c r="K23" s="1104">
        <v>7918562633</v>
      </c>
    </row>
    <row r="24" spans="8:13">
      <c r="H24" s="1102" t="s">
        <v>2020</v>
      </c>
      <c r="I24" s="1099" t="s">
        <v>2021</v>
      </c>
      <c r="J24" s="1103">
        <v>4973670761</v>
      </c>
      <c r="K24" s="1104">
        <v>5867818603</v>
      </c>
    </row>
    <row r="25" spans="8:13">
      <c r="H25" s="1095" t="s">
        <v>291</v>
      </c>
      <c r="I25" s="1099"/>
      <c r="J25" s="1100">
        <v>1388796709</v>
      </c>
      <c r="K25" s="1101">
        <v>1460570049</v>
      </c>
    </row>
    <row r="26" spans="8:13">
      <c r="H26" s="1102" t="s">
        <v>2022</v>
      </c>
      <c r="I26" s="1099" t="s">
        <v>1839</v>
      </c>
      <c r="J26" s="1103">
        <v>1026471515</v>
      </c>
      <c r="K26" s="1104">
        <v>1384796626</v>
      </c>
    </row>
    <row r="27" spans="8:13">
      <c r="H27" s="1102" t="s">
        <v>2023</v>
      </c>
      <c r="I27" s="1099"/>
      <c r="J27" s="1103">
        <v>77090898</v>
      </c>
      <c r="K27" s="1104">
        <v>75773423</v>
      </c>
    </row>
    <row r="28" spans="8:13">
      <c r="H28" s="1102" t="s">
        <v>2024</v>
      </c>
      <c r="I28" s="1099" t="s">
        <v>2019</v>
      </c>
      <c r="J28" s="1103">
        <v>285234296</v>
      </c>
      <c r="K28" s="1112" t="s">
        <v>298</v>
      </c>
    </row>
    <row r="29" spans="8:13">
      <c r="H29" s="1095" t="s">
        <v>349</v>
      </c>
      <c r="I29" s="1099"/>
      <c r="J29" s="1107">
        <v>20062575840</v>
      </c>
      <c r="K29" s="1108">
        <v>61353115424</v>
      </c>
      <c r="M29" s="1091">
        <f>J20+J25</f>
        <v>20042477892</v>
      </c>
    </row>
    <row r="30" spans="8:13">
      <c r="H30" s="1095" t="s">
        <v>121</v>
      </c>
      <c r="I30" s="1099"/>
      <c r="J30" s="1109"/>
      <c r="K30" s="1113" t="s">
        <v>298</v>
      </c>
    </row>
    <row r="31" spans="8:13">
      <c r="H31" s="1111" t="s">
        <v>2025</v>
      </c>
      <c r="I31" s="1099" t="s">
        <v>2026</v>
      </c>
      <c r="J31" s="1103">
        <v>16655228500</v>
      </c>
      <c r="K31" s="1104">
        <v>1755559500</v>
      </c>
    </row>
    <row r="32" spans="8:13">
      <c r="H32" s="1111" t="s">
        <v>2027</v>
      </c>
      <c r="I32" s="1099">
        <v>19</v>
      </c>
      <c r="J32" s="1103">
        <v>73656603596</v>
      </c>
      <c r="K32" s="1104">
        <v>35688765482</v>
      </c>
    </row>
    <row r="33" spans="8:11">
      <c r="H33" s="1111" t="s">
        <v>2028</v>
      </c>
      <c r="I33" s="1099" t="s">
        <v>2029</v>
      </c>
      <c r="J33" s="1103">
        <v>3758717291</v>
      </c>
      <c r="K33" s="1104">
        <v>5912051291</v>
      </c>
    </row>
    <row r="34" spans="8:11">
      <c r="H34" s="1111" t="s">
        <v>2030</v>
      </c>
      <c r="I34" s="1099">
        <v>20</v>
      </c>
      <c r="J34" s="1100">
        <v>-88235760271</v>
      </c>
      <c r="K34" s="1104">
        <v>-90250670536</v>
      </c>
    </row>
    <row r="35" spans="8:11">
      <c r="H35" s="1095" t="s">
        <v>122</v>
      </c>
      <c r="I35" s="1099"/>
      <c r="J35" s="1107">
        <v>5834789116</v>
      </c>
      <c r="K35" s="1108">
        <v>-46894294263</v>
      </c>
    </row>
    <row r="36" spans="8:11">
      <c r="H36" s="1114" t="s">
        <v>2031</v>
      </c>
      <c r="I36" s="1115"/>
      <c r="J36" s="1116">
        <v>25897364956</v>
      </c>
      <c r="K36" s="1117">
        <v>14458821161</v>
      </c>
    </row>
    <row r="37" spans="8:11">
      <c r="J37" s="1091">
        <f>J29+J35</f>
        <v>25897364956</v>
      </c>
    </row>
    <row r="38" spans="8:11">
      <c r="J38" t="b">
        <f>J37=J36</f>
        <v>1</v>
      </c>
    </row>
  </sheetData>
  <phoneticPr fontId="23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B2:R48"/>
  <sheetViews>
    <sheetView showGridLines="0" topLeftCell="A24" zoomScale="70" zoomScaleNormal="70" workbookViewId="0">
      <selection activeCell="N53" sqref="N53"/>
    </sheetView>
  </sheetViews>
  <sheetFormatPr defaultColWidth="8.5703125" defaultRowHeight="15"/>
  <cols>
    <col min="1" max="2" width="1.85546875" style="55" customWidth="1"/>
    <col min="3" max="3" width="1.5" style="55" customWidth="1"/>
    <col min="4" max="4" width="16" style="55" customWidth="1"/>
    <col min="5" max="5" width="26.35546875" style="55" customWidth="1"/>
    <col min="6" max="6" width="12.5703125" style="55" bestFit="1" customWidth="1"/>
    <col min="7" max="7" width="18.5" style="55" customWidth="1"/>
    <col min="8" max="8" width="12.5703125" style="55" bestFit="1" customWidth="1"/>
    <col min="9" max="9" width="13.85546875" style="55" bestFit="1" customWidth="1"/>
    <col min="10" max="10" width="12.5703125" style="55" bestFit="1" customWidth="1"/>
    <col min="11" max="11" width="13.35546875" style="55" customWidth="1"/>
    <col min="12" max="12" width="14" style="55" customWidth="1"/>
    <col min="13" max="14" width="13.5" style="55" customWidth="1"/>
    <col min="15" max="21" width="15.0703125" style="55" customWidth="1"/>
    <col min="22" max="16384" width="8.5703125" style="55"/>
  </cols>
  <sheetData>
    <row r="2" spans="2:18">
      <c r="B2" s="54" t="s">
        <v>1550</v>
      </c>
    </row>
    <row r="4" spans="2:18">
      <c r="D4" s="62" t="s">
        <v>1027</v>
      </c>
      <c r="E4" s="63"/>
      <c r="F4" s="63"/>
      <c r="G4" s="63"/>
      <c r="H4" s="63"/>
      <c r="I4" s="63"/>
      <c r="J4" s="63"/>
      <c r="K4" s="63"/>
      <c r="L4" s="63"/>
      <c r="M4" s="63"/>
      <c r="N4" s="63"/>
      <c r="O4" s="63"/>
      <c r="P4" s="63"/>
      <c r="Q4" s="63"/>
    </row>
    <row r="5" spans="2:18">
      <c r="D5" s="62"/>
      <c r="E5" s="63"/>
      <c r="F5" s="63"/>
      <c r="G5" s="63"/>
      <c r="H5" s="63"/>
      <c r="I5" s="63"/>
      <c r="J5" s="63"/>
      <c r="K5" s="63"/>
      <c r="L5" s="63"/>
      <c r="M5" s="63"/>
      <c r="N5" s="63"/>
      <c r="O5" s="63"/>
      <c r="P5" s="63"/>
      <c r="Q5" s="63"/>
    </row>
    <row r="6" spans="2:18">
      <c r="E6" s="63"/>
      <c r="F6" s="63"/>
      <c r="G6" s="63"/>
      <c r="H6" s="63"/>
      <c r="I6" s="63"/>
      <c r="J6" s="64" t="s">
        <v>258</v>
      </c>
      <c r="K6" s="63"/>
      <c r="L6" s="63"/>
      <c r="M6" s="63"/>
      <c r="N6" s="63"/>
      <c r="O6" s="63"/>
      <c r="P6" s="63"/>
      <c r="Q6" s="63"/>
    </row>
    <row r="7" spans="2:18">
      <c r="D7" s="1207" t="s">
        <v>1028</v>
      </c>
      <c r="E7" s="1207" t="s">
        <v>391</v>
      </c>
      <c r="F7" s="1207" t="s">
        <v>392</v>
      </c>
      <c r="G7" s="1207" t="s">
        <v>393</v>
      </c>
      <c r="H7" s="201" t="str">
        <f>'14'!E6</f>
        <v>당반기말</v>
      </c>
      <c r="I7" s="201"/>
      <c r="J7" s="201" t="str">
        <f>'14'!H6</f>
        <v>전기말</v>
      </c>
      <c r="K7" s="201"/>
      <c r="L7" s="63"/>
      <c r="M7" s="63"/>
      <c r="N7" s="63"/>
      <c r="O7" s="63"/>
      <c r="P7" s="63"/>
      <c r="Q7" s="63"/>
      <c r="R7" s="63"/>
    </row>
    <row r="8" spans="2:18">
      <c r="D8" s="1208"/>
      <c r="E8" s="1208"/>
      <c r="F8" s="1208"/>
      <c r="G8" s="1208"/>
      <c r="H8" s="200" t="s">
        <v>372</v>
      </c>
      <c r="I8" s="200" t="s">
        <v>244</v>
      </c>
      <c r="J8" s="200" t="s">
        <v>372</v>
      </c>
      <c r="K8" s="200" t="s">
        <v>244</v>
      </c>
      <c r="L8" s="63"/>
      <c r="M8" s="63"/>
      <c r="N8" s="63"/>
      <c r="O8" s="63"/>
      <c r="P8" s="63"/>
      <c r="Q8" s="63"/>
      <c r="R8" s="63"/>
    </row>
    <row r="9" spans="2:18">
      <c r="D9" s="1212" t="s">
        <v>1031</v>
      </c>
      <c r="E9" s="202" t="s">
        <v>1993</v>
      </c>
      <c r="F9" s="203" t="s">
        <v>394</v>
      </c>
      <c r="G9" s="203" t="s">
        <v>2371</v>
      </c>
      <c r="H9" s="1189">
        <v>0.50049999999999994</v>
      </c>
      <c r="I9" s="122">
        <v>24999999500</v>
      </c>
      <c r="J9" s="206">
        <v>1</v>
      </c>
      <c r="K9" s="204">
        <v>0</v>
      </c>
      <c r="L9" s="63"/>
      <c r="M9" s="63"/>
      <c r="N9" s="63"/>
      <c r="O9" s="63"/>
      <c r="P9" s="63"/>
      <c r="Q9" s="63"/>
      <c r="R9" s="63"/>
    </row>
    <row r="10" spans="2:18">
      <c r="D10" s="1213"/>
      <c r="E10" s="202" t="s">
        <v>405</v>
      </c>
      <c r="F10" s="203" t="s">
        <v>395</v>
      </c>
      <c r="G10" s="203" t="s">
        <v>396</v>
      </c>
      <c r="H10" s="206">
        <v>1</v>
      </c>
      <c r="I10" s="122">
        <v>305895681</v>
      </c>
      <c r="J10" s="206">
        <v>1</v>
      </c>
      <c r="K10" s="205">
        <v>305895681</v>
      </c>
      <c r="L10" s="63"/>
      <c r="M10" s="63"/>
      <c r="N10" s="63"/>
      <c r="O10" s="63"/>
      <c r="P10" s="63"/>
      <c r="Q10" s="63"/>
      <c r="R10" s="63"/>
    </row>
    <row r="11" spans="2:18">
      <c r="D11" s="1213"/>
      <c r="E11" s="202" t="s">
        <v>397</v>
      </c>
      <c r="F11" s="203" t="s">
        <v>398</v>
      </c>
      <c r="G11" s="203" t="s">
        <v>396</v>
      </c>
      <c r="H11" s="206">
        <v>1</v>
      </c>
      <c r="I11" s="122">
        <v>0</v>
      </c>
      <c r="J11" s="206">
        <v>1</v>
      </c>
      <c r="K11" s="205">
        <v>0</v>
      </c>
      <c r="L11" s="63"/>
      <c r="M11" s="63"/>
      <c r="N11" s="63"/>
      <c r="O11" s="63"/>
      <c r="P11" s="63"/>
      <c r="Q11" s="63"/>
      <c r="R11" s="63"/>
    </row>
    <row r="12" spans="2:18">
      <c r="D12" s="1214"/>
      <c r="E12" s="202" t="s">
        <v>1029</v>
      </c>
      <c r="F12" s="203" t="s">
        <v>1030</v>
      </c>
      <c r="G12" s="203" t="s">
        <v>396</v>
      </c>
      <c r="H12" s="206">
        <v>1</v>
      </c>
      <c r="I12" s="122">
        <v>42330000</v>
      </c>
      <c r="J12" s="206">
        <v>1</v>
      </c>
      <c r="K12" s="205">
        <v>42330000</v>
      </c>
      <c r="L12" s="63"/>
      <c r="M12" s="63"/>
      <c r="N12" s="63"/>
      <c r="O12" s="63"/>
      <c r="P12" s="63"/>
      <c r="Q12" s="63"/>
      <c r="R12" s="63"/>
    </row>
    <row r="13" spans="2:18">
      <c r="D13" s="1215" t="s">
        <v>1032</v>
      </c>
      <c r="E13" s="202" t="s">
        <v>702</v>
      </c>
      <c r="F13" s="203" t="s">
        <v>394</v>
      </c>
      <c r="G13" s="203" t="s">
        <v>703</v>
      </c>
      <c r="H13" s="206"/>
      <c r="I13" s="122">
        <v>0</v>
      </c>
      <c r="J13" s="206"/>
      <c r="K13" s="205">
        <v>0</v>
      </c>
      <c r="L13" s="63"/>
      <c r="M13" s="63"/>
      <c r="N13" s="63"/>
      <c r="O13" s="63"/>
      <c r="P13" s="63"/>
      <c r="Q13" s="63"/>
      <c r="R13" s="63"/>
    </row>
    <row r="14" spans="2:18">
      <c r="D14" s="1214"/>
      <c r="E14" s="202" t="s">
        <v>1994</v>
      </c>
      <c r="F14" s="203" t="s">
        <v>394</v>
      </c>
      <c r="G14" s="203" t="s">
        <v>1995</v>
      </c>
      <c r="H14" s="206"/>
      <c r="I14" s="122">
        <v>0</v>
      </c>
      <c r="J14" s="206">
        <v>0.3402</v>
      </c>
      <c r="K14" s="205">
        <v>16999999500</v>
      </c>
      <c r="L14" s="63"/>
      <c r="M14" s="63"/>
      <c r="N14" s="63"/>
      <c r="O14" s="63"/>
      <c r="P14" s="63"/>
      <c r="Q14" s="63"/>
      <c r="R14" s="63"/>
    </row>
    <row r="15" spans="2:18">
      <c r="D15" s="1209" t="s">
        <v>249</v>
      </c>
      <c r="E15" s="1210"/>
      <c r="F15" s="1210"/>
      <c r="G15" s="1211"/>
      <c r="H15" s="139"/>
      <c r="I15" s="139">
        <f>SUM(I9:I14)</f>
        <v>25348225181</v>
      </c>
      <c r="J15" s="139"/>
      <c r="K15" s="139">
        <f>SUM(K9:K14)</f>
        <v>17348225181</v>
      </c>
      <c r="L15" s="63"/>
      <c r="M15" s="63"/>
      <c r="N15" s="63"/>
      <c r="O15" s="63"/>
    </row>
    <row r="16" spans="2:18" ht="16.399999999999999" customHeight="1">
      <c r="E16" s="63"/>
      <c r="F16" s="63"/>
      <c r="G16" s="63"/>
      <c r="H16" s="63"/>
      <c r="I16" s="63" t="b">
        <f>I15=Dart_BS!C16</f>
        <v>1</v>
      </c>
      <c r="J16" s="63"/>
      <c r="K16" s="63" t="b">
        <f>K15=BS!F40</f>
        <v>1</v>
      </c>
      <c r="L16" s="63"/>
      <c r="M16" s="63"/>
      <c r="N16" s="63"/>
      <c r="O16" s="63"/>
    </row>
    <row r="17" spans="4:15" ht="16.399999999999999" customHeight="1">
      <c r="E17" s="63"/>
      <c r="F17" s="63"/>
      <c r="G17" s="63"/>
      <c r="H17" s="63"/>
      <c r="I17" s="63"/>
      <c r="J17" s="63"/>
      <c r="K17" s="63"/>
      <c r="L17" s="63"/>
      <c r="M17" s="63"/>
      <c r="N17" s="63"/>
      <c r="O17" s="63"/>
    </row>
    <row r="18" spans="4:15">
      <c r="D18" s="62" t="s">
        <v>1523</v>
      </c>
      <c r="E18" s="62"/>
      <c r="F18" s="62"/>
      <c r="G18" s="62"/>
      <c r="H18" s="62"/>
      <c r="I18" s="63"/>
      <c r="J18" s="63"/>
      <c r="K18" s="63"/>
      <c r="L18" s="63"/>
      <c r="M18" s="63"/>
      <c r="N18" s="63"/>
    </row>
    <row r="19" spans="4:15">
      <c r="D19" s="64"/>
      <c r="E19" s="63"/>
      <c r="F19" s="63" t="s">
        <v>258</v>
      </c>
      <c r="G19" s="63"/>
      <c r="H19" s="63"/>
      <c r="I19" s="63"/>
      <c r="J19" s="63"/>
      <c r="K19" s="63"/>
      <c r="L19" s="63"/>
      <c r="M19" s="63"/>
      <c r="N19" s="63"/>
    </row>
    <row r="20" spans="4:15">
      <c r="D20" s="207" t="s">
        <v>259</v>
      </c>
      <c r="E20" s="208" t="str">
        <f>PL!H1</f>
        <v>당반기</v>
      </c>
      <c r="F20" s="209" t="s">
        <v>274</v>
      </c>
      <c r="G20" s="63"/>
      <c r="H20" s="63"/>
      <c r="I20" s="63"/>
      <c r="J20" s="63"/>
      <c r="K20" s="63"/>
      <c r="L20" s="63"/>
      <c r="M20" s="63"/>
      <c r="N20" s="63"/>
    </row>
    <row r="21" spans="4:15">
      <c r="D21" s="144" t="s">
        <v>399</v>
      </c>
      <c r="E21" s="68">
        <f>F25</f>
        <v>17348225181</v>
      </c>
      <c r="F21" s="145">
        <v>666578175</v>
      </c>
      <c r="G21" s="63"/>
      <c r="H21" s="63"/>
      <c r="I21" s="63"/>
      <c r="M21" s="63"/>
      <c r="N21" s="63"/>
    </row>
    <row r="22" spans="4:15">
      <c r="D22" s="144" t="s">
        <v>385</v>
      </c>
      <c r="E22" s="68">
        <v>8000000000</v>
      </c>
      <c r="F22" s="145">
        <v>17043129500</v>
      </c>
      <c r="G22" s="63"/>
      <c r="I22" s="63"/>
      <c r="J22" s="63"/>
      <c r="L22" s="63"/>
      <c r="M22" s="63"/>
      <c r="N22" s="63"/>
    </row>
    <row r="23" spans="4:15">
      <c r="D23" s="759" t="s">
        <v>1585</v>
      </c>
      <c r="E23" s="760">
        <v>0</v>
      </c>
      <c r="F23" s="761">
        <v>-361482494</v>
      </c>
      <c r="G23" s="63"/>
      <c r="I23" s="63"/>
      <c r="J23" s="63"/>
      <c r="L23" s="63"/>
      <c r="M23" s="63"/>
      <c r="N23" s="63"/>
    </row>
    <row r="24" spans="4:15">
      <c r="D24" s="144" t="s">
        <v>400</v>
      </c>
      <c r="E24" s="70"/>
      <c r="F24" s="145"/>
      <c r="G24" s="63"/>
      <c r="H24" s="63"/>
      <c r="I24" s="63"/>
      <c r="J24" s="63"/>
      <c r="L24" s="63"/>
      <c r="M24" s="63"/>
      <c r="N24" s="63"/>
    </row>
    <row r="25" spans="4:15">
      <c r="D25" s="198" t="s">
        <v>401</v>
      </c>
      <c r="E25" s="151">
        <f>SUM(E21:E24)</f>
        <v>25348225181</v>
      </c>
      <c r="F25" s="169">
        <f>SUM(F21:F24)</f>
        <v>17348225181</v>
      </c>
      <c r="G25" s="63"/>
      <c r="H25" s="63"/>
      <c r="I25" s="63"/>
      <c r="J25" s="63"/>
      <c r="K25" s="63"/>
      <c r="L25" s="63"/>
      <c r="M25" s="63"/>
      <c r="N25" s="63"/>
    </row>
    <row r="26" spans="4:15">
      <c r="D26" s="63"/>
      <c r="E26" s="63" t="b">
        <f>E25=BS!E40</f>
        <v>1</v>
      </c>
      <c r="F26" s="63" t="b">
        <f>F25=BS!F40</f>
        <v>1</v>
      </c>
      <c r="G26" s="63"/>
      <c r="H26" s="63"/>
      <c r="I26" s="63"/>
      <c r="J26" s="63"/>
      <c r="K26" s="63"/>
      <c r="L26" s="63"/>
      <c r="M26" s="63"/>
      <c r="N26" s="63"/>
    </row>
    <row r="27" spans="4:15">
      <c r="D27" s="1206"/>
      <c r="E27" s="1206"/>
      <c r="F27" s="1206"/>
      <c r="G27" s="63"/>
      <c r="H27" s="63"/>
      <c r="I27" s="63"/>
      <c r="J27" s="63"/>
      <c r="K27" s="63"/>
      <c r="L27" s="63"/>
      <c r="M27" s="63"/>
    </row>
    <row r="28" spans="4:15">
      <c r="D28" s="142" t="s">
        <v>1996</v>
      </c>
      <c r="E28" s="63"/>
      <c r="F28" s="63"/>
      <c r="G28" s="63"/>
      <c r="H28" s="63"/>
      <c r="I28" s="63"/>
      <c r="J28" s="63"/>
      <c r="K28" s="63"/>
      <c r="L28" s="63"/>
      <c r="M28" s="63"/>
    </row>
    <row r="29" spans="4:15">
      <c r="D29" s="200" t="s">
        <v>402</v>
      </c>
      <c r="E29" s="211" t="str">
        <f>'13'!E6</f>
        <v>당반기말</v>
      </c>
      <c r="F29" s="580"/>
      <c r="G29" s="581"/>
      <c r="H29" s="1078"/>
      <c r="I29" s="211" t="s">
        <v>238</v>
      </c>
      <c r="J29" s="211"/>
      <c r="K29" s="212"/>
      <c r="L29" s="212"/>
    </row>
    <row r="30" spans="4:15" ht="46.4" customHeight="1">
      <c r="D30" s="213" t="s">
        <v>403</v>
      </c>
      <c r="E30" s="578" t="s">
        <v>404</v>
      </c>
      <c r="F30" s="578" t="str">
        <f>E11</f>
        <v>ULTRA V SHANGHAI LIMITED</v>
      </c>
      <c r="G30" s="200" t="s">
        <v>1262</v>
      </c>
      <c r="H30" s="1079" t="s">
        <v>1994</v>
      </c>
      <c r="I30" s="578" t="s">
        <v>404</v>
      </c>
      <c r="J30" s="578" t="s">
        <v>397</v>
      </c>
      <c r="K30" s="578" t="s">
        <v>1803</v>
      </c>
      <c r="L30" s="578" t="s">
        <v>1993</v>
      </c>
      <c r="M30" s="63"/>
    </row>
    <row r="31" spans="4:15">
      <c r="D31" s="197" t="s">
        <v>285</v>
      </c>
      <c r="E31" s="127">
        <v>2042118015</v>
      </c>
      <c r="F31" s="127">
        <v>2287111</v>
      </c>
      <c r="G31" s="127">
        <v>22492142</v>
      </c>
      <c r="H31" s="127">
        <v>2658778533</v>
      </c>
      <c r="I31" s="127">
        <v>1820473012</v>
      </c>
      <c r="J31" s="127">
        <v>36935061</v>
      </c>
      <c r="K31" s="127">
        <v>29436868</v>
      </c>
      <c r="L31" s="127">
        <v>16611573134</v>
      </c>
      <c r="M31" s="63"/>
    </row>
    <row r="32" spans="4:15">
      <c r="D32" s="197" t="s">
        <v>287</v>
      </c>
      <c r="E32" s="127">
        <v>225947074</v>
      </c>
      <c r="F32" s="127" t="s">
        <v>298</v>
      </c>
      <c r="G32" s="127" t="s">
        <v>298</v>
      </c>
      <c r="H32" s="127">
        <v>8080134954</v>
      </c>
      <c r="I32" s="127">
        <v>213850619</v>
      </c>
      <c r="J32" s="127">
        <v>0</v>
      </c>
      <c r="K32" s="127">
        <v>0</v>
      </c>
      <c r="L32" s="127">
        <v>9285791822</v>
      </c>
      <c r="M32" s="63"/>
    </row>
    <row r="33" spans="4:13">
      <c r="D33" s="197" t="s">
        <v>348</v>
      </c>
      <c r="E33" s="127">
        <f t="shared" ref="E33:L33" si="0">SUM(E31:E32)</f>
        <v>2268065089</v>
      </c>
      <c r="F33" s="127">
        <f t="shared" si="0"/>
        <v>2287111</v>
      </c>
      <c r="G33" s="127">
        <f t="shared" si="0"/>
        <v>22492142</v>
      </c>
      <c r="H33" s="127">
        <f>SUM(H31:H32)</f>
        <v>10738913487</v>
      </c>
      <c r="I33" s="127">
        <f t="shared" si="0"/>
        <v>2034323631</v>
      </c>
      <c r="J33" s="127">
        <f t="shared" si="0"/>
        <v>36935061</v>
      </c>
      <c r="K33" s="127">
        <f t="shared" si="0"/>
        <v>29436868</v>
      </c>
      <c r="L33" s="127">
        <f t="shared" si="0"/>
        <v>25897364956</v>
      </c>
      <c r="M33" s="63"/>
    </row>
    <row r="34" spans="4:13">
      <c r="D34" s="197" t="s">
        <v>289</v>
      </c>
      <c r="E34" s="127">
        <v>516057216</v>
      </c>
      <c r="F34" s="127">
        <v>0</v>
      </c>
      <c r="G34" s="127">
        <v>0</v>
      </c>
      <c r="H34" s="127">
        <v>9388591014</v>
      </c>
      <c r="I34" s="127">
        <v>426492174</v>
      </c>
      <c r="J34" s="127">
        <v>51245848</v>
      </c>
      <c r="K34" s="127">
        <v>0</v>
      </c>
      <c r="L34" s="127">
        <v>18807114644</v>
      </c>
      <c r="M34" s="63"/>
    </row>
    <row r="35" spans="4:13">
      <c r="D35" s="197" t="s">
        <v>291</v>
      </c>
      <c r="E35" s="127">
        <v>0</v>
      </c>
      <c r="F35" s="127">
        <v>0</v>
      </c>
      <c r="G35" s="127">
        <v>0</v>
      </c>
      <c r="H35" s="127">
        <v>1113355079</v>
      </c>
      <c r="I35" s="127">
        <v>0</v>
      </c>
      <c r="J35" s="127">
        <v>0</v>
      </c>
      <c r="K35" s="127">
        <v>0</v>
      </c>
      <c r="L35" s="127">
        <v>1388796709</v>
      </c>
      <c r="M35" s="63"/>
    </row>
    <row r="36" spans="4:13">
      <c r="D36" s="197" t="s">
        <v>349</v>
      </c>
      <c r="E36" s="127">
        <f t="shared" ref="E36:L36" si="1">SUM(E34:E35)</f>
        <v>516057216</v>
      </c>
      <c r="F36" s="127">
        <f t="shared" si="1"/>
        <v>0</v>
      </c>
      <c r="G36" s="127">
        <f t="shared" si="1"/>
        <v>0</v>
      </c>
      <c r="H36" s="127">
        <f t="shared" ref="H36" si="2">SUM(H34:H35)</f>
        <v>10501946093</v>
      </c>
      <c r="I36" s="127">
        <f t="shared" si="1"/>
        <v>426492174</v>
      </c>
      <c r="J36" s="127">
        <f t="shared" si="1"/>
        <v>51245848</v>
      </c>
      <c r="K36" s="127">
        <f t="shared" si="1"/>
        <v>0</v>
      </c>
      <c r="L36" s="127">
        <f t="shared" si="1"/>
        <v>20195911353</v>
      </c>
      <c r="M36" s="63"/>
    </row>
    <row r="37" spans="4:13">
      <c r="D37" s="197" t="s">
        <v>121</v>
      </c>
      <c r="E37" s="127">
        <f t="shared" ref="E37:L37" si="3">E33-E36</f>
        <v>1752007873</v>
      </c>
      <c r="F37" s="127">
        <f t="shared" si="3"/>
        <v>2287111</v>
      </c>
      <c r="G37" s="127">
        <f t="shared" si="3"/>
        <v>22492142</v>
      </c>
      <c r="H37" s="127">
        <f t="shared" ref="H37" si="4">H33-H36</f>
        <v>236967394</v>
      </c>
      <c r="I37" s="127">
        <f t="shared" si="3"/>
        <v>1607831457</v>
      </c>
      <c r="J37" s="127">
        <f t="shared" si="3"/>
        <v>-14310787</v>
      </c>
      <c r="K37" s="127">
        <f t="shared" si="3"/>
        <v>29436868</v>
      </c>
      <c r="L37" s="127">
        <f t="shared" si="3"/>
        <v>5701453603</v>
      </c>
      <c r="M37" s="63"/>
    </row>
    <row r="38" spans="4:13">
      <c r="D38" s="202" t="s">
        <v>151</v>
      </c>
      <c r="E38" s="127">
        <f t="shared" ref="E38:F38" si="5">SUM(E36:E37)</f>
        <v>2268065089</v>
      </c>
      <c r="F38" s="127">
        <f t="shared" si="5"/>
        <v>2287111</v>
      </c>
      <c r="G38" s="127">
        <f t="shared" ref="G38:L38" si="6">SUM(G36:G37)</f>
        <v>22492142</v>
      </c>
      <c r="H38" s="127">
        <f t="shared" ref="H38" si="7">SUM(H36:H37)</f>
        <v>10738913487</v>
      </c>
      <c r="I38" s="127">
        <f t="shared" si="6"/>
        <v>2034323631</v>
      </c>
      <c r="J38" s="127">
        <f t="shared" si="6"/>
        <v>36935061</v>
      </c>
      <c r="K38" s="127">
        <f t="shared" si="6"/>
        <v>29436868</v>
      </c>
      <c r="L38" s="127">
        <f t="shared" si="6"/>
        <v>25897364956</v>
      </c>
      <c r="M38" s="63"/>
    </row>
    <row r="39" spans="4:13">
      <c r="D39" s="199"/>
      <c r="E39" s="63"/>
      <c r="F39" s="63"/>
      <c r="G39" s="63"/>
      <c r="H39" s="63"/>
      <c r="I39" s="63"/>
      <c r="J39" s="63"/>
      <c r="K39" s="63"/>
    </row>
    <row r="40" spans="4:13">
      <c r="D40" s="142" t="s">
        <v>2390</v>
      </c>
      <c r="E40" s="63"/>
      <c r="F40" s="63"/>
      <c r="G40" s="63"/>
      <c r="H40" s="63"/>
      <c r="I40" s="63"/>
      <c r="J40" s="63"/>
      <c r="K40" s="63"/>
      <c r="L40" s="63"/>
      <c r="M40" s="63"/>
    </row>
    <row r="41" spans="4:13">
      <c r="D41" s="64"/>
      <c r="E41" s="63"/>
      <c r="F41" s="63"/>
      <c r="G41" s="63"/>
      <c r="H41" s="63"/>
    </row>
    <row r="42" spans="4:13">
      <c r="D42" s="200" t="s">
        <v>402</v>
      </c>
      <c r="E42" s="212" t="str">
        <f>E20</f>
        <v>당반기</v>
      </c>
      <c r="F42" s="580"/>
      <c r="G42" s="581"/>
      <c r="H42" s="1156"/>
      <c r="I42" s="1203" t="s">
        <v>2386</v>
      </c>
      <c r="J42" s="1204"/>
      <c r="K42" s="1205"/>
    </row>
    <row r="43" spans="4:13" s="579" customFormat="1" ht="45">
      <c r="D43" s="200" t="s">
        <v>403</v>
      </c>
      <c r="E43" s="200" t="s">
        <v>404</v>
      </c>
      <c r="F43" s="200" t="str">
        <f>F30</f>
        <v>ULTRA V SHANGHAI LIMITED</v>
      </c>
      <c r="G43" s="200" t="s">
        <v>1262</v>
      </c>
      <c r="H43" s="1079" t="s">
        <v>1994</v>
      </c>
      <c r="I43" s="200" t="s">
        <v>2387</v>
      </c>
      <c r="J43" s="200" t="s">
        <v>2388</v>
      </c>
      <c r="K43" s="200" t="s">
        <v>2389</v>
      </c>
    </row>
    <row r="44" spans="4:13">
      <c r="D44" s="197" t="s">
        <v>87</v>
      </c>
      <c r="E44" s="139">
        <v>421166730</v>
      </c>
      <c r="F44" s="139" t="s">
        <v>298</v>
      </c>
      <c r="G44" s="139" t="s">
        <v>298</v>
      </c>
      <c r="H44" s="139" t="s">
        <v>298</v>
      </c>
      <c r="I44" s="139">
        <v>809233439</v>
      </c>
      <c r="J44" s="127">
        <v>0</v>
      </c>
      <c r="K44" s="127">
        <v>0</v>
      </c>
    </row>
    <row r="45" spans="4:13">
      <c r="D45" s="197" t="s">
        <v>1874</v>
      </c>
      <c r="E45" s="139">
        <v>35707119</v>
      </c>
      <c r="F45" s="139">
        <v>-6059736</v>
      </c>
      <c r="G45" s="139">
        <v>-8708317</v>
      </c>
      <c r="H45" s="139" t="s">
        <v>298</v>
      </c>
      <c r="I45" s="139">
        <v>14710121</v>
      </c>
      <c r="J45" s="139">
        <v>-10779749</v>
      </c>
      <c r="K45" s="139">
        <v>-7599136</v>
      </c>
    </row>
    <row r="46" spans="4:13">
      <c r="D46" s="197" t="s">
        <v>1875</v>
      </c>
      <c r="E46" s="139">
        <v>34943700</v>
      </c>
      <c r="F46" s="139">
        <v>-6286582</v>
      </c>
      <c r="G46" s="139">
        <v>-8663286</v>
      </c>
      <c r="H46" s="139" t="s">
        <v>298</v>
      </c>
      <c r="I46" s="139">
        <v>11312683</v>
      </c>
      <c r="J46" s="139">
        <v>-10754948</v>
      </c>
      <c r="K46" s="139">
        <v>-8108570</v>
      </c>
    </row>
    <row r="47" spans="4:13">
      <c r="D47" s="197" t="s">
        <v>1876</v>
      </c>
      <c r="E47" s="139">
        <v>105167984</v>
      </c>
      <c r="F47" s="139">
        <v>-7471488</v>
      </c>
      <c r="G47" s="139">
        <v>-7145867</v>
      </c>
      <c r="H47" s="139" t="s">
        <v>298</v>
      </c>
      <c r="I47" s="139">
        <v>-113463405</v>
      </c>
      <c r="J47" s="139">
        <v>-9115064</v>
      </c>
      <c r="K47" s="139">
        <v>-8433339</v>
      </c>
    </row>
    <row r="48" spans="4:13">
      <c r="D48" s="63"/>
      <c r="E48" s="63"/>
      <c r="F48" s="63"/>
      <c r="G48" s="63"/>
      <c r="H48" s="63"/>
      <c r="I48" s="63"/>
      <c r="J48" s="63"/>
      <c r="K48" s="63"/>
    </row>
  </sheetData>
  <mergeCells count="8">
    <mergeCell ref="D27:F27"/>
    <mergeCell ref="G7:G8"/>
    <mergeCell ref="F7:F8"/>
    <mergeCell ref="D7:D8"/>
    <mergeCell ref="D15:G15"/>
    <mergeCell ref="D9:D12"/>
    <mergeCell ref="E7:E8"/>
    <mergeCell ref="D13:D14"/>
  </mergeCells>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8" operator="containsText" id="{73C8FA43-214E-4143-BEEA-071C26D8FFEE}">
            <xm:f>NOT(ISERROR(SEARCH("FALSE",A1)))</xm:f>
            <xm:f>"FALSE"</xm:f>
            <x14:dxf>
              <fill>
                <patternFill>
                  <bgColor theme="5"/>
                </patternFill>
              </fill>
            </x14:dxf>
          </x14:cfRule>
          <xm:sqref>A1:XFD5 E6:XFD7 A6:C8 D7 H8:XFD8 A9:XFD9 E10:XFD11 A10:C12 E12:H12 I12:XFD13 A13:H13 A14:C14 E14:XFD14 A15:D15 H15:XFD15 A16:XFD20 A21:I21 M21:XFD21 A22:G23 I22:J23 L22:XFD24 A24:J24 A48:XFD50 F49:T1048576 A51:E1048576 U51:XFD1048576</xm:sqref>
        </x14:conditionalFormatting>
        <x14:conditionalFormatting xmlns:xm="http://schemas.microsoft.com/office/excel/2006/main">
          <x14:cfRule type="containsText" priority="7" operator="containsText" id="{37BC2E82-52E3-4C8C-820D-B66A276917C9}">
            <xm:f>NOT(ISERROR(SEARCH("TRUE",A1)))</xm:f>
            <xm:f>"TRUE"</xm:f>
            <x14:dxf>
              <fill>
                <patternFill>
                  <bgColor theme="9" tint="0.79998168889431442"/>
                </patternFill>
              </fill>
            </x14:dxf>
          </x14:cfRule>
          <xm:sqref>A1:XFD5 E6:XFD7 A6:C8 D7 H8:XFD8 A9:XFD9 E10:XFD11 A10:C12 E12:H12 I12:XFD13 A13:H13 A14:C14 E14:XFD14 A15:D15 H15:XFD15 A16:XFD20 A21:I21 M21:XFD21 A22:G23 I22:J23 L22:XFD24 A24:J24 F49:T1048576 A51:E1048576 U51:XFD1048576</xm:sqref>
        </x14:conditionalFormatting>
        <x14:conditionalFormatting xmlns:xm="http://schemas.microsoft.com/office/excel/2006/main">
          <x14:cfRule type="containsText" priority="2" operator="containsText" id="{C7658614-3AA7-4EB3-B24F-EDF69870E8A9}">
            <xm:f>NOT(ISERROR(SEARCH("FALSE",A25)))</xm:f>
            <xm:f>"FALSE"</xm:f>
            <x14:dxf>
              <fill>
                <patternFill>
                  <bgColor theme="5"/>
                </patternFill>
              </fill>
            </x14:dxf>
          </x14:cfRule>
          <xm:sqref>A25:XFD47</xm:sqref>
        </x14:conditionalFormatting>
        <x14:conditionalFormatting xmlns:xm="http://schemas.microsoft.com/office/excel/2006/main">
          <x14:cfRule type="containsText" priority="1" operator="containsText" id="{A90266CB-14D9-48D3-85FB-7E8FD077546C}">
            <xm:f>NOT(ISERROR(SEARCH("TRUE",A25)))</xm:f>
            <xm:f>"TRUE"</xm:f>
            <x14:dxf>
              <fill>
                <patternFill>
                  <bgColor theme="9" tint="0.79998168889431442"/>
                </patternFill>
              </fill>
            </x14:dxf>
          </x14:cfRule>
          <xm:sqref>A25:XFD50</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B2:F13"/>
  <sheetViews>
    <sheetView showGridLines="0" topLeftCell="A7" zoomScale="85" zoomScaleNormal="85" workbookViewId="0">
      <selection activeCell="E7" sqref="E7:E11"/>
    </sheetView>
  </sheetViews>
  <sheetFormatPr defaultColWidth="8.5703125" defaultRowHeight="15"/>
  <cols>
    <col min="1" max="2" width="1.85546875" style="55" customWidth="1"/>
    <col min="3" max="3" width="1.5" style="55" customWidth="1"/>
    <col min="4" max="4" width="26.0703125" style="55" customWidth="1"/>
    <col min="5" max="5" width="20.35546875" style="55" customWidth="1"/>
    <col min="6" max="6" width="18.35546875" style="55" customWidth="1"/>
    <col min="7" max="8" width="12.5703125" style="55" bestFit="1" customWidth="1"/>
    <col min="9" max="9" width="13.5703125" style="55" bestFit="1" customWidth="1"/>
    <col min="10" max="10" width="12.5703125" style="55" bestFit="1" customWidth="1"/>
    <col min="11" max="11" width="9.5703125" style="55" bestFit="1" customWidth="1"/>
    <col min="12" max="12" width="12.5703125" style="55" bestFit="1" customWidth="1"/>
    <col min="13" max="13" width="8.5703125" style="55" bestFit="1" customWidth="1"/>
    <col min="14" max="14" width="8.5703125" style="55"/>
    <col min="15" max="15" width="12.5703125" style="55" bestFit="1" customWidth="1"/>
    <col min="16" max="16384" width="8.5703125" style="55"/>
  </cols>
  <sheetData>
    <row r="2" spans="2:6">
      <c r="B2" s="54" t="s">
        <v>1562</v>
      </c>
    </row>
    <row r="4" spans="2:6">
      <c r="D4" s="55" t="s">
        <v>1033</v>
      </c>
    </row>
    <row r="5" spans="2:6">
      <c r="D5" s="210"/>
      <c r="E5" s="214"/>
      <c r="F5" s="215" t="s">
        <v>267</v>
      </c>
    </row>
    <row r="6" spans="2:6">
      <c r="D6" s="213" t="s">
        <v>237</v>
      </c>
      <c r="E6" s="213" t="str">
        <f>'14'!E6</f>
        <v>당반기말</v>
      </c>
      <c r="F6" s="213" t="str">
        <f>'14'!H6</f>
        <v>전기말</v>
      </c>
    </row>
    <row r="7" spans="2:6">
      <c r="D7" s="203" t="s">
        <v>96</v>
      </c>
      <c r="E7" s="204">
        <f>BS!E72</f>
        <v>299203820</v>
      </c>
      <c r="F7" s="205">
        <f>BS!F72</f>
        <v>545684916</v>
      </c>
    </row>
    <row r="8" spans="2:6">
      <c r="D8" s="203" t="s">
        <v>6</v>
      </c>
      <c r="E8" s="204">
        <f>BS!E73</f>
        <v>207639910</v>
      </c>
      <c r="F8" s="205">
        <f>BS!F73</f>
        <v>293009113</v>
      </c>
    </row>
    <row r="9" spans="2:6">
      <c r="D9" s="203" t="s">
        <v>97</v>
      </c>
      <c r="E9" s="204">
        <f>BS!E75</f>
        <v>2552781060</v>
      </c>
      <c r="F9" s="205">
        <f>BS!F75</f>
        <v>746061838</v>
      </c>
    </row>
    <row r="10" spans="2:6">
      <c r="D10" s="203" t="s">
        <v>507</v>
      </c>
      <c r="E10" s="204">
        <f>BS!E74</f>
        <v>85200680</v>
      </c>
      <c r="F10" s="205">
        <f>BS!F74</f>
        <v>0</v>
      </c>
    </row>
    <row r="11" spans="2:6">
      <c r="D11" s="203" t="s">
        <v>268</v>
      </c>
      <c r="E11" s="204">
        <f>SUM(E7:E10)</f>
        <v>3144825470</v>
      </c>
      <c r="F11" s="205">
        <f>SUM(F7:F10)</f>
        <v>1584755867</v>
      </c>
    </row>
    <row r="12" spans="2:6">
      <c r="D12" s="214"/>
      <c r="E12" s="214" t="b">
        <f>E11=BS!E71</f>
        <v>1</v>
      </c>
      <c r="F12" s="214" t="b">
        <f>F11=BS!F71</f>
        <v>1</v>
      </c>
    </row>
    <row r="13" spans="2:6">
      <c r="E13" s="55" t="b">
        <f>E11=Dart_BS!C23</f>
        <v>1</v>
      </c>
      <c r="F13" s="55" t="b">
        <f>F11=Dart_BS!D23</f>
        <v>1</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7956FC1-D65E-42CD-A036-EC26A725C5F4}">
            <xm:f>NOT(ISERROR(SEARCH("TRUE",A1)))</xm:f>
            <xm:f>"TRUE"</xm:f>
            <x14:dxf>
              <fill>
                <patternFill>
                  <bgColor theme="9" tint="0.79998168889431442"/>
                </patternFill>
              </fill>
            </x14:dxf>
          </x14:cfRule>
          <x14:cfRule type="containsText" priority="2" operator="containsText" id="{DCC55F3B-032A-44FE-AF22-E49BFE655C39}">
            <xm:f>NOT(ISERROR(SEARCH("FALSE",A1)))</xm:f>
            <xm:f>"FALSE"</xm:f>
            <x14:dxf>
              <fill>
                <patternFill>
                  <bgColor theme="5"/>
                </patternFill>
              </fill>
            </x14:dxf>
          </x14:cfRule>
          <xm:sqref>A1:XFD1048576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B2:H13"/>
  <sheetViews>
    <sheetView showGridLines="0" zoomScale="85" zoomScaleNormal="85" workbookViewId="0">
      <selection activeCell="E8" sqref="E8:F11"/>
    </sheetView>
  </sheetViews>
  <sheetFormatPr defaultColWidth="8.5703125" defaultRowHeight="15"/>
  <cols>
    <col min="1" max="2" width="1.85546875" style="55" customWidth="1"/>
    <col min="3" max="3" width="1.5" style="55" customWidth="1"/>
    <col min="4" max="4" width="26.0703125" style="55" customWidth="1"/>
    <col min="5" max="6" width="20.35546875" style="55" customWidth="1"/>
    <col min="7" max="7" width="18.35546875" style="55" customWidth="1"/>
    <col min="8" max="8" width="20.0703125" style="55" customWidth="1"/>
    <col min="9" max="9" width="12.5703125" style="55" bestFit="1" customWidth="1"/>
    <col min="10" max="10" width="13.5703125" style="55" bestFit="1" customWidth="1"/>
    <col min="11" max="11" width="12.5703125" style="55" bestFit="1" customWidth="1"/>
    <col min="12" max="12" width="9.5703125" style="55" bestFit="1" customWidth="1"/>
    <col min="13" max="13" width="12.5703125" style="55" bestFit="1" customWidth="1"/>
    <col min="14" max="14" width="8.5703125" style="55" bestFit="1" customWidth="1"/>
    <col min="15" max="15" width="8.5703125" style="55"/>
    <col min="16" max="16" width="12.5703125" style="55" bestFit="1" customWidth="1"/>
    <col min="17" max="16384" width="8.5703125" style="55"/>
  </cols>
  <sheetData>
    <row r="2" spans="2:8">
      <c r="B2" s="54" t="s">
        <v>1563</v>
      </c>
    </row>
    <row r="4" spans="2:8">
      <c r="D4" s="55" t="s">
        <v>1547</v>
      </c>
    </row>
    <row r="5" spans="2:8">
      <c r="D5" s="210"/>
      <c r="E5" s="214"/>
      <c r="F5" s="214"/>
      <c r="G5" s="215"/>
      <c r="H5" s="215"/>
    </row>
    <row r="6" spans="2:8">
      <c r="D6" s="1280" t="s">
        <v>237</v>
      </c>
      <c r="E6" s="734" t="str">
        <f>'14'!E6</f>
        <v>당반기말</v>
      </c>
      <c r="F6" s="734"/>
      <c r="G6" s="734" t="str">
        <f>'14'!H6</f>
        <v>전기말</v>
      </c>
      <c r="H6" s="734"/>
    </row>
    <row r="7" spans="2:8">
      <c r="D7" s="1280"/>
      <c r="E7" s="213" t="s">
        <v>1548</v>
      </c>
      <c r="F7" s="213" t="s">
        <v>1549</v>
      </c>
      <c r="G7" s="213" t="s">
        <v>1454</v>
      </c>
      <c r="H7" s="213" t="s">
        <v>1455</v>
      </c>
    </row>
    <row r="8" spans="2:8">
      <c r="D8" s="65" t="s">
        <v>7</v>
      </c>
      <c r="E8" s="735">
        <f>BS!E80</f>
        <v>2215528322</v>
      </c>
      <c r="F8" s="306">
        <v>0</v>
      </c>
      <c r="G8" s="736">
        <f>BS!F80</f>
        <v>2443300145</v>
      </c>
      <c r="H8" s="736">
        <v>0</v>
      </c>
    </row>
    <row r="9" spans="2:8">
      <c r="D9" s="67" t="s">
        <v>497</v>
      </c>
      <c r="E9" s="68">
        <f>BS!E81</f>
        <v>9395003</v>
      </c>
      <c r="F9" s="575">
        <v>0</v>
      </c>
      <c r="G9" s="216">
        <f>BS!F81</f>
        <v>17343122</v>
      </c>
      <c r="H9" s="216">
        <v>0</v>
      </c>
    </row>
    <row r="10" spans="2:8">
      <c r="D10" s="553" t="s">
        <v>1294</v>
      </c>
      <c r="E10" s="552">
        <v>0</v>
      </c>
      <c r="F10" s="575">
        <f>BS!E84</f>
        <v>205709924</v>
      </c>
      <c r="G10" s="737"/>
      <c r="H10" s="216">
        <f>BS!F84</f>
        <v>173088026</v>
      </c>
    </row>
    <row r="11" spans="2:8">
      <c r="D11" s="71" t="s">
        <v>256</v>
      </c>
      <c r="E11" s="72">
        <f>SUM(E8:E10)</f>
        <v>2224923325</v>
      </c>
      <c r="F11" s="72">
        <f>SUM(F8:F10)</f>
        <v>205709924</v>
      </c>
      <c r="G11" s="72">
        <f>SUM(G8:G10)</f>
        <v>2460643267</v>
      </c>
      <c r="H11" s="72">
        <f>SUM(H8:H10)</f>
        <v>173088026</v>
      </c>
    </row>
    <row r="12" spans="2:8">
      <c r="D12" s="63"/>
      <c r="E12" s="63" t="b">
        <f>E11=BS!E79</f>
        <v>1</v>
      </c>
      <c r="F12" s="63" t="b">
        <f>F11=Dart_BS!C32</f>
        <v>1</v>
      </c>
      <c r="G12" s="63" t="b">
        <f>G11=BS!F79</f>
        <v>1</v>
      </c>
      <c r="H12" s="63" t="b">
        <f>H11=Dart_BS!D32</f>
        <v>1</v>
      </c>
    </row>
    <row r="13" spans="2:8">
      <c r="E13" s="55" t="b">
        <f>E11=Dart_BS!C27</f>
        <v>1</v>
      </c>
      <c r="G13" s="55" t="b">
        <f>G11=Dart_BS!D27</f>
        <v>1</v>
      </c>
    </row>
  </sheetData>
  <mergeCells count="1">
    <mergeCell ref="D6:D7"/>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9D70A18-57B2-40BC-AE3A-6049A919F7E1}">
            <xm:f>NOT(ISERROR(SEARCH("TRUE",A1)))</xm:f>
            <xm:f>"TRUE"</xm:f>
            <x14:dxf>
              <fill>
                <patternFill>
                  <bgColor theme="9" tint="0.79998168889431442"/>
                </patternFill>
              </fill>
            </x14:dxf>
          </x14:cfRule>
          <x14:cfRule type="containsText" priority="2" operator="containsText" id="{0C83D9A7-C6A1-4A01-BDC7-35BCAF0E64E5}">
            <xm:f>NOT(ISERROR(SEARCH("FALSE",A1)))</xm:f>
            <xm:f>"FALSE"</xm:f>
            <x14:dxf>
              <fill>
                <patternFill>
                  <bgColor theme="5"/>
                </patternFill>
              </fill>
            </x14:dxf>
          </x14:cfRule>
          <xm:sqref>A1:XFD6 A7:C7 E7:XFD7 A8:XFD1048576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B2:G11"/>
  <sheetViews>
    <sheetView showGridLines="0" zoomScale="85" zoomScaleNormal="85" workbookViewId="0">
      <selection activeCell="E7" sqref="E7:F7"/>
    </sheetView>
  </sheetViews>
  <sheetFormatPr defaultColWidth="8.5703125" defaultRowHeight="15"/>
  <cols>
    <col min="1" max="2" width="1.85546875" style="55" customWidth="1"/>
    <col min="3" max="3" width="1.5" style="55" customWidth="1"/>
    <col min="4" max="4" width="26.0703125" style="55" customWidth="1"/>
    <col min="5" max="5" width="20.35546875" style="55" customWidth="1"/>
    <col min="6" max="6" width="18.35546875" style="55" customWidth="1"/>
    <col min="7" max="8" width="12.5703125" style="55" bestFit="1" customWidth="1"/>
    <col min="9" max="9" width="13.5703125" style="55" bestFit="1" customWidth="1"/>
    <col min="10" max="10" width="12.5703125" style="55" bestFit="1" customWidth="1"/>
    <col min="11" max="11" width="9.5703125" style="55" bestFit="1" customWidth="1"/>
    <col min="12" max="12" width="12.5703125" style="55" bestFit="1" customWidth="1"/>
    <col min="13" max="13" width="8.5703125" style="55" bestFit="1" customWidth="1"/>
    <col min="14" max="14" width="8.5703125" style="55"/>
    <col min="15" max="15" width="12.5703125" style="55" bestFit="1" customWidth="1"/>
    <col min="16" max="16384" width="8.5703125" style="55"/>
  </cols>
  <sheetData>
    <row r="2" spans="2:7">
      <c r="B2" s="54" t="s">
        <v>1564</v>
      </c>
    </row>
    <row r="4" spans="2:7">
      <c r="D4" s="55" t="s">
        <v>1034</v>
      </c>
    </row>
    <row r="5" spans="2:7">
      <c r="D5" s="210"/>
      <c r="E5" s="214"/>
      <c r="F5" s="215" t="s">
        <v>267</v>
      </c>
    </row>
    <row r="6" spans="2:7">
      <c r="D6" s="213" t="s">
        <v>237</v>
      </c>
      <c r="E6" s="213" t="str">
        <f>'14'!E6</f>
        <v>당반기말</v>
      </c>
      <c r="F6" s="213" t="str">
        <f>'14'!H6</f>
        <v>전기말</v>
      </c>
    </row>
    <row r="7" spans="2:7">
      <c r="D7" s="67" t="s">
        <v>508</v>
      </c>
      <c r="E7" s="68">
        <f>'17'!E9</f>
        <v>9395003</v>
      </c>
      <c r="F7" s="68">
        <f>'17'!G9</f>
        <v>17343122</v>
      </c>
      <c r="G7" s="63"/>
    </row>
    <row r="8" spans="2:7">
      <c r="D8" s="63"/>
      <c r="E8" s="63" t="b">
        <f>E7=BS!E81</f>
        <v>1</v>
      </c>
      <c r="F8" s="63" t="b">
        <f>F7=BS!F81</f>
        <v>1</v>
      </c>
    </row>
    <row r="10" spans="2:7">
      <c r="D10" s="55" t="s">
        <v>1035</v>
      </c>
    </row>
    <row r="11" spans="2:7">
      <c r="D11" s="55" t="s">
        <v>1036</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C28E5FF1-7EBC-4A87-8F00-3888F7D5A7D3}">
            <xm:f>NOT(ISERROR(SEARCH("TRUE",A1)))</xm:f>
            <xm:f>"TRUE"</xm:f>
            <x14:dxf>
              <fill>
                <patternFill>
                  <bgColor theme="9" tint="0.79998168889431442"/>
                </patternFill>
              </fill>
            </x14:dxf>
          </x14:cfRule>
          <x14:cfRule type="containsText" priority="2" operator="containsText" id="{1CB49DE2-A58F-435E-90FB-D92FEC8E34FB}">
            <xm:f>NOT(ISERROR(SEARCH("FALSE",A1)))</xm:f>
            <xm:f>"FALSE"</xm:f>
            <x14:dxf>
              <fill>
                <patternFill>
                  <bgColor theme="5"/>
                </patternFill>
              </fill>
            </x14:dxf>
          </x14:cfRule>
          <xm:sqref>A1:XFD1048576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B2:N25"/>
  <sheetViews>
    <sheetView showGridLines="0" zoomScaleNormal="100" workbookViewId="0">
      <selection activeCell="E20" sqref="E20:E23"/>
    </sheetView>
  </sheetViews>
  <sheetFormatPr defaultColWidth="8.5703125" defaultRowHeight="15"/>
  <cols>
    <col min="1" max="2" width="1.85546875" style="55" customWidth="1"/>
    <col min="3" max="3" width="1.5" style="55" customWidth="1"/>
    <col min="4" max="4" width="26.0703125" style="55" customWidth="1"/>
    <col min="5" max="5" width="28.0703125" style="55" customWidth="1"/>
    <col min="6" max="6" width="11.85546875" style="55" bestFit="1" customWidth="1"/>
    <col min="7" max="8" width="12.5703125" style="55" bestFit="1" customWidth="1"/>
    <col min="9" max="9" width="13.5703125" style="55" bestFit="1" customWidth="1"/>
    <col min="10" max="10" width="12.5703125" style="55" bestFit="1" customWidth="1"/>
    <col min="11" max="11" width="9.5703125" style="55" bestFit="1" customWidth="1"/>
    <col min="12" max="12" width="12.5703125" style="55" bestFit="1" customWidth="1"/>
    <col min="13" max="13" width="8.5703125" style="55" bestFit="1" customWidth="1"/>
    <col min="14" max="14" width="10" style="55" bestFit="1" customWidth="1"/>
    <col min="15" max="15" width="12.5703125" style="55" bestFit="1" customWidth="1"/>
    <col min="16" max="16384" width="8.5703125" style="55"/>
  </cols>
  <sheetData>
    <row r="2" spans="2:14">
      <c r="B2" s="54" t="s">
        <v>1565</v>
      </c>
    </row>
    <row r="4" spans="2:14">
      <c r="D4" s="55" t="s">
        <v>1037</v>
      </c>
    </row>
    <row r="5" spans="2:14">
      <c r="N5" s="786">
        <v>46203</v>
      </c>
    </row>
    <row r="6" spans="2:14">
      <c r="D6" s="200" t="s">
        <v>506</v>
      </c>
      <c r="E6" s="200" t="s">
        <v>509</v>
      </c>
      <c r="F6" s="200" t="s">
        <v>510</v>
      </c>
      <c r="G6" s="220" t="s">
        <v>511</v>
      </c>
      <c r="H6" s="220" t="str">
        <f>'18'!E6</f>
        <v>당반기말</v>
      </c>
      <c r="I6" s="220" t="str">
        <f>'18'!F6</f>
        <v>전기말</v>
      </c>
      <c r="J6" s="115"/>
      <c r="K6" s="115"/>
      <c r="L6" s="777" t="s">
        <v>1647</v>
      </c>
      <c r="M6" s="777" t="s">
        <v>1648</v>
      </c>
    </row>
    <row r="7" spans="2:14">
      <c r="D7" s="76" t="s">
        <v>512</v>
      </c>
      <c r="E7" s="76" t="s">
        <v>514</v>
      </c>
      <c r="F7" s="569">
        <v>3.916E-2</v>
      </c>
      <c r="G7" s="217">
        <v>46288</v>
      </c>
      <c r="H7" s="122">
        <v>400000000</v>
      </c>
      <c r="I7" s="218">
        <v>400000000</v>
      </c>
      <c r="J7" s="63"/>
      <c r="K7" s="63"/>
      <c r="L7" s="55" t="s">
        <v>1644</v>
      </c>
      <c r="M7" s="55" t="s">
        <v>1643</v>
      </c>
      <c r="N7" s="787">
        <f>(G7-$N$5)/365</f>
        <v>0.23287671232876711</v>
      </c>
    </row>
    <row r="8" spans="2:14">
      <c r="D8" s="76" t="s">
        <v>512</v>
      </c>
      <c r="E8" s="76" t="s">
        <v>514</v>
      </c>
      <c r="F8" s="569">
        <v>3.8870000000000002E-2</v>
      </c>
      <c r="G8" s="217">
        <v>46430</v>
      </c>
      <c r="H8" s="122">
        <v>720000000</v>
      </c>
      <c r="I8" s="218">
        <v>720000000</v>
      </c>
      <c r="J8" s="63"/>
      <c r="K8" s="63"/>
      <c r="L8" s="55" t="s">
        <v>1644</v>
      </c>
      <c r="M8" s="55" t="s">
        <v>1643</v>
      </c>
      <c r="N8" s="1049">
        <f>(G8-$N$5)/365</f>
        <v>0.62191780821917808</v>
      </c>
    </row>
    <row r="9" spans="2:14">
      <c r="D9" s="221" t="s">
        <v>1038</v>
      </c>
      <c r="E9" s="222"/>
      <c r="F9" s="1119"/>
      <c r="G9" s="222"/>
      <c r="H9" s="223">
        <f>SUM(H7:H8)</f>
        <v>1120000000</v>
      </c>
      <c r="I9" s="224">
        <f>SUM(I7:I8)</f>
        <v>1120000000</v>
      </c>
      <c r="J9" s="63" t="b">
        <f>H9=BS!E76</f>
        <v>1</v>
      </c>
      <c r="K9" s="63" t="b">
        <f>I9=BS!F76</f>
        <v>1</v>
      </c>
      <c r="N9" s="787"/>
    </row>
    <row r="10" spans="2:14">
      <c r="D10" s="76" t="s">
        <v>662</v>
      </c>
      <c r="E10" s="203" t="s">
        <v>1865</v>
      </c>
      <c r="F10" s="569">
        <v>3.6700000000000003E-2</v>
      </c>
      <c r="G10" s="217">
        <v>46322</v>
      </c>
      <c r="H10" s="122">
        <v>0</v>
      </c>
      <c r="I10" s="218">
        <v>83300000</v>
      </c>
      <c r="J10" s="63"/>
      <c r="K10" s="63"/>
      <c r="L10" s="55" t="s">
        <v>1646</v>
      </c>
      <c r="M10" s="55" t="s">
        <v>1645</v>
      </c>
      <c r="N10" s="1049">
        <f>(G10-$N$5)/365</f>
        <v>0.32602739726027397</v>
      </c>
    </row>
    <row r="11" spans="2:14">
      <c r="D11" s="221" t="s">
        <v>1038</v>
      </c>
      <c r="E11" s="222"/>
      <c r="F11" s="1119"/>
      <c r="G11" s="222"/>
      <c r="H11" s="223">
        <f>SUM(H10:H10)</f>
        <v>0</v>
      </c>
      <c r="I11" s="224">
        <f>SUM(I10:I10)</f>
        <v>83300000</v>
      </c>
      <c r="J11" s="63" t="b">
        <f>H11=BS!E77</f>
        <v>1</v>
      </c>
      <c r="K11" s="63" t="b">
        <f>I11=BS!F77</f>
        <v>1</v>
      </c>
      <c r="N11" s="787"/>
    </row>
    <row r="12" spans="2:14">
      <c r="D12" s="76" t="s">
        <v>513</v>
      </c>
      <c r="E12" s="76" t="s">
        <v>514</v>
      </c>
      <c r="F12" s="569">
        <v>4.095E-2</v>
      </c>
      <c r="G12" s="217">
        <v>46645</v>
      </c>
      <c r="H12" s="122">
        <v>700000000</v>
      </c>
      <c r="I12" s="218">
        <v>700000000</v>
      </c>
      <c r="J12" s="63"/>
      <c r="K12" s="63"/>
      <c r="L12" s="55" t="s">
        <v>1646</v>
      </c>
      <c r="M12" s="55" t="s">
        <v>1645</v>
      </c>
      <c r="N12" s="1049">
        <f>(G12-$N$5)/365</f>
        <v>1.210958904109589</v>
      </c>
    </row>
    <row r="13" spans="2:14">
      <c r="D13" s="76" t="s">
        <v>513</v>
      </c>
      <c r="E13" s="76" t="s">
        <v>514</v>
      </c>
      <c r="F13" s="569">
        <v>3.4799999999999998E-2</v>
      </c>
      <c r="G13" s="217">
        <v>46620</v>
      </c>
      <c r="H13" s="122">
        <v>2900000000</v>
      </c>
      <c r="I13" s="218">
        <v>2900000000</v>
      </c>
      <c r="J13" s="63"/>
      <c r="K13" s="63"/>
      <c r="L13" s="55" t="s">
        <v>1644</v>
      </c>
      <c r="M13" s="55" t="s">
        <v>1643</v>
      </c>
      <c r="N13" s="1049">
        <f>(G13-$N$5)/365</f>
        <v>1.1424657534246576</v>
      </c>
    </row>
    <row r="14" spans="2:14">
      <c r="D14" s="76" t="s">
        <v>513</v>
      </c>
      <c r="E14" s="76" t="s">
        <v>514</v>
      </c>
      <c r="F14" s="569">
        <v>3.3059999999999999E-2</v>
      </c>
      <c r="G14" s="217">
        <v>46977</v>
      </c>
      <c r="H14" s="122">
        <v>500000000</v>
      </c>
      <c r="I14" s="218">
        <v>500000000</v>
      </c>
      <c r="J14" s="63"/>
      <c r="K14" s="63"/>
      <c r="L14" s="55" t="s">
        <v>1643</v>
      </c>
      <c r="N14" s="1049">
        <f>(G14-$N$5)/365</f>
        <v>2.1205479452054794</v>
      </c>
    </row>
    <row r="15" spans="2:14">
      <c r="D15" s="221" t="s">
        <v>1038</v>
      </c>
      <c r="E15" s="222"/>
      <c r="F15" s="222"/>
      <c r="G15" s="222"/>
      <c r="H15" s="223">
        <f>SUM(H12:H14)</f>
        <v>4100000000</v>
      </c>
      <c r="I15" s="223">
        <f>SUM(I12:I14)</f>
        <v>4100000000</v>
      </c>
      <c r="J15" s="63" t="b">
        <f>H15=BS!E85</f>
        <v>1</v>
      </c>
      <c r="K15" s="63" t="b">
        <f>I15=BS!F85</f>
        <v>1</v>
      </c>
    </row>
    <row r="16" spans="2:14">
      <c r="D16" s="120"/>
      <c r="E16" s="64"/>
      <c r="F16" s="64"/>
      <c r="G16" s="63"/>
      <c r="H16" s="118"/>
      <c r="I16" s="118"/>
      <c r="J16" s="63"/>
      <c r="K16" s="63"/>
    </row>
    <row r="17" spans="4:11" ht="16.399999999999999" customHeight="1">
      <c r="D17" s="62" t="s">
        <v>516</v>
      </c>
      <c r="E17" s="225"/>
      <c r="F17" s="225"/>
      <c r="G17" s="63"/>
      <c r="H17" s="118"/>
      <c r="I17" s="118"/>
      <c r="J17" s="63"/>
      <c r="K17" s="63"/>
    </row>
    <row r="18" spans="4:11">
      <c r="D18" s="64"/>
      <c r="E18" s="64" t="s">
        <v>258</v>
      </c>
      <c r="F18" s="64"/>
      <c r="G18" s="63"/>
      <c r="H18" s="118"/>
      <c r="I18" s="118"/>
      <c r="J18" s="63"/>
      <c r="K18" s="63"/>
    </row>
    <row r="19" spans="4:11">
      <c r="D19" s="200" t="s">
        <v>506</v>
      </c>
      <c r="E19" s="200" t="s">
        <v>711</v>
      </c>
      <c r="F19" s="64"/>
      <c r="G19" s="63"/>
      <c r="H19" s="118"/>
      <c r="I19" s="118"/>
      <c r="J19" s="63"/>
      <c r="K19" s="63"/>
    </row>
    <row r="20" spans="4:11">
      <c r="D20" s="197" t="s">
        <v>517</v>
      </c>
      <c r="E20" s="122">
        <f>H10</f>
        <v>0</v>
      </c>
      <c r="F20" s="63" t="b">
        <f>E20=H11</f>
        <v>1</v>
      </c>
      <c r="G20" s="63"/>
      <c r="H20" s="118"/>
      <c r="I20" s="118"/>
      <c r="J20" s="63"/>
      <c r="K20" s="63"/>
    </row>
    <row r="21" spans="4:11">
      <c r="D21" s="197" t="s">
        <v>518</v>
      </c>
      <c r="E21" s="122">
        <f>H12+H13</f>
        <v>3600000000</v>
      </c>
      <c r="F21" s="64"/>
      <c r="G21" s="63"/>
      <c r="H21" s="63"/>
      <c r="I21" s="63"/>
      <c r="J21" s="63"/>
      <c r="K21" s="63"/>
    </row>
    <row r="22" spans="4:11">
      <c r="D22" s="197" t="s">
        <v>519</v>
      </c>
      <c r="E22" s="122">
        <f>H14</f>
        <v>500000000</v>
      </c>
      <c r="F22" s="64"/>
      <c r="G22" s="63"/>
      <c r="H22" s="63"/>
      <c r="I22" s="63"/>
      <c r="J22" s="63"/>
      <c r="K22" s="63"/>
    </row>
    <row r="23" spans="4:11">
      <c r="D23" s="76" t="s">
        <v>256</v>
      </c>
      <c r="E23" s="139">
        <f>SUM(E20:E22)</f>
        <v>4100000000</v>
      </c>
      <c r="F23" s="64"/>
      <c r="G23" s="63"/>
      <c r="H23" s="63"/>
      <c r="I23" s="63"/>
      <c r="J23" s="63"/>
      <c r="K23" s="63"/>
    </row>
    <row r="24" spans="4:11">
      <c r="D24" s="120"/>
      <c r="E24" s="129" t="b">
        <f>H11+H15=E23</f>
        <v>1</v>
      </c>
      <c r="F24" s="64"/>
      <c r="G24" s="63"/>
      <c r="H24" s="63"/>
      <c r="I24" s="63"/>
      <c r="J24" s="63"/>
      <c r="K24" s="63"/>
    </row>
    <row r="25" spans="4:11">
      <c r="D25" s="120"/>
      <c r="E25" s="64"/>
      <c r="F25" s="64"/>
      <c r="G25" s="63"/>
      <c r="H25" s="63"/>
      <c r="J25" s="63"/>
      <c r="K25" s="63"/>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A99CDFCA-51E7-4B03-AB81-1AFBC654CCCD}">
            <xm:f>NOT(ISERROR(SEARCH("TRUE",A1)))</xm:f>
            <xm:f>"TRUE"</xm:f>
            <x14:dxf>
              <fill>
                <patternFill>
                  <bgColor theme="9" tint="0.79998168889431442"/>
                </patternFill>
              </fill>
            </x14:dxf>
          </x14:cfRule>
          <x14:cfRule type="containsText" priority="2" operator="containsText" id="{FBAC8B69-2712-455B-9F34-E94A85A851B9}">
            <xm:f>NOT(ISERROR(SEARCH("FALSE",A1)))</xm:f>
            <xm:f>"FALSE"</xm:f>
            <x14:dxf>
              <fill>
                <patternFill>
                  <bgColor theme="5"/>
                </patternFill>
              </fill>
            </x14:dxf>
          </x14:cfRule>
          <xm:sqref>A1:XFD24 A25:H25 J25:XFD25 A26:XFD1048576</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B2:AJ78"/>
  <sheetViews>
    <sheetView showGridLines="0" topLeftCell="A13" zoomScale="70" zoomScaleNormal="70" workbookViewId="0">
      <selection activeCell="E52" sqref="E52:F52"/>
    </sheetView>
  </sheetViews>
  <sheetFormatPr defaultColWidth="8.5703125" defaultRowHeight="15"/>
  <cols>
    <col min="1" max="2" width="1.85546875" style="55" customWidth="1"/>
    <col min="3" max="3" width="1.5" style="55" customWidth="1"/>
    <col min="4" max="4" width="26.0703125" style="55" customWidth="1"/>
    <col min="5" max="5" width="19.0703125" style="55" customWidth="1"/>
    <col min="6" max="13" width="17.0703125" style="55" customWidth="1"/>
    <col min="14" max="14" width="10.5703125" style="55" bestFit="1" customWidth="1"/>
    <col min="15" max="15" width="12.5703125" style="55" bestFit="1" customWidth="1"/>
    <col min="16" max="16" width="12.35546875" style="55" bestFit="1" customWidth="1"/>
    <col min="17" max="17" width="10.0703125" style="55" bestFit="1" customWidth="1"/>
    <col min="18" max="18" width="12.5" style="55" bestFit="1" customWidth="1"/>
    <col min="19" max="19" width="9.85546875" style="55" bestFit="1" customWidth="1"/>
    <col min="20" max="20" width="9.140625" style="55" bestFit="1" customWidth="1"/>
    <col min="21" max="21" width="8.5703125" style="55" bestFit="1" customWidth="1"/>
    <col min="22" max="22" width="9.140625" style="55" bestFit="1" customWidth="1"/>
    <col min="23" max="26" width="8.5703125" style="55" bestFit="1" customWidth="1"/>
    <col min="27" max="28" width="10.0703125" style="55" bestFit="1" customWidth="1"/>
    <col min="29" max="29" width="9.0703125" style="55" bestFit="1" customWidth="1"/>
    <col min="30" max="30" width="8.5703125" style="55" bestFit="1" customWidth="1"/>
    <col min="31" max="16384" width="8.5703125" style="55"/>
  </cols>
  <sheetData>
    <row r="2" spans="2:27">
      <c r="B2" s="54" t="s">
        <v>1566</v>
      </c>
      <c r="E2" s="61" t="s">
        <v>1039</v>
      </c>
    </row>
    <row r="4" spans="2:27">
      <c r="D4" s="63" t="s">
        <v>1982</v>
      </c>
      <c r="E4" s="63"/>
      <c r="F4" s="63"/>
      <c r="G4" s="63"/>
      <c r="H4" s="63"/>
      <c r="I4" s="63"/>
      <c r="J4" s="63"/>
      <c r="K4" s="63"/>
      <c r="L4" s="63"/>
      <c r="M4" s="63"/>
      <c r="N4" s="63"/>
      <c r="O4" s="63"/>
      <c r="P4" s="63"/>
      <c r="Q4" s="63"/>
      <c r="R4" s="63"/>
      <c r="S4" s="63"/>
      <c r="T4" s="63"/>
      <c r="U4" s="63"/>
      <c r="V4" s="63"/>
      <c r="W4" s="63"/>
      <c r="X4" s="63"/>
      <c r="Y4" s="63"/>
      <c r="Z4" s="63"/>
    </row>
    <row r="5" spans="2:27">
      <c r="D5" s="226" t="str">
        <f>'21'!E6</f>
        <v>당반기</v>
      </c>
      <c r="E5" s="227"/>
      <c r="F5" s="63"/>
      <c r="G5" s="227" t="s">
        <v>278</v>
      </c>
      <c r="H5" s="63"/>
      <c r="I5" s="63"/>
      <c r="J5" s="226" t="s">
        <v>1682</v>
      </c>
      <c r="K5" s="227"/>
      <c r="L5" s="63"/>
      <c r="M5" s="227" t="s">
        <v>278</v>
      </c>
      <c r="N5" s="63"/>
      <c r="O5" s="63"/>
      <c r="P5" s="63"/>
      <c r="Q5" s="63"/>
      <c r="R5" s="63"/>
      <c r="S5" s="63"/>
      <c r="T5" s="63"/>
      <c r="U5" s="63"/>
      <c r="V5" s="63"/>
      <c r="W5" s="63"/>
      <c r="X5" s="63"/>
      <c r="Y5" s="63"/>
      <c r="Z5" s="63"/>
      <c r="AA5" s="63"/>
    </row>
    <row r="6" spans="2:27">
      <c r="D6" s="168" t="s">
        <v>402</v>
      </c>
      <c r="E6" s="168" t="s">
        <v>67</v>
      </c>
      <c r="F6" s="168" t="s">
        <v>676</v>
      </c>
      <c r="G6" s="168" t="s">
        <v>256</v>
      </c>
      <c r="H6" s="63"/>
      <c r="I6" s="63"/>
      <c r="J6" s="168" t="s">
        <v>402</v>
      </c>
      <c r="K6" s="168" t="s">
        <v>67</v>
      </c>
      <c r="L6" s="168" t="s">
        <v>676</v>
      </c>
      <c r="M6" s="168" t="s">
        <v>256</v>
      </c>
      <c r="N6" s="63"/>
      <c r="O6" s="63"/>
      <c r="P6" s="63"/>
      <c r="Q6" s="63"/>
      <c r="R6" s="63"/>
      <c r="S6" s="63"/>
      <c r="T6" s="63"/>
      <c r="U6" s="63"/>
      <c r="V6" s="63"/>
      <c r="W6" s="63"/>
      <c r="X6" s="63"/>
      <c r="Y6" s="63"/>
      <c r="Z6" s="63"/>
      <c r="AA6" s="63"/>
    </row>
    <row r="7" spans="2:27">
      <c r="D7" s="233" t="s">
        <v>677</v>
      </c>
      <c r="E7" s="234"/>
      <c r="F7" s="234"/>
      <c r="G7" s="235"/>
      <c r="H7" s="63"/>
      <c r="I7" s="63"/>
      <c r="J7" s="233" t="s">
        <v>677</v>
      </c>
      <c r="K7" s="234"/>
      <c r="L7" s="234"/>
      <c r="M7" s="235"/>
      <c r="N7" s="63"/>
      <c r="O7" s="63"/>
      <c r="P7" s="63"/>
      <c r="Q7" s="63"/>
      <c r="R7" s="63"/>
      <c r="S7" s="63"/>
      <c r="T7" s="63"/>
      <c r="U7" s="63"/>
      <c r="V7" s="63"/>
      <c r="W7" s="63"/>
      <c r="X7" s="63"/>
      <c r="Y7" s="63"/>
      <c r="Z7" s="63"/>
      <c r="AA7" s="63"/>
    </row>
    <row r="8" spans="2:27">
      <c r="D8" s="122" t="s">
        <v>678</v>
      </c>
      <c r="E8" s="122">
        <f>K11</f>
        <v>260490954</v>
      </c>
      <c r="F8" s="122">
        <f>L11</f>
        <v>1524183729</v>
      </c>
      <c r="G8" s="122">
        <f>SUM(E8:F8)</f>
        <v>1784674683</v>
      </c>
      <c r="H8" s="63"/>
      <c r="I8" s="63"/>
      <c r="J8" s="122" t="s">
        <v>1685</v>
      </c>
      <c r="K8" s="122">
        <v>232249352</v>
      </c>
      <c r="L8" s="122">
        <v>1003791553</v>
      </c>
      <c r="M8" s="122">
        <f>SUM(K8:L8)</f>
        <v>1236040905</v>
      </c>
      <c r="N8" s="63"/>
      <c r="O8" s="63"/>
      <c r="P8" s="63"/>
      <c r="Q8" s="63"/>
      <c r="R8" s="63"/>
      <c r="S8" s="63"/>
      <c r="T8" s="63"/>
      <c r="U8" s="63"/>
      <c r="V8" s="63"/>
      <c r="W8" s="63"/>
      <c r="X8" s="63"/>
      <c r="Y8" s="63"/>
      <c r="Z8" s="63"/>
      <c r="AA8" s="63"/>
    </row>
    <row r="9" spans="2:27">
      <c r="D9" s="121" t="s">
        <v>679</v>
      </c>
      <c r="E9" s="122">
        <f>E11-E8-E10</f>
        <v>-61687807</v>
      </c>
      <c r="F9" s="122">
        <f>F11-F8-F10</f>
        <v>9012918</v>
      </c>
      <c r="G9" s="122">
        <f>SUM(E9:F9)</f>
        <v>-52674889</v>
      </c>
      <c r="H9" s="63"/>
      <c r="I9" s="63"/>
      <c r="J9" s="121" t="s">
        <v>679</v>
      </c>
      <c r="K9" s="122">
        <v>28241602</v>
      </c>
      <c r="L9" s="122">
        <v>520392176</v>
      </c>
      <c r="M9" s="122">
        <f>SUM(K9:L9)</f>
        <v>548633778</v>
      </c>
      <c r="N9" s="63"/>
      <c r="O9" s="63"/>
      <c r="P9" s="63"/>
      <c r="Q9" s="63"/>
      <c r="R9" s="63"/>
      <c r="S9" s="63"/>
      <c r="T9" s="63"/>
      <c r="U9" s="63"/>
      <c r="V9" s="63"/>
      <c r="W9" s="63"/>
      <c r="X9" s="63"/>
      <c r="Y9" s="63"/>
      <c r="Z9" s="63"/>
      <c r="AA9" s="63"/>
    </row>
    <row r="10" spans="2:27">
      <c r="D10" s="121" t="s">
        <v>1242</v>
      </c>
      <c r="E10" s="122">
        <v>0</v>
      </c>
      <c r="F10" s="122">
        <v>0</v>
      </c>
      <c r="G10" s="122">
        <f>SUM(E10:F10)</f>
        <v>0</v>
      </c>
      <c r="H10" s="63"/>
      <c r="I10" s="63"/>
      <c r="J10" s="121" t="s">
        <v>1242</v>
      </c>
      <c r="K10" s="122">
        <v>0</v>
      </c>
      <c r="L10" s="122">
        <v>0</v>
      </c>
      <c r="M10" s="122">
        <f>SUM(K10:L10)</f>
        <v>0</v>
      </c>
      <c r="N10" s="63"/>
      <c r="O10" s="63"/>
      <c r="P10" s="63"/>
      <c r="Q10" s="63"/>
      <c r="R10" s="63"/>
      <c r="S10" s="63"/>
      <c r="T10" s="63"/>
      <c r="U10" s="63"/>
      <c r="V10" s="63"/>
      <c r="W10" s="63"/>
      <c r="X10" s="63"/>
      <c r="Y10" s="63"/>
      <c r="Z10" s="63"/>
      <c r="AA10" s="63"/>
    </row>
    <row r="11" spans="2:27">
      <c r="D11" s="121" t="s">
        <v>680</v>
      </c>
      <c r="E11" s="122">
        <v>198803147</v>
      </c>
      <c r="F11" s="122">
        <v>1533196647</v>
      </c>
      <c r="G11" s="122">
        <f>SUM(G8:G10)</f>
        <v>1731999794</v>
      </c>
      <c r="H11" s="63" t="b">
        <f>G11=BS!E60</f>
        <v>1</v>
      </c>
      <c r="I11" s="63"/>
      <c r="J11" s="121" t="s">
        <v>1686</v>
      </c>
      <c r="K11" s="122">
        <f>SUM(K8:K10)</f>
        <v>260490954</v>
      </c>
      <c r="L11" s="122">
        <f>SUM(L8:L10)</f>
        <v>1524183729</v>
      </c>
      <c r="M11" s="122">
        <f>SUM(M8:M10)</f>
        <v>1784674683</v>
      </c>
      <c r="N11" s="63" t="b">
        <f>M11=BS!F60</f>
        <v>1</v>
      </c>
      <c r="O11" s="63"/>
      <c r="P11" s="63">
        <f>M11-BS!F60</f>
        <v>0</v>
      </c>
      <c r="Q11" s="63"/>
      <c r="R11" s="63"/>
      <c r="S11" s="63"/>
      <c r="T11" s="63"/>
      <c r="U11" s="63"/>
      <c r="V11" s="63"/>
      <c r="W11" s="63"/>
      <c r="X11" s="63"/>
      <c r="Y11" s="63"/>
      <c r="Z11" s="63"/>
      <c r="AA11" s="63"/>
    </row>
    <row r="12" spans="2:27">
      <c r="D12" s="233" t="s">
        <v>681</v>
      </c>
      <c r="E12" s="234"/>
      <c r="F12" s="234"/>
      <c r="G12" s="235"/>
      <c r="H12" s="63"/>
      <c r="I12" s="63"/>
      <c r="J12" s="233" t="s">
        <v>681</v>
      </c>
      <c r="K12" s="234"/>
      <c r="L12" s="234"/>
      <c r="M12" s="235"/>
      <c r="N12" s="63"/>
      <c r="O12" s="63"/>
      <c r="P12" s="63"/>
      <c r="Q12" s="63"/>
      <c r="R12" s="63"/>
      <c r="S12" s="63"/>
      <c r="T12" s="63"/>
      <c r="U12" s="63"/>
      <c r="V12" s="63"/>
      <c r="W12" s="63"/>
      <c r="X12" s="63"/>
      <c r="Y12" s="63"/>
      <c r="Z12" s="63"/>
      <c r="AA12" s="63"/>
    </row>
    <row r="13" spans="2:27">
      <c r="D13" s="122" t="s">
        <v>678</v>
      </c>
      <c r="E13" s="229">
        <f>K17</f>
        <v>86822323</v>
      </c>
      <c r="F13" s="229">
        <f>L17</f>
        <v>58987477</v>
      </c>
      <c r="G13" s="122">
        <f>SUM(E13:F13)</f>
        <v>145809800</v>
      </c>
      <c r="H13" s="63"/>
      <c r="I13" s="63"/>
      <c r="J13" s="122" t="s">
        <v>1685</v>
      </c>
      <c r="K13" s="229">
        <v>75605922</v>
      </c>
      <c r="L13" s="229">
        <v>698015191</v>
      </c>
      <c r="M13" s="122">
        <f>SUM(K13:L13)</f>
        <v>773621113</v>
      </c>
      <c r="N13" s="63"/>
      <c r="O13" s="63"/>
      <c r="P13" s="63"/>
      <c r="Q13" s="63"/>
      <c r="R13" s="63"/>
      <c r="S13" s="63"/>
      <c r="T13" s="63"/>
      <c r="U13" s="63"/>
      <c r="V13" s="63"/>
      <c r="W13" s="63"/>
      <c r="X13" s="63"/>
      <c r="Y13" s="63"/>
      <c r="Z13" s="63"/>
      <c r="AA13" s="63"/>
    </row>
    <row r="14" spans="2:27">
      <c r="D14" s="121" t="s">
        <v>682</v>
      </c>
      <c r="E14" s="229">
        <f>E17-E13-E15-E16</f>
        <v>-43469341</v>
      </c>
      <c r="F14" s="229">
        <f>F17-F13-F15-F16</f>
        <v>0</v>
      </c>
      <c r="G14" s="122">
        <f>SUM(E14:F14)</f>
        <v>-43469341</v>
      </c>
      <c r="H14" s="63" t="b">
        <f>(G9-G14)=('13'!F34+'13'!H34)</f>
        <v>1</v>
      </c>
      <c r="I14" s="63"/>
      <c r="J14" s="121" t="s">
        <v>682</v>
      </c>
      <c r="K14" s="229">
        <v>-45318790</v>
      </c>
      <c r="L14" s="229">
        <v>-1003791554</v>
      </c>
      <c r="M14" s="122">
        <f>SUM(K14:L14)</f>
        <v>-1049110344</v>
      </c>
      <c r="N14" s="63" t="b">
        <f>(M9-M14)=('13'!F51+'13'!H51)</f>
        <v>1</v>
      </c>
      <c r="O14" s="63"/>
      <c r="P14" s="63"/>
      <c r="Q14" s="63"/>
      <c r="R14" s="63"/>
      <c r="S14" s="63"/>
      <c r="T14" s="63"/>
      <c r="U14" s="63"/>
      <c r="V14" s="63"/>
      <c r="W14" s="63"/>
      <c r="X14" s="63"/>
      <c r="Y14" s="63"/>
      <c r="Z14" s="63"/>
      <c r="AA14" s="63"/>
    </row>
    <row r="15" spans="2:27">
      <c r="D15" s="121" t="s">
        <v>1242</v>
      </c>
      <c r="E15" s="229">
        <v>0</v>
      </c>
      <c r="F15" s="229">
        <v>0</v>
      </c>
      <c r="G15" s="122">
        <f>SUM(E15:F15)</f>
        <v>0</v>
      </c>
      <c r="H15" s="63" t="b">
        <f>G10-G15='13'!G34</f>
        <v>1</v>
      </c>
      <c r="I15" s="63"/>
      <c r="J15" s="121" t="s">
        <v>1242</v>
      </c>
      <c r="K15" s="229">
        <v>0</v>
      </c>
      <c r="L15" s="229">
        <v>0</v>
      </c>
      <c r="M15" s="122">
        <f>SUM(K15:L15)</f>
        <v>0</v>
      </c>
      <c r="N15" s="63"/>
      <c r="O15" s="63"/>
      <c r="P15" s="63"/>
      <c r="Q15" s="63"/>
      <c r="R15" s="63"/>
      <c r="S15" s="63"/>
      <c r="T15" s="63"/>
      <c r="U15" s="63"/>
      <c r="V15" s="63"/>
      <c r="W15" s="63"/>
      <c r="X15" s="63"/>
      <c r="Y15" s="63"/>
      <c r="Z15" s="63"/>
      <c r="AA15" s="63"/>
    </row>
    <row r="16" spans="2:27">
      <c r="D16" s="121" t="s">
        <v>683</v>
      </c>
      <c r="E16" s="229">
        <v>26096408</v>
      </c>
      <c r="F16" s="229">
        <f>242149134-3</f>
        <v>242149131</v>
      </c>
      <c r="G16" s="122">
        <f>SUM(E16:F16)</f>
        <v>268245539</v>
      </c>
      <c r="H16" s="63" t="b">
        <f>G16=-'13'!J34</f>
        <v>1</v>
      </c>
      <c r="I16" s="63">
        <f>G16+'13'!J34</f>
        <v>0</v>
      </c>
      <c r="J16" s="121" t="s">
        <v>683</v>
      </c>
      <c r="K16" s="228">
        <v>56535191</v>
      </c>
      <c r="L16" s="228">
        <v>364763840</v>
      </c>
      <c r="M16" s="122">
        <f>SUM(K16:L16)</f>
        <v>421299031</v>
      </c>
      <c r="N16" s="63" t="b">
        <f>M16=-'13'!J51</f>
        <v>1</v>
      </c>
      <c r="O16" s="63"/>
      <c r="P16" s="63"/>
      <c r="Q16" s="63"/>
      <c r="R16" s="63"/>
      <c r="S16" s="63"/>
      <c r="T16" s="63"/>
      <c r="U16" s="63"/>
      <c r="V16" s="63"/>
      <c r="W16" s="63"/>
      <c r="X16" s="63"/>
      <c r="Y16" s="63"/>
      <c r="Z16" s="63"/>
      <c r="AA16" s="63"/>
    </row>
    <row r="17" spans="4:36">
      <c r="D17" s="122" t="s">
        <v>680</v>
      </c>
      <c r="E17" s="229">
        <v>69449390</v>
      </c>
      <c r="F17" s="229">
        <f>301136606+2</f>
        <v>301136608</v>
      </c>
      <c r="G17" s="229">
        <f>SUM(G13:G16)</f>
        <v>370585998</v>
      </c>
      <c r="H17" s="63" t="b">
        <f>-G17=BS!E61</f>
        <v>1</v>
      </c>
      <c r="I17" s="63"/>
      <c r="J17" s="122" t="s">
        <v>1686</v>
      </c>
      <c r="K17" s="229">
        <f>SUM(K13:K16)</f>
        <v>86822323</v>
      </c>
      <c r="L17" s="229">
        <f>SUM(L13:L16)</f>
        <v>58987477</v>
      </c>
      <c r="M17" s="229">
        <f>SUM(M13:M16)</f>
        <v>145809800</v>
      </c>
      <c r="N17" s="63" t="b">
        <f>-M17=BS!F61</f>
        <v>1</v>
      </c>
      <c r="O17" s="63"/>
      <c r="P17" s="63"/>
      <c r="Q17" s="63"/>
      <c r="R17" s="63"/>
      <c r="S17" s="63"/>
      <c r="T17" s="63"/>
      <c r="U17" s="63"/>
      <c r="V17" s="63"/>
      <c r="W17" s="63"/>
      <c r="X17" s="63"/>
      <c r="Y17" s="63"/>
      <c r="Z17" s="63"/>
      <c r="AA17" s="63"/>
    </row>
    <row r="18" spans="4:36">
      <c r="D18" s="233" t="s">
        <v>684</v>
      </c>
      <c r="E18" s="234"/>
      <c r="F18" s="234"/>
      <c r="G18" s="235"/>
      <c r="H18" s="63"/>
      <c r="I18" s="63"/>
      <c r="J18" s="233" t="s">
        <v>684</v>
      </c>
      <c r="K18" s="234"/>
      <c r="L18" s="234"/>
      <c r="M18" s="235"/>
      <c r="N18" s="63"/>
      <c r="O18" s="63"/>
      <c r="P18" s="63"/>
      <c r="Q18" s="63"/>
      <c r="R18" s="63"/>
    </row>
    <row r="19" spans="4:36">
      <c r="D19" s="122" t="s">
        <v>678</v>
      </c>
      <c r="E19" s="122">
        <f>E8-E13</f>
        <v>173668631</v>
      </c>
      <c r="F19" s="122">
        <f>F8-F13</f>
        <v>1465196252</v>
      </c>
      <c r="G19" s="122">
        <f>SUM(E19:F19)</f>
        <v>1638864883</v>
      </c>
      <c r="H19" s="63"/>
      <c r="I19" s="63"/>
      <c r="J19" s="122" t="s">
        <v>1685</v>
      </c>
      <c r="K19" s="122">
        <f>K8-K13</f>
        <v>156643430</v>
      </c>
      <c r="L19" s="122">
        <f>L8-L13</f>
        <v>305776362</v>
      </c>
      <c r="M19" s="122">
        <f>SUM(K19:L19)</f>
        <v>462419792</v>
      </c>
      <c r="N19" s="63"/>
      <c r="O19" s="63"/>
      <c r="P19" s="63"/>
      <c r="Q19" s="63"/>
    </row>
    <row r="20" spans="4:36">
      <c r="D20" s="121" t="s">
        <v>680</v>
      </c>
      <c r="E20" s="122">
        <f>E11-E17</f>
        <v>129353757</v>
      </c>
      <c r="F20" s="122">
        <f>F11-F17</f>
        <v>1232060039</v>
      </c>
      <c r="G20" s="122">
        <f>SUM(E20:F20)</f>
        <v>1361413796</v>
      </c>
      <c r="H20" s="63" t="b">
        <f>G20='13'!K34</f>
        <v>1</v>
      </c>
      <c r="I20" s="63"/>
      <c r="J20" s="121" t="s">
        <v>1686</v>
      </c>
      <c r="K20" s="122">
        <f>K11-K17</f>
        <v>173668631</v>
      </c>
      <c r="L20" s="122">
        <f>L11-L17</f>
        <v>1465196252</v>
      </c>
      <c r="M20" s="122">
        <f>SUM(K20:L20)</f>
        <v>1638864883</v>
      </c>
      <c r="N20" s="63"/>
      <c r="O20" s="63"/>
      <c r="P20" s="63"/>
      <c r="Q20" s="63"/>
    </row>
    <row r="21" spans="4:36">
      <c r="D21" s="63"/>
      <c r="E21" s="63"/>
      <c r="F21" s="63"/>
      <c r="G21" s="63" t="b">
        <f>G20=BS!E60+BS!E61</f>
        <v>1</v>
      </c>
      <c r="H21" s="63">
        <f>G20-(BS!E60+BS!E61)</f>
        <v>0</v>
      </c>
      <c r="I21" s="63"/>
      <c r="J21" s="63"/>
      <c r="K21" s="63"/>
      <c r="L21" s="63"/>
      <c r="M21" s="63"/>
      <c r="N21" s="63"/>
      <c r="O21" s="63"/>
      <c r="P21" s="63"/>
      <c r="Q21" s="63"/>
    </row>
    <row r="22" spans="4:36">
      <c r="D22" s="63"/>
      <c r="E22" s="63" t="b">
        <f>SUM(E8:E10)=E11</f>
        <v>1</v>
      </c>
      <c r="F22" s="63" t="b">
        <f>SUM(F8:F10)=F11</f>
        <v>1</v>
      </c>
      <c r="G22" s="63" t="b">
        <f>SUM(G8:G10)=G11</f>
        <v>1</v>
      </c>
      <c r="H22" s="63"/>
      <c r="I22" s="63"/>
      <c r="J22" s="63"/>
      <c r="K22" s="63" t="b">
        <f>SUM(K8:K10)=K11</f>
        <v>1</v>
      </c>
      <c r="L22" s="63" t="b">
        <f>SUM(L8:L10)=L11</f>
        <v>1</v>
      </c>
      <c r="M22" s="63" t="b">
        <f>SUM(M8:M10)=M11</f>
        <v>1</v>
      </c>
      <c r="N22" s="63"/>
      <c r="O22" s="63"/>
      <c r="P22" s="63"/>
      <c r="Q22" s="63"/>
    </row>
    <row r="23" spans="4:36">
      <c r="D23" s="63"/>
      <c r="E23" s="63" t="b">
        <f>SUM(E13:E16)=E17</f>
        <v>1</v>
      </c>
      <c r="F23" s="63" t="b">
        <f>SUM(F13:F16)=F17</f>
        <v>1</v>
      </c>
      <c r="G23" s="63" t="b">
        <f>SUM(G13:G16)=G17</f>
        <v>1</v>
      </c>
      <c r="H23" s="63"/>
      <c r="I23" s="63"/>
      <c r="J23" s="380"/>
      <c r="K23" s="63" t="b">
        <f>SUM(K13:K16)=K17</f>
        <v>1</v>
      </c>
      <c r="L23" s="63" t="b">
        <f>SUM(L13:L16)=L17</f>
        <v>1</v>
      </c>
      <c r="M23" s="63" t="b">
        <f>SUM(M13:M16)=M17</f>
        <v>1</v>
      </c>
      <c r="N23" s="380"/>
      <c r="O23" s="380"/>
      <c r="P23" s="380"/>
      <c r="Q23" s="63"/>
      <c r="R23" s="63"/>
      <c r="S23" s="63"/>
      <c r="T23" s="63"/>
      <c r="U23" s="63"/>
      <c r="V23" s="63"/>
      <c r="W23" s="63"/>
      <c r="X23" s="63"/>
      <c r="Y23" s="63"/>
      <c r="Z23" s="63"/>
    </row>
    <row r="24" spans="4:36">
      <c r="D24" s="63"/>
      <c r="E24" s="63"/>
      <c r="F24" s="63"/>
      <c r="G24" s="63">
        <f>G11-G17</f>
        <v>1361413796</v>
      </c>
      <c r="H24" s="63"/>
      <c r="I24" s="63"/>
      <c r="J24" s="380"/>
      <c r="K24" s="380" t="b">
        <f>E8=K11</f>
        <v>1</v>
      </c>
      <c r="L24" s="380" t="b">
        <f>F8=L11</f>
        <v>1</v>
      </c>
      <c r="M24" s="380" t="b">
        <f>G8=M11</f>
        <v>1</v>
      </c>
      <c r="N24" s="380"/>
      <c r="O24" s="380"/>
      <c r="P24" s="380"/>
      <c r="Q24" s="63"/>
      <c r="R24" s="63"/>
      <c r="S24" s="63"/>
      <c r="T24" s="63"/>
      <c r="U24" s="63"/>
      <c r="V24" s="63"/>
      <c r="W24" s="63"/>
      <c r="X24" s="63"/>
      <c r="Y24" s="63"/>
      <c r="Z24" s="63"/>
    </row>
    <row r="25" spans="4:36">
      <c r="D25" s="63"/>
      <c r="E25" s="63"/>
      <c r="F25" s="63"/>
      <c r="G25" s="63"/>
      <c r="H25" s="63"/>
      <c r="I25" s="63"/>
      <c r="J25" s="380"/>
      <c r="K25" s="380" t="b">
        <f>E13=K17</f>
        <v>1</v>
      </c>
      <c r="L25" s="380" t="b">
        <f>F13=L17</f>
        <v>1</v>
      </c>
      <c r="M25" s="380" t="b">
        <f>G13=M17</f>
        <v>1</v>
      </c>
      <c r="N25" s="380"/>
      <c r="O25" s="380"/>
      <c r="P25" s="380"/>
      <c r="Q25" s="63"/>
      <c r="R25" s="63"/>
      <c r="S25" s="63"/>
      <c r="T25" s="63"/>
      <c r="U25" s="63"/>
      <c r="V25" s="63"/>
      <c r="W25" s="63"/>
      <c r="X25" s="63"/>
      <c r="Y25" s="63"/>
      <c r="Z25" s="63"/>
    </row>
    <row r="26" spans="4:36">
      <c r="D26" s="63" t="s">
        <v>1237</v>
      </c>
      <c r="E26" s="63"/>
      <c r="F26" s="63"/>
      <c r="G26" s="63"/>
      <c r="H26" s="63"/>
      <c r="I26" s="63"/>
      <c r="J26" s="63"/>
      <c r="K26" s="63" t="b">
        <f>E19=K20</f>
        <v>1</v>
      </c>
      <c r="L26" s="63" t="b">
        <f>F19=L20</f>
        <v>1</v>
      </c>
      <c r="M26" s="63" t="b">
        <f>G19=M20</f>
        <v>1</v>
      </c>
      <c r="N26" s="63"/>
      <c r="O26" s="63"/>
      <c r="P26" s="63"/>
      <c r="Q26" s="63"/>
      <c r="R26" s="63"/>
      <c r="S26" s="63"/>
      <c r="T26" s="63"/>
      <c r="U26" s="63"/>
      <c r="V26" s="63"/>
      <c r="W26" s="63"/>
      <c r="X26" s="63"/>
      <c r="Y26" s="63"/>
      <c r="Z26" s="63"/>
    </row>
    <row r="27" spans="4:36">
      <c r="D27" s="226"/>
      <c r="E27" s="227"/>
      <c r="F27" s="227" t="s">
        <v>278</v>
      </c>
      <c r="G27" s="63"/>
      <c r="H27" s="63"/>
      <c r="I27" s="63"/>
      <c r="J27" s="63"/>
      <c r="K27" s="63"/>
      <c r="L27" s="63"/>
      <c r="M27" s="63"/>
      <c r="N27" s="63"/>
      <c r="O27" s="63"/>
      <c r="P27" s="63"/>
      <c r="Q27" s="63"/>
      <c r="R27" s="63"/>
      <c r="S27" s="63"/>
      <c r="T27" s="63"/>
      <c r="U27" s="63"/>
      <c r="V27" s="63"/>
      <c r="W27" s="63"/>
      <c r="X27" s="63"/>
      <c r="Y27" s="63"/>
      <c r="Z27" s="63"/>
    </row>
    <row r="28" spans="4:36">
      <c r="D28" s="311" t="s">
        <v>402</v>
      </c>
      <c r="E28" s="135" t="str">
        <f>'19'!H6</f>
        <v>당반기말</v>
      </c>
      <c r="F28" s="135" t="str">
        <f>'19'!I6</f>
        <v>전기말</v>
      </c>
      <c r="H28" s="63"/>
      <c r="I28" s="63"/>
      <c r="J28" s="63"/>
      <c r="K28" s="63"/>
      <c r="L28" s="63"/>
      <c r="M28" s="63"/>
      <c r="N28" s="63"/>
      <c r="O28" s="63"/>
      <c r="P28" s="63"/>
      <c r="Q28" s="63"/>
      <c r="R28" s="63"/>
      <c r="S28" s="63"/>
      <c r="T28" s="63"/>
      <c r="U28" s="63"/>
      <c r="V28" s="63"/>
      <c r="W28" s="63"/>
      <c r="X28" s="63"/>
      <c r="Y28" s="63"/>
      <c r="Z28" s="63"/>
    </row>
    <row r="29" spans="4:36">
      <c r="D29" s="136" t="s">
        <v>341</v>
      </c>
      <c r="E29" s="122">
        <f>F33</f>
        <v>1595258905</v>
      </c>
      <c r="F29" s="122">
        <v>462960291</v>
      </c>
      <c r="H29" s="63"/>
      <c r="I29" s="63"/>
      <c r="J29" s="63"/>
      <c r="K29" s="63"/>
      <c r="L29" s="63"/>
      <c r="M29" s="63"/>
      <c r="N29" s="63"/>
      <c r="O29" s="63"/>
      <c r="P29" s="63"/>
      <c r="Q29" s="63"/>
      <c r="R29" s="63"/>
      <c r="S29" s="63"/>
      <c r="T29" s="63"/>
      <c r="U29" s="63"/>
      <c r="V29" s="63"/>
      <c r="W29" s="63"/>
      <c r="X29" s="63"/>
      <c r="Y29" s="63"/>
      <c r="Z29" s="63"/>
    </row>
    <row r="30" spans="4:36">
      <c r="D30" s="136" t="s">
        <v>685</v>
      </c>
      <c r="E30" s="122">
        <v>-9958487</v>
      </c>
      <c r="F30" s="122">
        <v>1562875971</v>
      </c>
      <c r="H30" s="63"/>
      <c r="I30" s="63"/>
      <c r="J30" s="118"/>
      <c r="K30" s="63"/>
      <c r="L30" s="231"/>
      <c r="M30" s="63"/>
      <c r="N30" s="63"/>
      <c r="O30" s="63"/>
      <c r="P30" s="63"/>
      <c r="Q30" s="63"/>
      <c r="R30" s="63"/>
      <c r="S30" s="63"/>
      <c r="T30" s="63"/>
      <c r="U30" s="63"/>
      <c r="V30" s="63"/>
      <c r="W30" s="63"/>
      <c r="X30" s="63"/>
      <c r="Y30" s="63"/>
      <c r="Z30" s="63"/>
      <c r="AA30" s="63"/>
      <c r="AB30" s="63"/>
      <c r="AC30" s="63"/>
      <c r="AD30" s="63"/>
      <c r="AE30" s="63"/>
      <c r="AF30" s="63"/>
      <c r="AG30" s="63"/>
      <c r="AH30" s="63"/>
      <c r="AI30" s="63"/>
      <c r="AJ30" s="63"/>
    </row>
    <row r="31" spans="4:36">
      <c r="D31" s="136" t="s">
        <v>25</v>
      </c>
      <c r="E31" s="122">
        <f>'CF정산표(26.2Q)'!H92</f>
        <v>27061673</v>
      </c>
      <c r="F31" s="122">
        <v>21010158</v>
      </c>
      <c r="G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row>
    <row r="32" spans="4:36">
      <c r="D32" s="136" t="s">
        <v>686</v>
      </c>
      <c r="E32" s="122">
        <f>-('CF정산표(26.2Q)'!O92+'CF정산표(26.2Q)'!O84)</f>
        <v>-275936850</v>
      </c>
      <c r="F32" s="122">
        <v>-451587515</v>
      </c>
      <c r="G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row>
    <row r="33" spans="4:35">
      <c r="D33" s="136" t="s">
        <v>343</v>
      </c>
      <c r="E33" s="122">
        <f>SUM(E34:E35)</f>
        <v>1336425241</v>
      </c>
      <c r="F33" s="122">
        <f>SUM(F34:F35)</f>
        <v>1595258905</v>
      </c>
      <c r="G33" s="63" t="b">
        <f>(E29+E30+E31+E32)=E33</f>
        <v>1</v>
      </c>
      <c r="H33" s="63" t="b">
        <f>(F29+F30+F31+F32)=F33</f>
        <v>1</v>
      </c>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row>
    <row r="34" spans="4:35">
      <c r="D34" s="136" t="s">
        <v>687</v>
      </c>
      <c r="E34" s="139">
        <f>BS!E78</f>
        <v>537067117</v>
      </c>
      <c r="F34" s="139">
        <f>BS!F78</f>
        <v>545986082</v>
      </c>
      <c r="G34" s="63" t="b">
        <f>E34=Dart_BS!C26</f>
        <v>1</v>
      </c>
      <c r="H34" s="63" t="b">
        <f>F34=BS!F78</f>
        <v>1</v>
      </c>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row>
    <row r="35" spans="4:35">
      <c r="D35" s="309" t="s">
        <v>688</v>
      </c>
      <c r="E35" s="139">
        <f>BS!E86</f>
        <v>799358124</v>
      </c>
      <c r="F35" s="139">
        <f>BS!F86</f>
        <v>1049272823</v>
      </c>
      <c r="G35" s="63" t="b">
        <f>E35=Dart_BS!C30</f>
        <v>1</v>
      </c>
      <c r="H35" s="63" t="b">
        <f>F35=BS!F86</f>
        <v>1</v>
      </c>
      <c r="I35" s="63"/>
      <c r="J35" s="63"/>
      <c r="K35" s="63"/>
      <c r="L35" s="63"/>
      <c r="M35" s="63"/>
      <c r="N35" s="63"/>
    </row>
    <row r="36" spans="4:35">
      <c r="D36" s="230" t="s">
        <v>689</v>
      </c>
      <c r="E36" s="63">
        <f>SUM(E34:E35)-E33</f>
        <v>0</v>
      </c>
      <c r="F36" s="63">
        <f>SUM(F34:F35)-F33</f>
        <v>0</v>
      </c>
      <c r="G36" s="63"/>
      <c r="I36" s="63"/>
      <c r="J36" s="63"/>
      <c r="K36" s="63"/>
      <c r="L36" s="63"/>
      <c r="M36" s="63"/>
      <c r="N36" s="63"/>
    </row>
    <row r="37" spans="4:35">
      <c r="D37" s="63"/>
      <c r="E37" s="63">
        <f>SUM(E29:E32)-E33</f>
        <v>0</v>
      </c>
      <c r="F37" s="63">
        <f>SUM(F29:F32)-F33</f>
        <v>0</v>
      </c>
      <c r="G37" s="63"/>
      <c r="I37" s="63"/>
      <c r="J37" s="63"/>
      <c r="K37" s="63"/>
      <c r="L37" s="63"/>
      <c r="M37" s="63"/>
      <c r="N37" s="63"/>
    </row>
    <row r="38" spans="4:35">
      <c r="D38" s="63" t="s">
        <v>1040</v>
      </c>
      <c r="G38" s="63"/>
      <c r="I38" s="63"/>
      <c r="J38" s="63"/>
      <c r="K38" s="63"/>
      <c r="L38" s="63"/>
      <c r="M38" s="63"/>
      <c r="N38" s="63"/>
    </row>
    <row r="39" spans="4:35">
      <c r="D39" s="226"/>
      <c r="E39" s="227" t="s">
        <v>278</v>
      </c>
      <c r="F39" s="63"/>
      <c r="G39" s="63"/>
      <c r="I39" s="63"/>
      <c r="J39" s="63"/>
      <c r="K39" s="63"/>
      <c r="L39" s="63"/>
      <c r="M39" s="63"/>
      <c r="N39" s="63"/>
    </row>
    <row r="40" spans="4:35">
      <c r="D40" s="112" t="s">
        <v>1028</v>
      </c>
      <c r="E40" s="113" t="s">
        <v>319</v>
      </c>
      <c r="F40" s="113" t="s">
        <v>690</v>
      </c>
      <c r="G40" s="113" t="s">
        <v>691</v>
      </c>
      <c r="I40" s="63"/>
      <c r="J40" s="63"/>
      <c r="K40" s="63"/>
      <c r="L40" s="63"/>
      <c r="M40" s="63"/>
      <c r="N40" s="63"/>
    </row>
    <row r="41" spans="4:35">
      <c r="D41" s="77" t="s">
        <v>692</v>
      </c>
      <c r="E41" s="72">
        <f>N78</f>
        <v>547702980</v>
      </c>
      <c r="F41" s="72">
        <f>SUM(O78:Q78)</f>
        <v>883491771</v>
      </c>
      <c r="G41" s="72">
        <f>SUM(E41:F41)</f>
        <v>1431194751</v>
      </c>
      <c r="I41" s="63"/>
      <c r="J41" s="63"/>
      <c r="K41" s="63"/>
      <c r="L41" s="63"/>
      <c r="M41" s="63"/>
      <c r="N41" s="63"/>
    </row>
    <row r="42" spans="4:35">
      <c r="D42" s="232"/>
      <c r="E42" s="63"/>
      <c r="F42" s="63"/>
      <c r="G42" s="63"/>
      <c r="I42" s="63"/>
      <c r="J42" s="63"/>
      <c r="K42" s="63"/>
      <c r="L42" s="63"/>
      <c r="M42" s="63"/>
      <c r="N42" s="63"/>
    </row>
    <row r="43" spans="4:35">
      <c r="D43" s="232"/>
      <c r="E43" s="63"/>
      <c r="F43" s="63"/>
      <c r="G43" s="63"/>
      <c r="I43" s="63"/>
      <c r="J43" s="63"/>
      <c r="K43" s="63"/>
      <c r="L43" s="63"/>
      <c r="M43" s="63"/>
      <c r="N43" s="63"/>
    </row>
    <row r="44" spans="4:35">
      <c r="D44" s="63" t="s">
        <v>1041</v>
      </c>
      <c r="E44" s="63"/>
      <c r="F44" s="63"/>
      <c r="G44" s="63"/>
      <c r="I44" s="63"/>
      <c r="J44" s="63"/>
      <c r="K44" s="63"/>
      <c r="L44" s="63"/>
      <c r="M44" s="63"/>
      <c r="N44" s="63"/>
    </row>
    <row r="45" spans="4:35">
      <c r="D45" s="226"/>
      <c r="E45" s="227" t="s">
        <v>693</v>
      </c>
      <c r="F45" s="63"/>
      <c r="G45" s="63"/>
      <c r="I45" s="63"/>
      <c r="J45" s="63"/>
      <c r="K45" s="63"/>
      <c r="L45" s="63"/>
      <c r="M45" s="63"/>
      <c r="N45" s="63"/>
    </row>
    <row r="46" spans="4:35">
      <c r="D46" s="112" t="s">
        <v>402</v>
      </c>
      <c r="E46" s="114" t="str">
        <f>'21'!E21</f>
        <v>당반기</v>
      </c>
      <c r="F46" s="114" t="str">
        <f>'21'!F21</f>
        <v>전기</v>
      </c>
      <c r="G46" s="63"/>
      <c r="I46" s="63"/>
      <c r="J46" s="63"/>
      <c r="K46" s="63"/>
      <c r="L46" s="63"/>
      <c r="M46" s="63"/>
      <c r="N46" s="63"/>
    </row>
    <row r="47" spans="4:35">
      <c r="D47" s="136" t="s">
        <v>694</v>
      </c>
      <c r="E47" s="236"/>
      <c r="F47" s="236"/>
      <c r="G47" s="63"/>
      <c r="I47" s="63"/>
      <c r="J47" s="63"/>
      <c r="K47" s="63"/>
      <c r="L47" s="63"/>
      <c r="M47" s="63"/>
      <c r="N47" s="63"/>
    </row>
    <row r="48" spans="4:35">
      <c r="D48" s="67" t="s">
        <v>695</v>
      </c>
      <c r="E48" s="237">
        <f>G16</f>
        <v>268245539</v>
      </c>
      <c r="F48" s="237"/>
      <c r="G48" s="63" t="b">
        <f>E48=G16</f>
        <v>1</v>
      </c>
      <c r="I48" s="63"/>
      <c r="J48" s="63"/>
      <c r="K48" s="63"/>
      <c r="L48" s="63"/>
      <c r="M48" s="63"/>
      <c r="N48" s="63"/>
    </row>
    <row r="49" spans="4:35">
      <c r="D49" s="136" t="s">
        <v>696</v>
      </c>
      <c r="E49" s="122">
        <f>L50+L51</f>
        <v>6709000</v>
      </c>
      <c r="F49" s="122"/>
      <c r="G49" s="123"/>
      <c r="I49" s="63"/>
      <c r="J49" s="63"/>
      <c r="K49" s="63"/>
      <c r="L49" s="63"/>
      <c r="M49" s="63"/>
      <c r="N49" s="63"/>
    </row>
    <row r="50" spans="4:35">
      <c r="D50" s="136" t="s">
        <v>697</v>
      </c>
      <c r="E50" s="122">
        <f>L52+L53</f>
        <v>3318173</v>
      </c>
      <c r="F50" s="122"/>
      <c r="G50" s="123"/>
      <c r="I50" s="324" t="s">
        <v>1254</v>
      </c>
      <c r="J50" s="324" t="s">
        <v>1255</v>
      </c>
      <c r="K50" s="324" t="s">
        <v>1260</v>
      </c>
      <c r="L50" s="63"/>
      <c r="M50" s="166"/>
      <c r="N50" s="115"/>
      <c r="O50" s="63"/>
      <c r="P50" s="63"/>
      <c r="Q50" s="63"/>
      <c r="R50" s="63"/>
      <c r="S50" s="63"/>
      <c r="T50" s="63"/>
      <c r="U50" s="63"/>
      <c r="V50" s="63"/>
      <c r="W50" s="63"/>
      <c r="X50" s="63"/>
      <c r="Y50" s="63"/>
      <c r="Z50" s="63"/>
      <c r="AA50" s="63"/>
      <c r="AB50" s="63"/>
      <c r="AC50" s="63"/>
      <c r="AD50" s="63"/>
      <c r="AE50" s="63"/>
      <c r="AF50" s="63"/>
      <c r="AG50" s="63"/>
      <c r="AH50" s="63"/>
      <c r="AI50" s="63"/>
    </row>
    <row r="51" spans="4:35">
      <c r="D51" s="136" t="s">
        <v>118</v>
      </c>
      <c r="E51" s="238"/>
      <c r="F51" s="238"/>
      <c r="G51" s="63"/>
      <c r="I51" s="324" t="s">
        <v>1254</v>
      </c>
      <c r="J51" s="324" t="s">
        <v>1255</v>
      </c>
      <c r="K51" s="324" t="s">
        <v>1867</v>
      </c>
      <c r="L51" s="324">
        <v>6709000</v>
      </c>
      <c r="M51" s="63"/>
      <c r="N51" s="63"/>
      <c r="O51" s="63"/>
      <c r="P51" s="63"/>
      <c r="Q51" s="63"/>
      <c r="R51" s="63"/>
      <c r="S51" s="63"/>
      <c r="T51" s="63"/>
      <c r="U51" s="63"/>
      <c r="V51" s="63"/>
      <c r="W51" s="63"/>
      <c r="X51" s="63"/>
      <c r="Y51" s="63"/>
      <c r="Z51" s="63"/>
      <c r="AA51" s="63"/>
      <c r="AB51" s="63"/>
      <c r="AC51" s="63"/>
      <c r="AD51" s="63"/>
      <c r="AE51" s="63"/>
      <c r="AF51" s="63"/>
      <c r="AG51" s="63"/>
      <c r="AH51" s="63"/>
      <c r="AI51" s="63"/>
    </row>
    <row r="52" spans="4:35">
      <c r="D52" s="77" t="s">
        <v>698</v>
      </c>
      <c r="E52" s="111">
        <f>E31</f>
        <v>27061673</v>
      </c>
      <c r="F52" s="111"/>
      <c r="G52" s="63" t="b">
        <f>E52=E31</f>
        <v>1</v>
      </c>
      <c r="I52" s="324" t="s">
        <v>1257</v>
      </c>
      <c r="J52" s="324" t="s">
        <v>1256</v>
      </c>
      <c r="K52" s="324" t="s">
        <v>1259</v>
      </c>
      <c r="L52" s="324"/>
      <c r="N52" s="63"/>
      <c r="O52" s="63"/>
      <c r="P52" s="63"/>
      <c r="Q52" s="63"/>
      <c r="R52" s="63"/>
      <c r="S52" s="63"/>
      <c r="T52" s="63"/>
      <c r="U52" s="63"/>
      <c r="V52" s="63"/>
      <c r="W52" s="63"/>
      <c r="X52" s="63"/>
      <c r="Y52" s="63"/>
      <c r="Z52" s="63"/>
      <c r="AA52" s="63"/>
      <c r="AB52" s="63"/>
      <c r="AC52" s="63"/>
      <c r="AD52" s="63"/>
      <c r="AE52" s="63"/>
      <c r="AF52" s="63"/>
      <c r="AG52" s="63"/>
      <c r="AH52" s="63"/>
      <c r="AI52" s="63"/>
    </row>
    <row r="53" spans="4:35">
      <c r="D53" s="63"/>
      <c r="E53" s="63"/>
      <c r="F53" s="63"/>
      <c r="G53" s="115"/>
      <c r="I53" s="324" t="s">
        <v>1257</v>
      </c>
      <c r="J53" s="324" t="s">
        <v>1261</v>
      </c>
      <c r="K53" s="324" t="s">
        <v>1258</v>
      </c>
      <c r="L53" s="324">
        <v>3318173</v>
      </c>
      <c r="N53" s="63"/>
      <c r="O53" s="63"/>
      <c r="P53" s="63"/>
      <c r="Q53" s="63"/>
      <c r="R53" s="63"/>
      <c r="S53" s="63"/>
      <c r="T53" s="63"/>
      <c r="U53" s="63"/>
      <c r="V53" s="63"/>
      <c r="W53" s="63"/>
      <c r="X53" s="63"/>
      <c r="Y53" s="63"/>
      <c r="Z53" s="63"/>
      <c r="AA53" s="63"/>
      <c r="AB53" s="63"/>
      <c r="AC53" s="63"/>
      <c r="AD53" s="63"/>
      <c r="AE53" s="63"/>
      <c r="AF53" s="63"/>
      <c r="AG53" s="63"/>
      <c r="AH53" s="63"/>
      <c r="AI53" s="63"/>
    </row>
    <row r="54" spans="4:35">
      <c r="L54" s="55" t="s">
        <v>1522</v>
      </c>
    </row>
    <row r="63" spans="4:35">
      <c r="F63" s="786">
        <v>46203</v>
      </c>
    </row>
    <row r="65" spans="4:17">
      <c r="G65" s="55" t="s">
        <v>1664</v>
      </c>
      <c r="H65" s="55" t="s">
        <v>1665</v>
      </c>
      <c r="I65" s="63" t="s">
        <v>319</v>
      </c>
      <c r="J65" s="63" t="s">
        <v>320</v>
      </c>
      <c r="K65" s="55" t="s">
        <v>321</v>
      </c>
      <c r="L65" s="55" t="s">
        <v>322</v>
      </c>
      <c r="N65" s="63" t="s">
        <v>319</v>
      </c>
      <c r="O65" s="63" t="s">
        <v>320</v>
      </c>
      <c r="P65" s="55" t="s">
        <v>321</v>
      </c>
      <c r="Q65" s="55" t="s">
        <v>322</v>
      </c>
    </row>
    <row r="66" spans="4:17">
      <c r="D66" s="55" t="s">
        <v>1524</v>
      </c>
      <c r="E66" s="786">
        <v>45992</v>
      </c>
      <c r="F66" s="786">
        <v>48182</v>
      </c>
      <c r="G66" s="55">
        <v>12776000</v>
      </c>
      <c r="H66" s="429">
        <f>DATEDIF($F$63,F66+1,"m")</f>
        <v>65</v>
      </c>
      <c r="I66" s="55">
        <f>MIN(H66,12)</f>
        <v>12</v>
      </c>
      <c r="J66" s="55">
        <f>MIN($H66-SUM($I66:I66),12)</f>
        <v>12</v>
      </c>
      <c r="K66" s="55">
        <f>MIN($H66-SUM($I66:J66),12)</f>
        <v>12</v>
      </c>
      <c r="L66" s="55">
        <f>$H66-SUM($I66:K66)</f>
        <v>29</v>
      </c>
      <c r="M66" s="55" t="b">
        <f>SUM(I66:L66)=H66</f>
        <v>1</v>
      </c>
      <c r="N66" s="55">
        <f t="shared" ref="N66:Q74" si="0">I66*$G66</f>
        <v>153312000</v>
      </c>
      <c r="O66" s="55">
        <f t="shared" si="0"/>
        <v>153312000</v>
      </c>
      <c r="P66" s="55">
        <f t="shared" si="0"/>
        <v>153312000</v>
      </c>
      <c r="Q66" s="55">
        <f t="shared" si="0"/>
        <v>370504000</v>
      </c>
    </row>
    <row r="67" spans="4:17">
      <c r="D67" s="55" t="s">
        <v>1997</v>
      </c>
      <c r="E67" s="786">
        <v>45962</v>
      </c>
      <c r="F67" s="786">
        <v>46691</v>
      </c>
      <c r="G67" s="55">
        <v>3192000</v>
      </c>
      <c r="H67" s="429">
        <f>DATEDIF($F$63,F67+1,"m")</f>
        <v>16</v>
      </c>
      <c r="I67" s="55">
        <f t="shared" ref="I67:I75" si="1">MIN(H67,12)</f>
        <v>12</v>
      </c>
      <c r="J67" s="55">
        <f>MIN($H67-SUM($I67:I67),12)</f>
        <v>4</v>
      </c>
      <c r="K67" s="55">
        <f>MIN($H67-SUM($I67:J67),12)</f>
        <v>0</v>
      </c>
      <c r="L67" s="55">
        <f>MIN($H67-SUM($I67:K67),12)</f>
        <v>0</v>
      </c>
      <c r="M67" s="55" t="b">
        <f t="shared" ref="M67:M75" si="2">SUM(I67:L67)=H67</f>
        <v>1</v>
      </c>
      <c r="N67" s="55">
        <f t="shared" si="0"/>
        <v>38304000</v>
      </c>
      <c r="O67" s="55">
        <f t="shared" si="0"/>
        <v>12768000</v>
      </c>
      <c r="P67" s="55">
        <f t="shared" si="0"/>
        <v>0</v>
      </c>
      <c r="Q67" s="55">
        <f t="shared" si="0"/>
        <v>0</v>
      </c>
    </row>
    <row r="68" spans="4:17">
      <c r="D68" s="55" t="s">
        <v>1998</v>
      </c>
      <c r="E68" s="786">
        <v>45992</v>
      </c>
      <c r="F68" s="786">
        <v>46721</v>
      </c>
      <c r="G68" s="55">
        <v>20339000</v>
      </c>
      <c r="H68" s="429">
        <f t="shared" ref="H68:H75" si="3">DATEDIF($F$63,F68+1,"m")</f>
        <v>17</v>
      </c>
      <c r="I68" s="55">
        <f t="shared" si="1"/>
        <v>12</v>
      </c>
      <c r="J68" s="55">
        <f>MIN($H68-SUM($I68:I68),12)</f>
        <v>5</v>
      </c>
      <c r="K68" s="55">
        <f>MIN($H68-SUM($I68:J68),12)</f>
        <v>0</v>
      </c>
      <c r="L68" s="55">
        <f>MIN($H68-SUM($I68:K68),12)</f>
        <v>0</v>
      </c>
      <c r="M68" s="55" t="b">
        <f t="shared" si="2"/>
        <v>1</v>
      </c>
      <c r="N68" s="55">
        <f t="shared" si="0"/>
        <v>244068000</v>
      </c>
      <c r="O68" s="55">
        <f t="shared" si="0"/>
        <v>101695000</v>
      </c>
      <c r="P68" s="55">
        <f t="shared" si="0"/>
        <v>0</v>
      </c>
      <c r="Q68" s="55">
        <f t="shared" si="0"/>
        <v>0</v>
      </c>
    </row>
    <row r="69" spans="4:17">
      <c r="D69" s="55" t="s">
        <v>1999</v>
      </c>
      <c r="E69" s="786">
        <v>45901</v>
      </c>
      <c r="F69" s="786">
        <v>46630</v>
      </c>
      <c r="G69" s="55">
        <v>5100000</v>
      </c>
      <c r="H69" s="429">
        <f t="shared" si="3"/>
        <v>14</v>
      </c>
      <c r="I69" s="55">
        <f t="shared" ref="I69" si="4">MIN(H69,12)</f>
        <v>12</v>
      </c>
      <c r="J69" s="55">
        <f>MIN($H69-SUM($I69:I69),12)</f>
        <v>2</v>
      </c>
      <c r="K69" s="55">
        <f>MIN($H69-SUM($I69:J69),12)</f>
        <v>0</v>
      </c>
      <c r="L69" s="55">
        <f>MIN($H69-SUM($I69:K69),12)</f>
        <v>0</v>
      </c>
      <c r="M69" s="55" t="b">
        <f t="shared" ref="M69" si="5">SUM(I69:L69)=H69</f>
        <v>1</v>
      </c>
      <c r="N69" s="55">
        <f t="shared" ref="N69" si="6">I69*$G69</f>
        <v>61200000</v>
      </c>
      <c r="O69" s="55">
        <f t="shared" ref="O69" si="7">J69*$G69</f>
        <v>10200000</v>
      </c>
      <c r="P69" s="55">
        <f t="shared" ref="P69" si="8">K69*$G69</f>
        <v>0</v>
      </c>
      <c r="Q69" s="55">
        <f t="shared" ref="Q69" si="9">L69*$G69</f>
        <v>0</v>
      </c>
    </row>
    <row r="70" spans="4:17">
      <c r="D70" s="55" t="s">
        <v>1866</v>
      </c>
      <c r="E70" s="786">
        <v>45798</v>
      </c>
      <c r="F70" s="786">
        <v>47624</v>
      </c>
      <c r="G70" s="55">
        <v>947800</v>
      </c>
      <c r="H70" s="429">
        <f t="shared" si="3"/>
        <v>46</v>
      </c>
      <c r="I70" s="55">
        <f t="shared" si="1"/>
        <v>12</v>
      </c>
      <c r="J70" s="55">
        <f>MIN($H70-SUM($I70:I70),12)</f>
        <v>12</v>
      </c>
      <c r="K70" s="55">
        <f>MIN($H70-SUM($I70:J70),12)</f>
        <v>12</v>
      </c>
      <c r="L70" s="55">
        <f>$H70-SUM($I70:K70)</f>
        <v>10</v>
      </c>
      <c r="M70" s="55" t="b">
        <f t="shared" si="2"/>
        <v>1</v>
      </c>
      <c r="N70" s="55">
        <f t="shared" si="0"/>
        <v>11373600</v>
      </c>
      <c r="O70" s="55">
        <f t="shared" si="0"/>
        <v>11373600</v>
      </c>
      <c r="P70" s="55">
        <f t="shared" si="0"/>
        <v>11373600</v>
      </c>
      <c r="Q70" s="55">
        <f t="shared" si="0"/>
        <v>9478000</v>
      </c>
    </row>
    <row r="71" spans="4:17">
      <c r="E71" s="786"/>
      <c r="F71" s="786"/>
      <c r="H71" s="429"/>
    </row>
    <row r="72" spans="4:17">
      <c r="D72" s="55" t="s">
        <v>1451</v>
      </c>
      <c r="E72" s="786">
        <v>45573</v>
      </c>
      <c r="F72" s="786">
        <v>47167</v>
      </c>
      <c r="G72" s="55">
        <v>2171200</v>
      </c>
      <c r="H72" s="429">
        <f t="shared" si="3"/>
        <v>31</v>
      </c>
      <c r="I72" s="55">
        <f t="shared" si="1"/>
        <v>12</v>
      </c>
      <c r="J72" s="55">
        <f>MIN($H72-SUM($I72:I72),12)</f>
        <v>12</v>
      </c>
      <c r="K72" s="55">
        <f>MIN($H72-SUM($I72:J72),12)</f>
        <v>7</v>
      </c>
      <c r="L72" s="55">
        <f>MIN($H72-SUM($I72:K72),12)</f>
        <v>0</v>
      </c>
      <c r="M72" s="55" t="b">
        <f t="shared" si="2"/>
        <v>1</v>
      </c>
      <c r="N72" s="55">
        <f>I72*$G72</f>
        <v>26054400</v>
      </c>
      <c r="O72" s="55">
        <f t="shared" si="0"/>
        <v>26054400</v>
      </c>
      <c r="P72" s="55">
        <f t="shared" si="0"/>
        <v>15198400</v>
      </c>
      <c r="Q72" s="55">
        <f t="shared" si="0"/>
        <v>0</v>
      </c>
    </row>
    <row r="73" spans="4:17">
      <c r="D73" s="55" t="s">
        <v>1798</v>
      </c>
      <c r="E73" s="786">
        <v>45307</v>
      </c>
      <c r="F73" s="786">
        <v>46767</v>
      </c>
      <c r="G73" s="55">
        <v>292278</v>
      </c>
      <c r="H73" s="429">
        <f t="shared" si="3"/>
        <v>18</v>
      </c>
      <c r="I73" s="55">
        <f t="shared" si="1"/>
        <v>12</v>
      </c>
      <c r="J73" s="55">
        <f>MIN($H73-SUM($I73:I73),12)</f>
        <v>6</v>
      </c>
      <c r="K73" s="55">
        <f>MIN($H73-SUM($I73:J73),12)</f>
        <v>0</v>
      </c>
      <c r="L73" s="55">
        <f>MIN($H73-SUM($I73:K73),12)</f>
        <v>0</v>
      </c>
      <c r="M73" s="55" t="b">
        <f t="shared" si="2"/>
        <v>1</v>
      </c>
      <c r="N73" s="55">
        <f t="shared" si="0"/>
        <v>3507336</v>
      </c>
      <c r="O73" s="55">
        <f t="shared" si="0"/>
        <v>1753668</v>
      </c>
      <c r="P73" s="55">
        <f t="shared" si="0"/>
        <v>0</v>
      </c>
      <c r="Q73" s="55">
        <f t="shared" si="0"/>
        <v>0</v>
      </c>
    </row>
    <row r="74" spans="4:17">
      <c r="D74" s="55" t="s">
        <v>1799</v>
      </c>
      <c r="E74" s="786">
        <v>45702</v>
      </c>
      <c r="F74" s="786">
        <v>47162</v>
      </c>
      <c r="G74" s="55">
        <v>283637</v>
      </c>
      <c r="H74" s="429">
        <f t="shared" si="3"/>
        <v>31</v>
      </c>
      <c r="I74" s="55">
        <f t="shared" si="1"/>
        <v>12</v>
      </c>
      <c r="J74" s="55">
        <f>MIN($H74-SUM($I74:I74),12)</f>
        <v>12</v>
      </c>
      <c r="K74" s="55">
        <f>MIN($H74-SUM($I74:J74),12)</f>
        <v>7</v>
      </c>
      <c r="L74" s="55">
        <f>MIN($H74-SUM($I74:K74),12)</f>
        <v>0</v>
      </c>
      <c r="M74" s="55" t="b">
        <f t="shared" si="2"/>
        <v>1</v>
      </c>
      <c r="N74" s="55">
        <f t="shared" si="0"/>
        <v>3403644</v>
      </c>
      <c r="O74" s="55">
        <f t="shared" si="0"/>
        <v>3403644</v>
      </c>
      <c r="P74" s="55">
        <f t="shared" si="0"/>
        <v>1985459</v>
      </c>
      <c r="Q74" s="55">
        <f t="shared" si="0"/>
        <v>0</v>
      </c>
    </row>
    <row r="75" spans="4:17">
      <c r="D75" s="55" t="s">
        <v>2372</v>
      </c>
      <c r="E75" s="786">
        <v>46143</v>
      </c>
      <c r="F75" s="786">
        <v>46647</v>
      </c>
      <c r="G75" s="55">
        <v>540000</v>
      </c>
      <c r="H75" s="429">
        <f t="shared" si="3"/>
        <v>14</v>
      </c>
      <c r="I75" s="55">
        <f t="shared" si="1"/>
        <v>12</v>
      </c>
      <c r="J75" s="55">
        <f>MIN($H75-SUM($I75:I75),12)</f>
        <v>2</v>
      </c>
      <c r="K75" s="55">
        <f>MIN($H75-SUM($I75:J75),12)</f>
        <v>0</v>
      </c>
      <c r="L75" s="55">
        <f>MIN($H75-SUM($I75:K75),12)</f>
        <v>0</v>
      </c>
      <c r="M75" s="55" t="b">
        <f t="shared" si="2"/>
        <v>1</v>
      </c>
      <c r="N75" s="55">
        <f t="shared" ref="N75" si="10">I75*$G75</f>
        <v>6480000</v>
      </c>
      <c r="O75" s="55">
        <f t="shared" ref="O75" si="11">J75*$G75</f>
        <v>1080000</v>
      </c>
      <c r="P75" s="55">
        <f t="shared" ref="P75" si="12">K75*$G75</f>
        <v>0</v>
      </c>
      <c r="Q75" s="55">
        <f t="shared" ref="Q75" si="13">L75*$G75</f>
        <v>0</v>
      </c>
    </row>
    <row r="78" spans="4:17">
      <c r="N78" s="55">
        <f>SUM(N66:N77)</f>
        <v>547702980</v>
      </c>
      <c r="O78" s="55">
        <f>SUM(O66:O77)</f>
        <v>321640312</v>
      </c>
      <c r="P78" s="55">
        <f>SUM(P66:P77)</f>
        <v>181869459</v>
      </c>
      <c r="Q78" s="55">
        <f>SUM(Q66:Q77)</f>
        <v>379982000</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9" operator="containsText" id="{81971141-11D4-4AF3-ABA4-8E3400144982}">
            <xm:f>NOT(ISERROR(SEARCH("TRUE",A1)))</xm:f>
            <xm:f>"TRUE"</xm:f>
            <x14:dxf>
              <fill>
                <patternFill>
                  <bgColor theme="9" tint="0.79998168889431442"/>
                </patternFill>
              </fill>
            </x14:dxf>
          </x14:cfRule>
          <x14:cfRule type="containsText" priority="20" operator="containsText" id="{B531B131-3A94-444A-B30B-778E29392A6F}">
            <xm:f>NOT(ISERROR(SEARCH("FALSE",A1)))</xm:f>
            <xm:f>"FALSE"</xm:f>
            <x14:dxf>
              <fill>
                <patternFill>
                  <bgColor theme="5"/>
                </patternFill>
              </fill>
            </x14:dxf>
          </x14:cfRule>
          <xm:sqref>A1:XFD34 A31:G36 A37:F37 G37:G38 A38:D38</xm:sqref>
        </x14:conditionalFormatting>
        <x14:conditionalFormatting xmlns:xm="http://schemas.microsoft.com/office/excel/2006/main">
          <x14:cfRule type="containsText" priority="1" operator="containsText" id="{2A77B14C-AD76-49DD-9858-5D89790C0B81}">
            <xm:f>NOT(ISERROR(SEARCH("TRUE",A50)))</xm:f>
            <xm:f>"TRUE"</xm:f>
            <x14:dxf>
              <fill>
                <patternFill>
                  <bgColor theme="9" tint="0.79998168889431442"/>
                </patternFill>
              </fill>
            </x14:dxf>
          </x14:cfRule>
          <x14:cfRule type="containsText" priority="2" operator="containsText" id="{F8E9D84A-EDD5-400A-A27E-02129D7913BF}">
            <xm:f>NOT(ISERROR(SEARCH("FALSE",A50)))</xm:f>
            <xm:f>"FALSE"</xm:f>
            <x14:dxf>
              <fill>
                <patternFill>
                  <bgColor theme="5"/>
                </patternFill>
              </fill>
            </x14:dxf>
          </x14:cfRule>
          <xm:sqref>A50:XFD1048576</xm:sqref>
        </x14:conditionalFormatting>
        <x14:conditionalFormatting xmlns:xm="http://schemas.microsoft.com/office/excel/2006/main">
          <x14:cfRule type="containsText" priority="15" operator="containsText" id="{D17CDFCF-722E-4109-8470-7405FBD281FB}">
            <xm:f>NOT(ISERROR(SEARCH("TRUE",H33)))</xm:f>
            <xm:f>"TRUE"</xm:f>
            <x14:dxf>
              <fill>
                <patternFill>
                  <bgColor theme="9" tint="0.79998168889431442"/>
                </patternFill>
              </fill>
            </x14:dxf>
          </x14:cfRule>
          <x14:cfRule type="containsText" priority="16" operator="containsText" id="{C8B689C6-39F1-46C1-A2BC-509A42BB431C}">
            <xm:f>NOT(ISERROR(SEARCH("FALSE",H33)))</xm:f>
            <xm:f>"FALSE"</xm:f>
            <x14:dxf>
              <fill>
                <patternFill>
                  <bgColor theme="5"/>
                </patternFill>
              </fill>
            </x14:dxf>
          </x14:cfRule>
          <xm:sqref>H33:H35</xm:sqref>
        </x14:conditionalFormatting>
        <x14:conditionalFormatting xmlns:xm="http://schemas.microsoft.com/office/excel/2006/main">
          <x14:cfRule type="containsText" priority="11" operator="containsText" id="{F8F4EEF4-EACC-4442-B879-CBF78C49A30A}">
            <xm:f>NOT(ISERROR(SEARCH("TRUE",A31)))</xm:f>
            <xm:f>"TRUE"</xm:f>
            <x14:dxf>
              <fill>
                <patternFill>
                  <bgColor theme="9" tint="0.79998168889431442"/>
                </patternFill>
              </fill>
            </x14:dxf>
          </x14:cfRule>
          <x14:cfRule type="containsText" priority="12" operator="containsText" id="{72BF51E2-7322-4AF2-B4E0-3DA861A46AC2}">
            <xm:f>NOT(ISERROR(SEARCH("FALSE",A31)))</xm:f>
            <xm:f>"FALSE"</xm:f>
            <x14:dxf>
              <fill>
                <patternFill>
                  <bgColor theme="5"/>
                </patternFill>
              </fill>
            </x14:dxf>
          </x14:cfRule>
          <xm:sqref>I31:XFD49 A35:H49</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6"/>
  <dimension ref="B2:P61"/>
  <sheetViews>
    <sheetView showGridLines="0" zoomScaleNormal="100" workbookViewId="0">
      <selection activeCell="E22" sqref="E22:E24"/>
    </sheetView>
  </sheetViews>
  <sheetFormatPr defaultColWidth="8.5703125" defaultRowHeight="15" outlineLevelRow="1"/>
  <cols>
    <col min="1" max="2" width="1.85546875" style="55" customWidth="1"/>
    <col min="3" max="3" width="1.5" style="55" customWidth="1"/>
    <col min="4" max="4" width="26.0703125" style="55" customWidth="1"/>
    <col min="5" max="5" width="19.0703125" style="55" customWidth="1"/>
    <col min="6" max="14" width="17.0703125" style="55" customWidth="1"/>
    <col min="15" max="15" width="11.35546875" style="55" bestFit="1" customWidth="1"/>
    <col min="16" max="16" width="12.5703125" style="55" bestFit="1" customWidth="1"/>
    <col min="17" max="18" width="10.0703125" style="55" bestFit="1" customWidth="1"/>
    <col min="19" max="16384" width="8.5703125" style="55"/>
  </cols>
  <sheetData>
    <row r="2" spans="2:16">
      <c r="B2" s="54" t="s">
        <v>1567</v>
      </c>
      <c r="E2" s="61"/>
    </row>
    <row r="4" spans="2:16">
      <c r="D4" s="62" t="s">
        <v>406</v>
      </c>
      <c r="E4" s="62"/>
      <c r="F4" s="62"/>
      <c r="G4" s="63"/>
      <c r="H4" s="63"/>
      <c r="I4" s="63"/>
      <c r="J4" s="63"/>
      <c r="K4" s="63"/>
      <c r="L4" s="63"/>
      <c r="M4" s="63"/>
      <c r="N4" s="63"/>
      <c r="O4" s="63"/>
      <c r="P4" s="63"/>
    </row>
    <row r="5" spans="2:16">
      <c r="D5" s="64"/>
      <c r="E5" s="63"/>
      <c r="F5" s="166" t="s">
        <v>272</v>
      </c>
      <c r="G5" s="63"/>
      <c r="H5" s="63"/>
      <c r="I5" s="63"/>
      <c r="J5" s="63"/>
      <c r="K5" s="63"/>
      <c r="L5" s="63"/>
      <c r="M5" s="63"/>
      <c r="N5" s="63"/>
      <c r="O5" s="63"/>
      <c r="P5" s="63"/>
    </row>
    <row r="6" spans="2:16">
      <c r="D6" s="112" t="s">
        <v>237</v>
      </c>
      <c r="E6" s="113" t="str">
        <f>PL!H1</f>
        <v>당반기</v>
      </c>
      <c r="F6" s="113" t="s">
        <v>1226</v>
      </c>
      <c r="G6" s="260" t="s">
        <v>1044</v>
      </c>
      <c r="H6" s="153"/>
      <c r="I6" s="63"/>
      <c r="J6" s="63"/>
      <c r="K6" s="63"/>
      <c r="L6" s="63"/>
      <c r="M6" s="63"/>
      <c r="N6" s="63"/>
      <c r="O6" s="63"/>
      <c r="P6" s="63"/>
    </row>
    <row r="7" spans="2:16">
      <c r="D7" s="67" t="s">
        <v>407</v>
      </c>
      <c r="E7" s="70">
        <f>F15</f>
        <v>1587206234</v>
      </c>
      <c r="F7" s="70">
        <v>1355144834</v>
      </c>
      <c r="G7" s="118"/>
      <c r="H7" s="153"/>
      <c r="I7" s="153"/>
      <c r="J7" s="63"/>
      <c r="K7" s="63"/>
      <c r="L7" s="63"/>
      <c r="M7" s="63"/>
      <c r="N7" s="63"/>
      <c r="O7" s="63"/>
      <c r="P7" s="63"/>
    </row>
    <row r="8" spans="2:16">
      <c r="D8" s="67" t="s">
        <v>408</v>
      </c>
      <c r="E8" s="70">
        <f>ROUND(334129668/4*2,)</f>
        <v>167064834</v>
      </c>
      <c r="F8" s="70">
        <v>363813959</v>
      </c>
      <c r="G8" s="118" t="b">
        <f>SUM(E8:E9)=CF!D12</f>
        <v>1</v>
      </c>
      <c r="H8" s="153"/>
      <c r="I8" s="153"/>
      <c r="J8" s="63"/>
      <c r="K8" s="63"/>
      <c r="L8" s="63"/>
      <c r="M8" s="63"/>
      <c r="N8" s="63"/>
      <c r="O8" s="63"/>
      <c r="P8" s="63"/>
    </row>
    <row r="9" spans="2:16">
      <c r="D9" s="67" t="s">
        <v>25</v>
      </c>
      <c r="E9" s="70">
        <f>ROUND(41909112/4*2,)</f>
        <v>20954556</v>
      </c>
      <c r="F9" s="70">
        <v>32296464</v>
      </c>
      <c r="G9" s="118"/>
      <c r="H9" s="153"/>
      <c r="I9" s="153"/>
      <c r="J9" s="63"/>
      <c r="K9" s="63"/>
      <c r="L9" s="63"/>
      <c r="M9" s="63"/>
      <c r="N9" s="63"/>
      <c r="O9" s="63"/>
      <c r="P9" s="63"/>
    </row>
    <row r="10" spans="2:16" ht="15.45" thickBot="1">
      <c r="D10" s="67" t="s">
        <v>409</v>
      </c>
      <c r="E10" s="147">
        <f>SUM(E11:E12)</f>
        <v>0</v>
      </c>
      <c r="F10" s="147">
        <f>SUM(F11:F12)</f>
        <v>-51453878</v>
      </c>
      <c r="G10" s="118"/>
      <c r="H10" s="153"/>
      <c r="I10" s="153"/>
      <c r="J10" s="63"/>
      <c r="K10" s="63"/>
      <c r="L10" s="63"/>
      <c r="M10" s="63"/>
      <c r="N10" s="63"/>
      <c r="O10" s="63"/>
      <c r="P10" s="63"/>
    </row>
    <row r="11" spans="2:16">
      <c r="D11" s="136" t="s">
        <v>415</v>
      </c>
      <c r="E11" s="239">
        <v>0</v>
      </c>
      <c r="F11" s="239">
        <v>-23153824</v>
      </c>
      <c r="G11" s="118"/>
      <c r="H11" s="153"/>
      <c r="I11" s="153"/>
      <c r="J11" s="63"/>
      <c r="K11" s="63"/>
      <c r="L11" s="63"/>
      <c r="M11" s="63"/>
      <c r="N11" s="63"/>
      <c r="O11" s="63"/>
      <c r="P11" s="63"/>
    </row>
    <row r="12" spans="2:16" ht="15.45" thickBot="1">
      <c r="D12" s="136" t="s">
        <v>410</v>
      </c>
      <c r="E12" s="240">
        <v>0</v>
      </c>
      <c r="F12" s="240">
        <v>-28300054</v>
      </c>
      <c r="G12" s="118"/>
      <c r="H12" s="153"/>
      <c r="I12" s="153"/>
      <c r="J12" s="63"/>
      <c r="K12" s="63"/>
      <c r="L12" s="63"/>
      <c r="M12" s="63"/>
      <c r="N12" s="63"/>
      <c r="O12" s="63"/>
      <c r="P12" s="63"/>
    </row>
    <row r="13" spans="2:16">
      <c r="D13" s="67" t="s">
        <v>411</v>
      </c>
      <c r="E13" s="241">
        <v>-1064848974</v>
      </c>
      <c r="F13" s="241">
        <v>-112595145</v>
      </c>
      <c r="G13" s="118" t="b">
        <f>CF!D33=E13</f>
        <v>1</v>
      </c>
      <c r="H13" s="153"/>
      <c r="I13" s="153"/>
      <c r="J13" s="63"/>
      <c r="K13" s="63"/>
      <c r="L13" s="63"/>
      <c r="M13" s="63"/>
      <c r="N13" s="63"/>
      <c r="O13" s="63"/>
      <c r="P13" s="63"/>
    </row>
    <row r="14" spans="2:16">
      <c r="D14" s="553" t="s">
        <v>1227</v>
      </c>
      <c r="E14" s="556">
        <f>'CF정산표(26.2Q)'!P94</f>
        <v>0</v>
      </c>
      <c r="F14" s="556">
        <v>0</v>
      </c>
      <c r="G14" s="118"/>
      <c r="H14" s="153"/>
      <c r="I14" s="153"/>
      <c r="J14" s="63"/>
      <c r="K14" s="63"/>
      <c r="L14" s="63"/>
      <c r="M14" s="63"/>
      <c r="N14" s="63"/>
      <c r="O14" s="63"/>
      <c r="P14" s="63"/>
    </row>
    <row r="15" spans="2:16">
      <c r="D15" s="77" t="s">
        <v>412</v>
      </c>
      <c r="E15" s="242">
        <f>SUM(E7:E10)+E13+E14</f>
        <v>710376650</v>
      </c>
      <c r="F15" s="242">
        <f>SUM(F7:F10)+F13+F14</f>
        <v>1587206234</v>
      </c>
      <c r="G15" s="118"/>
      <c r="H15" s="153"/>
      <c r="I15" s="153"/>
      <c r="J15" s="63"/>
      <c r="K15" s="63"/>
      <c r="L15" s="63"/>
      <c r="M15" s="63"/>
      <c r="N15" s="63"/>
      <c r="O15" s="63"/>
      <c r="P15" s="63"/>
    </row>
    <row r="16" spans="2:16">
      <c r="D16" s="125"/>
      <c r="E16" s="75" t="b">
        <f>E15=BS!E87</f>
        <v>1</v>
      </c>
      <c r="F16" s="75" t="b">
        <f>F15=BS!F87</f>
        <v>1</v>
      </c>
      <c r="G16" s="118"/>
      <c r="H16" s="153"/>
      <c r="I16" s="153"/>
      <c r="J16" s="63"/>
      <c r="K16" s="63"/>
      <c r="L16" s="63"/>
      <c r="M16" s="63"/>
      <c r="N16" s="63"/>
      <c r="O16" s="63"/>
      <c r="P16" s="63"/>
    </row>
    <row r="17" spans="4:16">
      <c r="D17" s="125"/>
      <c r="E17" s="119"/>
      <c r="F17" s="63"/>
      <c r="G17" s="118"/>
      <c r="H17" s="153"/>
      <c r="I17" s="153"/>
      <c r="J17" s="63"/>
      <c r="K17" s="63"/>
      <c r="L17" s="63"/>
      <c r="M17" s="63"/>
      <c r="N17" s="63"/>
      <c r="O17" s="63"/>
      <c r="P17" s="63"/>
    </row>
    <row r="18" spans="4:16">
      <c r="D18" s="125"/>
      <c r="E18" s="119"/>
      <c r="F18" s="63"/>
      <c r="G18" s="118"/>
      <c r="H18" s="153"/>
      <c r="I18" s="153"/>
      <c r="J18" s="63"/>
      <c r="K18" s="63"/>
      <c r="L18" s="63"/>
      <c r="M18" s="63"/>
      <c r="N18" s="63"/>
      <c r="O18" s="63"/>
      <c r="P18" s="63"/>
    </row>
    <row r="19" spans="4:16">
      <c r="D19" s="62" t="s">
        <v>413</v>
      </c>
      <c r="E19" s="62"/>
      <c r="F19" s="62"/>
      <c r="G19" s="63"/>
      <c r="H19" s="153" t="s">
        <v>1915</v>
      </c>
      <c r="I19" s="153"/>
      <c r="J19" s="63"/>
      <c r="K19" s="63"/>
      <c r="L19" s="63"/>
      <c r="M19" s="63"/>
      <c r="N19" s="63"/>
      <c r="O19" s="63"/>
      <c r="P19" s="63"/>
    </row>
    <row r="20" spans="4:16">
      <c r="D20" s="64"/>
      <c r="E20" s="63"/>
      <c r="F20" s="64" t="s">
        <v>272</v>
      </c>
      <c r="G20" s="63"/>
      <c r="H20" s="1012" t="s">
        <v>1916</v>
      </c>
      <c r="I20" s="118">
        <f>정산표!H226</f>
        <v>60130770</v>
      </c>
      <c r="J20" s="118"/>
      <c r="K20" s="118"/>
      <c r="L20" s="63"/>
      <c r="M20" s="63"/>
      <c r="N20" s="63"/>
      <c r="O20" s="63"/>
      <c r="P20" s="63"/>
    </row>
    <row r="21" spans="4:16">
      <c r="D21" s="112" t="s">
        <v>237</v>
      </c>
      <c r="E21" s="113" t="str">
        <f>'27'!E7</f>
        <v>당반기</v>
      </c>
      <c r="F21" s="113" t="str">
        <f>F6</f>
        <v>전기</v>
      </c>
      <c r="G21" s="115"/>
      <c r="H21" s="232" t="s">
        <v>1917</v>
      </c>
      <c r="I21" s="63">
        <f>정산표!H139</f>
        <v>110359296</v>
      </c>
      <c r="J21" s="118"/>
      <c r="K21" s="118"/>
      <c r="L21" s="63"/>
      <c r="M21" s="63"/>
      <c r="N21" s="63"/>
      <c r="O21" s="63"/>
      <c r="P21" s="63"/>
    </row>
    <row r="22" spans="4:16">
      <c r="D22" s="67" t="s">
        <v>408</v>
      </c>
      <c r="E22" s="68">
        <f>E8</f>
        <v>167064834</v>
      </c>
      <c r="F22" s="68">
        <f>F8</f>
        <v>363813959</v>
      </c>
      <c r="G22" s="63"/>
      <c r="H22" s="232" t="s">
        <v>1918</v>
      </c>
      <c r="I22" s="63">
        <f>'29'!R27</f>
        <v>17529324</v>
      </c>
      <c r="J22" s="63"/>
      <c r="K22" s="63"/>
      <c r="L22" s="63"/>
      <c r="M22" s="63"/>
      <c r="N22" s="63"/>
      <c r="O22" s="63"/>
      <c r="P22" s="63"/>
    </row>
    <row r="23" spans="4:16" ht="15.45" thickBot="1">
      <c r="D23" s="67" t="s">
        <v>414</v>
      </c>
      <c r="E23" s="70">
        <f>E9</f>
        <v>20954556</v>
      </c>
      <c r="F23" s="70">
        <f>F9</f>
        <v>32296464</v>
      </c>
      <c r="G23" s="63"/>
      <c r="H23" s="63"/>
      <c r="I23" s="1013">
        <f>SUM(I20:I22)</f>
        <v>188019390</v>
      </c>
      <c r="J23" s="63"/>
      <c r="K23" s="63"/>
      <c r="L23" s="63"/>
      <c r="M23" s="63"/>
      <c r="N23" s="63"/>
      <c r="O23" s="63"/>
      <c r="P23" s="63"/>
    </row>
    <row r="24" spans="4:16" ht="15.45" thickTop="1">
      <c r="D24" s="71" t="s">
        <v>249</v>
      </c>
      <c r="E24" s="72">
        <f>SUM(E22:E23)</f>
        <v>188019390</v>
      </c>
      <c r="F24" s="72">
        <f>SUM(F22:F23)</f>
        <v>396110423</v>
      </c>
      <c r="G24" s="63"/>
      <c r="H24" s="63"/>
      <c r="I24" s="63" t="b">
        <f>SUM(E8:E9)=I23</f>
        <v>1</v>
      </c>
      <c r="J24" s="63"/>
      <c r="K24" s="63"/>
      <c r="L24" s="63"/>
      <c r="M24" s="63"/>
      <c r="N24" s="63"/>
      <c r="O24" s="63"/>
      <c r="P24" s="63"/>
    </row>
    <row r="25" spans="4:16">
      <c r="D25" s="63"/>
      <c r="E25" s="63"/>
      <c r="F25" s="63"/>
      <c r="G25" s="63"/>
      <c r="H25" s="63"/>
      <c r="I25" s="63"/>
      <c r="J25" s="63"/>
      <c r="K25" s="63"/>
      <c r="L25" s="63"/>
      <c r="M25" s="63"/>
      <c r="N25" s="63"/>
      <c r="O25" s="63"/>
      <c r="P25" s="63"/>
    </row>
    <row r="26" spans="4:16">
      <c r="D26" s="63" t="s">
        <v>653</v>
      </c>
      <c r="E26" s="63"/>
      <c r="F26" s="63"/>
      <c r="G26" s="63"/>
      <c r="H26" s="63"/>
      <c r="I26" s="63"/>
      <c r="J26" s="63"/>
      <c r="K26" s="63"/>
      <c r="L26" s="63"/>
      <c r="M26" s="63"/>
      <c r="N26" s="63"/>
      <c r="O26" s="63"/>
      <c r="P26" s="63"/>
    </row>
    <row r="27" spans="4:16">
      <c r="D27" s="63"/>
      <c r="E27" s="63"/>
      <c r="F27" s="63"/>
      <c r="G27" s="63"/>
      <c r="H27" s="63"/>
      <c r="I27" s="63"/>
      <c r="J27" s="63"/>
      <c r="K27" s="63"/>
      <c r="L27" s="63"/>
      <c r="M27" s="63"/>
      <c r="N27" s="63"/>
      <c r="O27" s="63"/>
      <c r="P27" s="63"/>
    </row>
    <row r="28" spans="4:16">
      <c r="D28" s="135" t="s">
        <v>237</v>
      </c>
      <c r="E28" s="113" t="str">
        <f>E21</f>
        <v>당반기</v>
      </c>
      <c r="F28" s="114" t="str">
        <f>F21</f>
        <v>전기</v>
      </c>
      <c r="G28" s="115"/>
      <c r="H28" s="63"/>
      <c r="I28" s="63"/>
      <c r="J28" s="63"/>
      <c r="K28" s="63"/>
      <c r="L28" s="63"/>
      <c r="M28" s="63"/>
      <c r="N28" s="63"/>
      <c r="O28" s="63"/>
      <c r="P28" s="63"/>
    </row>
    <row r="29" spans="4:16">
      <c r="D29" s="122" t="s">
        <v>551</v>
      </c>
      <c r="E29" s="243">
        <f>-E10</f>
        <v>0</v>
      </c>
      <c r="F29" s="243"/>
      <c r="G29" s="63"/>
      <c r="H29" s="63"/>
      <c r="I29" s="63"/>
      <c r="J29" s="63"/>
      <c r="K29" s="63"/>
      <c r="L29" s="63"/>
      <c r="M29" s="63"/>
      <c r="N29" s="63"/>
      <c r="O29" s="63"/>
      <c r="P29" s="63"/>
    </row>
    <row r="30" spans="4:16">
      <c r="D30" s="122" t="s">
        <v>552</v>
      </c>
      <c r="E30" s="243">
        <f>-ROUND(E29*0.22,)</f>
        <v>0</v>
      </c>
      <c r="F30" s="243">
        <v>0</v>
      </c>
      <c r="G30" s="261"/>
      <c r="H30" s="261"/>
      <c r="I30" s="63"/>
      <c r="J30" s="63"/>
      <c r="K30" s="63"/>
      <c r="L30" s="63"/>
      <c r="M30" s="63"/>
      <c r="N30" s="63"/>
      <c r="O30" s="63"/>
      <c r="P30" s="63"/>
    </row>
    <row r="31" spans="4:16">
      <c r="D31" s="122" t="s">
        <v>553</v>
      </c>
      <c r="E31" s="243">
        <f>SUM(E29:E30)</f>
        <v>0</v>
      </c>
      <c r="F31" s="243">
        <f>SUM(F29:F30)</f>
        <v>0</v>
      </c>
      <c r="G31" s="63"/>
      <c r="H31" s="63"/>
      <c r="I31" s="63"/>
      <c r="J31" s="63"/>
      <c r="K31" s="63"/>
      <c r="L31" s="63"/>
      <c r="M31" s="63"/>
      <c r="N31" s="63"/>
      <c r="O31" s="63"/>
      <c r="P31" s="63"/>
    </row>
    <row r="32" spans="4:16">
      <c r="D32" s="63"/>
      <c r="E32" s="63" t="b">
        <f>E31=CE!F24</f>
        <v>1</v>
      </c>
      <c r="F32" s="63"/>
      <c r="G32" s="63"/>
      <c r="H32" s="63"/>
      <c r="I32" s="63"/>
      <c r="J32" s="63"/>
      <c r="K32" s="63"/>
      <c r="L32" s="63"/>
      <c r="M32" s="63"/>
      <c r="N32" s="63"/>
      <c r="O32" s="63"/>
      <c r="P32" s="63"/>
    </row>
    <row r="33" spans="4:16">
      <c r="D33" s="63"/>
      <c r="E33" s="63"/>
      <c r="F33" s="63"/>
      <c r="G33" s="63"/>
      <c r="H33" s="63"/>
      <c r="I33" s="63"/>
      <c r="J33" s="63"/>
      <c r="K33" s="63"/>
      <c r="L33" s="63"/>
      <c r="M33" s="63"/>
      <c r="N33" s="63"/>
      <c r="O33" s="63"/>
      <c r="P33" s="63"/>
    </row>
    <row r="34" spans="4:16">
      <c r="D34" s="63"/>
      <c r="E34" s="63"/>
      <c r="F34" s="63"/>
      <c r="G34" s="63"/>
      <c r="H34" s="63"/>
      <c r="I34" s="63"/>
      <c r="J34" s="63"/>
      <c r="K34" s="63"/>
      <c r="L34" s="63"/>
      <c r="M34" s="63"/>
      <c r="N34" s="63"/>
      <c r="O34" s="63"/>
      <c r="P34" s="63"/>
    </row>
    <row r="35" spans="4:16" hidden="1" outlineLevel="1">
      <c r="D35" s="63" t="s">
        <v>554</v>
      </c>
      <c r="E35" s="63"/>
      <c r="F35" s="63"/>
      <c r="G35" s="63"/>
      <c r="H35" s="63"/>
      <c r="I35" s="63"/>
      <c r="J35" s="63"/>
      <c r="K35" s="63"/>
      <c r="L35" s="63"/>
      <c r="M35" s="63"/>
      <c r="N35" s="63"/>
      <c r="O35" s="63"/>
      <c r="P35" s="63"/>
    </row>
    <row r="36" spans="4:16" hidden="1" outlineLevel="1">
      <c r="D36" s="63" t="s">
        <v>555</v>
      </c>
      <c r="E36" s="63"/>
      <c r="F36" s="63"/>
      <c r="G36" s="63"/>
      <c r="H36" s="63"/>
      <c r="I36" s="63"/>
      <c r="J36" s="63"/>
      <c r="K36" s="63"/>
      <c r="L36" s="63"/>
      <c r="M36" s="63"/>
      <c r="N36" s="63"/>
      <c r="O36" s="63"/>
      <c r="P36" s="63"/>
    </row>
    <row r="37" spans="4:16" hidden="1" outlineLevel="1">
      <c r="D37" s="63"/>
      <c r="E37" s="63"/>
      <c r="F37" s="63"/>
      <c r="G37" s="63"/>
      <c r="H37" s="63"/>
      <c r="I37" s="63"/>
      <c r="J37" s="63"/>
      <c r="K37" s="63"/>
      <c r="L37" s="63"/>
      <c r="M37" s="63"/>
      <c r="N37" s="63"/>
      <c r="O37" s="63"/>
      <c r="P37" s="63"/>
    </row>
    <row r="38" spans="4:16" hidden="1" outlineLevel="1">
      <c r="D38" s="135" t="s">
        <v>237</v>
      </c>
      <c r="E38" s="135" t="s">
        <v>378</v>
      </c>
      <c r="F38" s="135"/>
      <c r="G38" s="63"/>
      <c r="H38" s="63"/>
      <c r="I38" s="63"/>
      <c r="J38" s="63"/>
      <c r="K38" s="63"/>
      <c r="L38" s="63"/>
      <c r="M38" s="63"/>
      <c r="N38" s="63"/>
      <c r="O38" s="63"/>
      <c r="P38" s="63"/>
    </row>
    <row r="39" spans="4:16" hidden="1" outlineLevel="1">
      <c r="D39" s="122" t="s">
        <v>556</v>
      </c>
      <c r="E39" s="219">
        <v>4.7100000000000003E-2</v>
      </c>
      <c r="F39" s="244"/>
      <c r="G39" s="63"/>
      <c r="H39" s="63"/>
      <c r="I39" s="63"/>
      <c r="J39" s="63"/>
      <c r="K39" s="63"/>
      <c r="L39" s="63"/>
      <c r="M39" s="63"/>
      <c r="N39" s="63"/>
      <c r="O39" s="63"/>
      <c r="P39" s="63"/>
    </row>
    <row r="40" spans="4:16" hidden="1" outlineLevel="1">
      <c r="D40" s="122" t="s">
        <v>557</v>
      </c>
      <c r="E40" s="219">
        <v>0.03</v>
      </c>
      <c r="F40" s="244"/>
      <c r="G40" s="63"/>
      <c r="H40" s="63"/>
      <c r="I40" s="63"/>
      <c r="J40" s="63"/>
      <c r="K40" s="63"/>
      <c r="L40" s="63"/>
      <c r="M40" s="63"/>
      <c r="N40" s="63"/>
      <c r="O40" s="63"/>
      <c r="P40" s="63"/>
    </row>
    <row r="41" spans="4:16" hidden="1" outlineLevel="1">
      <c r="D41" s="63"/>
      <c r="E41" s="245"/>
      <c r="F41" s="245"/>
      <c r="G41" s="63"/>
      <c r="H41" s="63"/>
      <c r="I41" s="63"/>
      <c r="J41" s="63"/>
      <c r="K41" s="63"/>
      <c r="L41" s="63"/>
      <c r="M41" s="63"/>
      <c r="N41" s="63"/>
      <c r="O41" s="63"/>
      <c r="P41" s="63"/>
    </row>
    <row r="42" spans="4:16" hidden="1" outlineLevel="1">
      <c r="D42" s="63" t="s">
        <v>558</v>
      </c>
      <c r="E42" s="63"/>
      <c r="F42" s="63"/>
      <c r="G42" s="63"/>
      <c r="H42" s="63"/>
      <c r="I42" s="63"/>
      <c r="J42" s="63"/>
      <c r="K42" s="63"/>
      <c r="L42" s="63"/>
      <c r="M42" s="63"/>
      <c r="N42" s="63"/>
      <c r="O42" s="63"/>
      <c r="P42" s="63"/>
    </row>
    <row r="43" spans="4:16" hidden="1" outlineLevel="1">
      <c r="D43" s="63"/>
      <c r="E43" s="63"/>
      <c r="F43" s="63"/>
      <c r="G43" s="63"/>
      <c r="H43" s="63"/>
      <c r="I43" s="63"/>
      <c r="J43" s="63"/>
      <c r="K43" s="63"/>
      <c r="L43" s="63"/>
      <c r="M43" s="63"/>
      <c r="N43" s="63"/>
      <c r="O43" s="63"/>
      <c r="P43" s="63"/>
    </row>
    <row r="44" spans="4:16" hidden="1" outlineLevel="1">
      <c r="D44" s="135" t="s">
        <v>237</v>
      </c>
      <c r="E44" s="135" t="s">
        <v>559</v>
      </c>
      <c r="F44" s="135"/>
      <c r="G44" s="63"/>
      <c r="H44" s="63"/>
      <c r="I44" s="63"/>
      <c r="J44" s="118" t="s">
        <v>644</v>
      </c>
      <c r="K44" s="63"/>
      <c r="L44" s="63"/>
      <c r="M44" s="63"/>
      <c r="N44" s="63"/>
      <c r="O44" s="63"/>
      <c r="P44" s="63"/>
    </row>
    <row r="45" spans="4:16" ht="15.45" hidden="1" outlineLevel="1" thickBot="1">
      <c r="D45" s="122" t="s">
        <v>560</v>
      </c>
      <c r="E45" s="218"/>
      <c r="F45" s="122"/>
      <c r="G45" s="118"/>
      <c r="H45" s="118"/>
      <c r="I45" s="118"/>
      <c r="J45" s="118"/>
      <c r="K45" s="118"/>
      <c r="L45" s="63"/>
      <c r="M45" s="63"/>
      <c r="N45" s="63"/>
      <c r="O45" s="63"/>
      <c r="P45" s="63"/>
    </row>
    <row r="46" spans="4:16" hidden="1" outlineLevel="1">
      <c r="D46" s="122" t="s">
        <v>561</v>
      </c>
      <c r="E46" s="63">
        <v>1521614780</v>
      </c>
      <c r="F46" s="244">
        <v>-4.1000000000000002E-2</v>
      </c>
      <c r="G46" s="118"/>
      <c r="H46" s="246">
        <f>E46/E15</f>
        <v>2.1419831014997466</v>
      </c>
      <c r="I46" s="257"/>
      <c r="J46" s="247">
        <f>1-H46</f>
        <v>-1.1419831014997466</v>
      </c>
      <c r="K46" s="248">
        <f>E15*J46</f>
        <v>-811238130</v>
      </c>
      <c r="L46" s="63"/>
      <c r="M46" s="63"/>
    </row>
    <row r="47" spans="4:16" hidden="1" outlineLevel="1">
      <c r="D47" s="122" t="s">
        <v>562</v>
      </c>
      <c r="E47" s="218">
        <v>1661917333</v>
      </c>
      <c r="F47" s="244">
        <v>4.7E-2</v>
      </c>
      <c r="G47" s="63"/>
      <c r="H47" s="249">
        <f>E47/E15</f>
        <v>2.3394875563547872</v>
      </c>
      <c r="I47" s="258"/>
      <c r="J47" s="153">
        <f>1-H47</f>
        <v>-1.3394875563547872</v>
      </c>
      <c r="K47" s="250">
        <f>E15*J47</f>
        <v>-951540683</v>
      </c>
      <c r="L47" s="118"/>
      <c r="M47" s="63"/>
    </row>
    <row r="48" spans="4:16" hidden="1" outlineLevel="1">
      <c r="D48" s="122" t="s">
        <v>563</v>
      </c>
      <c r="E48" s="218"/>
      <c r="F48" s="251"/>
      <c r="G48" s="63"/>
      <c r="H48" s="252"/>
      <c r="I48" s="63"/>
      <c r="J48" s="153"/>
      <c r="K48" s="253"/>
      <c r="L48" s="118"/>
      <c r="M48" s="63"/>
    </row>
    <row r="49" spans="4:16" hidden="1" outlineLevel="1">
      <c r="D49" s="122" t="s">
        <v>561</v>
      </c>
      <c r="E49" s="218">
        <v>1664926336</v>
      </c>
      <c r="F49" s="244">
        <v>4.9000000000000002E-2</v>
      </c>
      <c r="G49" s="63"/>
      <c r="H49" s="249">
        <f>E49/E15</f>
        <v>2.3437233416948602</v>
      </c>
      <c r="I49" s="258"/>
      <c r="J49" s="63">
        <f>1-H49</f>
        <v>-1.3437233416948602</v>
      </c>
      <c r="K49" s="250">
        <f>E15*J49</f>
        <v>-954549686.00000012</v>
      </c>
      <c r="L49" s="118"/>
      <c r="M49" s="63"/>
    </row>
    <row r="50" spans="4:16" ht="15.45" hidden="1" outlineLevel="1" thickBot="1">
      <c r="D50" s="122" t="s">
        <v>562</v>
      </c>
      <c r="E50" s="218">
        <v>1518034855</v>
      </c>
      <c r="F50" s="244">
        <v>-4.3999999999999997E-2</v>
      </c>
      <c r="G50" s="63"/>
      <c r="H50" s="254">
        <f>E50/E15</f>
        <v>2.1369436270181459</v>
      </c>
      <c r="I50" s="259"/>
      <c r="J50" s="255">
        <f>1-H50</f>
        <v>-1.1369436270181459</v>
      </c>
      <c r="K50" s="256">
        <f>E15*J50</f>
        <v>-807658205</v>
      </c>
      <c r="L50" s="118"/>
      <c r="M50" s="63"/>
    </row>
    <row r="51" spans="4:16" hidden="1" outlineLevel="1">
      <c r="D51" s="63"/>
      <c r="E51" s="118"/>
      <c r="F51" s="245"/>
      <c r="G51" s="63"/>
      <c r="H51" s="63"/>
      <c r="I51" s="63"/>
      <c r="J51" s="63"/>
      <c r="K51" s="63"/>
      <c r="L51" s="118"/>
      <c r="M51" s="63"/>
    </row>
    <row r="52" spans="4:16" hidden="1" outlineLevel="1">
      <c r="D52" s="264" t="s">
        <v>1525</v>
      </c>
      <c r="E52" s="118"/>
      <c r="F52" s="245"/>
      <c r="G52" s="63"/>
      <c r="H52" s="63"/>
      <c r="I52" s="63"/>
      <c r="J52" s="63"/>
      <c r="K52" s="63"/>
      <c r="L52" s="118"/>
      <c r="M52" s="63"/>
    </row>
    <row r="53" spans="4:16" hidden="1" outlineLevel="1">
      <c r="D53" s="63"/>
      <c r="E53" s="118"/>
      <c r="F53" s="245"/>
      <c r="G53" s="63"/>
      <c r="H53" s="63"/>
      <c r="I53" s="63"/>
      <c r="J53" s="63"/>
      <c r="K53" s="63"/>
      <c r="L53" s="118"/>
      <c r="M53" s="63"/>
    </row>
    <row r="54" spans="4:16" hidden="1" outlineLevel="1">
      <c r="D54" s="262" t="s">
        <v>237</v>
      </c>
      <c r="E54" s="263" t="s">
        <v>2034</v>
      </c>
      <c r="F54" s="263" t="s">
        <v>2035</v>
      </c>
      <c r="G54" s="263" t="s">
        <v>2036</v>
      </c>
      <c r="H54" s="263" t="s">
        <v>564</v>
      </c>
      <c r="I54" s="263"/>
      <c r="J54" s="263" t="s">
        <v>565</v>
      </c>
      <c r="K54" s="115"/>
      <c r="L54" s="118"/>
      <c r="M54" s="63"/>
    </row>
    <row r="55" spans="4:16" hidden="1" outlineLevel="1">
      <c r="D55" s="122" t="s">
        <v>566</v>
      </c>
      <c r="E55" s="122">
        <v>96104795</v>
      </c>
      <c r="F55" s="122">
        <v>114323671</v>
      </c>
      <c r="G55" s="122">
        <f>SUM(G56:G58)</f>
        <v>456238961</v>
      </c>
      <c r="H55" s="122">
        <f>J55-SUM(E55:G55)</f>
        <v>5120179032</v>
      </c>
      <c r="I55" s="122"/>
      <c r="J55" s="122">
        <v>5786846459</v>
      </c>
      <c r="K55" s="63" t="s">
        <v>2037</v>
      </c>
      <c r="L55" s="118"/>
      <c r="M55" s="63"/>
    </row>
    <row r="56" spans="4:16" hidden="1" outlineLevel="1">
      <c r="D56" s="63"/>
      <c r="E56" s="63"/>
      <c r="F56" s="63"/>
      <c r="G56" s="63">
        <v>130660076</v>
      </c>
      <c r="H56" s="63"/>
      <c r="I56" s="63"/>
      <c r="J56" s="63"/>
      <c r="K56" s="63"/>
      <c r="L56" s="118"/>
      <c r="M56" s="63"/>
    </row>
    <row r="57" spans="4:16" hidden="1" outlineLevel="1">
      <c r="D57" s="63"/>
      <c r="E57" s="63"/>
      <c r="F57" s="63"/>
      <c r="G57" s="63">
        <v>147789084</v>
      </c>
      <c r="H57" s="63"/>
      <c r="I57" s="63"/>
      <c r="J57" s="63"/>
      <c r="K57" s="63"/>
      <c r="L57" s="118"/>
      <c r="M57" s="63"/>
    </row>
    <row r="58" spans="4:16" hidden="1" outlineLevel="1">
      <c r="D58" s="63"/>
      <c r="E58" s="63"/>
      <c r="F58" s="63"/>
      <c r="G58" s="63">
        <v>177789801</v>
      </c>
      <c r="H58" s="63"/>
      <c r="I58" s="63"/>
      <c r="J58" s="63"/>
      <c r="K58" s="63"/>
      <c r="L58" s="118"/>
      <c r="M58" s="63"/>
    </row>
    <row r="59" spans="4:16" hidden="1" outlineLevel="1">
      <c r="D59" s="63"/>
      <c r="E59" s="63"/>
      <c r="F59" s="63"/>
      <c r="G59" s="63"/>
      <c r="H59" s="63"/>
      <c r="I59" s="63"/>
      <c r="J59" s="63"/>
      <c r="K59" s="63"/>
      <c r="L59" s="118"/>
      <c r="M59" s="63"/>
      <c r="N59" s="63"/>
      <c r="O59" s="116"/>
      <c r="P59" s="63"/>
    </row>
    <row r="60" spans="4:16" hidden="1" outlineLevel="1">
      <c r="D60" s="63"/>
      <c r="E60" s="63"/>
      <c r="F60" s="63"/>
      <c r="G60" s="63"/>
      <c r="H60" s="63"/>
      <c r="I60" s="63"/>
      <c r="J60" s="63"/>
      <c r="K60" s="63"/>
      <c r="L60" s="63"/>
      <c r="M60" s="63"/>
      <c r="N60" s="116"/>
      <c r="O60" s="116"/>
      <c r="P60" s="63"/>
    </row>
    <row r="61" spans="4:16" collapsed="1"/>
  </sheetData>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9B83B94-B156-4977-B544-91CE8EBE0C9E}">
            <xm:f>NOT(ISERROR(SEARCH("TRUE",A1)))</xm:f>
            <xm:f>"TRUE"</xm:f>
            <x14:dxf>
              <fill>
                <patternFill>
                  <bgColor theme="9" tint="0.79998168889431442"/>
                </patternFill>
              </fill>
            </x14:dxf>
          </x14:cfRule>
          <x14:cfRule type="containsText" priority="2" operator="containsText" id="{AF00A484-4BA6-4944-93B7-4A5AD4F2FDC9}">
            <xm:f>NOT(ISERROR(SEARCH("FALSE",A1)))</xm:f>
            <xm:f>"FALSE"</xm:f>
            <x14:dxf>
              <fill>
                <patternFill>
                  <bgColor theme="5"/>
                </patternFill>
              </fill>
            </x14:dxf>
          </x14:cfRule>
          <xm:sqref>A1:XFD1048576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B2:D4"/>
  <sheetViews>
    <sheetView showGridLines="0" workbookViewId="0">
      <selection activeCell="H25" sqref="H25"/>
    </sheetView>
  </sheetViews>
  <sheetFormatPr defaultColWidth="8.5703125" defaultRowHeight="15"/>
  <cols>
    <col min="1" max="2" width="1.85546875" style="55" customWidth="1"/>
    <col min="3" max="3" width="1.5" style="55" customWidth="1"/>
    <col min="4" max="4" width="27.85546875" style="55" customWidth="1"/>
    <col min="5" max="5" width="12.5" style="55" bestFit="1" customWidth="1"/>
    <col min="6" max="6" width="8.5703125" style="55"/>
    <col min="7" max="7" width="17.5703125" style="55" customWidth="1"/>
    <col min="8" max="16384" width="8.5703125" style="55"/>
  </cols>
  <sheetData>
    <row r="2" spans="2:4">
      <c r="B2" s="54" t="s">
        <v>1560</v>
      </c>
    </row>
    <row r="4" spans="2:4">
      <c r="D4" s="61" t="s">
        <v>1042</v>
      </c>
    </row>
  </sheetData>
  <phoneticPr fontId="232"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B2:U99"/>
  <sheetViews>
    <sheetView showGridLines="0" topLeftCell="A37" zoomScale="85" zoomScaleNormal="85" workbookViewId="0">
      <selection activeCell="I39" sqref="I39:I40"/>
    </sheetView>
  </sheetViews>
  <sheetFormatPr defaultColWidth="8.5703125" defaultRowHeight="15"/>
  <cols>
    <col min="1" max="2" width="1.85546875" style="55" customWidth="1"/>
    <col min="3" max="3" width="1.5" style="55" customWidth="1"/>
    <col min="4" max="4" width="17.85546875" style="55" customWidth="1"/>
    <col min="5" max="5" width="17.35546875" style="55" customWidth="1"/>
    <col min="6" max="6" width="17.5703125" style="55" customWidth="1"/>
    <col min="7" max="9" width="13.5703125" style="55" customWidth="1"/>
    <col min="10" max="10" width="15.35546875" style="55" customWidth="1"/>
    <col min="11" max="11" width="12.0703125" style="55" bestFit="1" customWidth="1"/>
    <col min="12" max="12" width="8.5703125" style="55"/>
    <col min="13" max="13" width="11.35546875" style="55" bestFit="1" customWidth="1"/>
    <col min="14" max="17" width="8.5703125" style="55"/>
    <col min="18" max="18" width="18.35546875" style="55" bestFit="1" customWidth="1"/>
    <col min="19" max="19" width="9.0703125" style="55" bestFit="1" customWidth="1"/>
    <col min="20" max="16384" width="8.5703125" style="55"/>
  </cols>
  <sheetData>
    <row r="2" spans="2:9">
      <c r="B2" s="54" t="s">
        <v>1561</v>
      </c>
    </row>
    <row r="4" spans="2:9">
      <c r="D4" s="61"/>
    </row>
    <row r="5" spans="2:9">
      <c r="D5" s="62" t="s">
        <v>539</v>
      </c>
      <c r="E5" s="62"/>
      <c r="F5" s="62"/>
      <c r="G5" s="62"/>
      <c r="H5" s="62"/>
      <c r="I5" s="63"/>
    </row>
    <row r="6" spans="2:9">
      <c r="D6" s="64"/>
      <c r="E6" s="62"/>
      <c r="F6" s="62"/>
      <c r="G6" s="62"/>
      <c r="H6" s="62"/>
      <c r="I6" s="166" t="s">
        <v>272</v>
      </c>
    </row>
    <row r="7" spans="2:9" s="265" customFormat="1">
      <c r="D7" s="1294" t="s">
        <v>530</v>
      </c>
      <c r="E7" s="1290" t="s">
        <v>540</v>
      </c>
      <c r="F7" s="1296" t="str">
        <f>'19'!H6</f>
        <v>당반기말</v>
      </c>
      <c r="G7" s="1296"/>
      <c r="H7" s="1296" t="str">
        <f>'19'!I6</f>
        <v>전기말</v>
      </c>
      <c r="I7" s="1296"/>
    </row>
    <row r="8" spans="2:9" s="265" customFormat="1">
      <c r="D8" s="1295"/>
      <c r="E8" s="1291"/>
      <c r="F8" s="275" t="s">
        <v>541</v>
      </c>
      <c r="G8" s="275" t="s">
        <v>542</v>
      </c>
      <c r="H8" s="275" t="s">
        <v>541</v>
      </c>
      <c r="I8" s="275" t="s">
        <v>542</v>
      </c>
    </row>
    <row r="9" spans="2:9" s="265" customFormat="1">
      <c r="D9" s="267" t="s">
        <v>544</v>
      </c>
      <c r="E9" s="268" t="s">
        <v>543</v>
      </c>
      <c r="F9" s="272">
        <v>1820000000</v>
      </c>
      <c r="G9" s="272">
        <v>1820000000</v>
      </c>
      <c r="H9" s="272">
        <v>1820000000</v>
      </c>
      <c r="I9" s="272">
        <v>1820000000</v>
      </c>
    </row>
    <row r="10" spans="2:9" s="265" customFormat="1">
      <c r="D10" s="267" t="s">
        <v>544</v>
      </c>
      <c r="E10" s="268" t="s">
        <v>515</v>
      </c>
      <c r="F10" s="272">
        <v>300000000</v>
      </c>
      <c r="G10" s="272">
        <f>'19'!H10</f>
        <v>0</v>
      </c>
      <c r="H10" s="272">
        <v>300000000</v>
      </c>
      <c r="I10" s="272">
        <v>83300000</v>
      </c>
    </row>
    <row r="11" spans="2:9" s="265" customFormat="1">
      <c r="D11" s="570" t="s">
        <v>1238</v>
      </c>
      <c r="E11" s="268" t="s">
        <v>514</v>
      </c>
      <c r="F11" s="571">
        <v>2900000000</v>
      </c>
      <c r="G11" s="571">
        <v>2900000000</v>
      </c>
      <c r="H11" s="571">
        <v>2900000000</v>
      </c>
      <c r="I11" s="571">
        <v>2900000000</v>
      </c>
    </row>
    <row r="12" spans="2:9" s="265" customFormat="1">
      <c r="D12" s="570" t="s">
        <v>1238</v>
      </c>
      <c r="E12" s="268" t="s">
        <v>514</v>
      </c>
      <c r="F12" s="958">
        <v>500000000</v>
      </c>
      <c r="G12" s="958">
        <v>500000000</v>
      </c>
      <c r="H12" s="958">
        <v>500000000</v>
      </c>
      <c r="I12" s="958">
        <v>500000000</v>
      </c>
    </row>
    <row r="13" spans="2:9" s="265" customFormat="1">
      <c r="D13" s="273" t="s">
        <v>533</v>
      </c>
      <c r="E13" s="274"/>
      <c r="F13" s="272">
        <f>SUM(F9:F12)</f>
        <v>5520000000</v>
      </c>
      <c r="G13" s="272">
        <f>SUM(G9:G12)</f>
        <v>5220000000</v>
      </c>
      <c r="H13" s="272">
        <f>SUM(H9:H12)</f>
        <v>5520000000</v>
      </c>
      <c r="I13" s="272">
        <f>SUM(I9:I12)</f>
        <v>5303300000</v>
      </c>
    </row>
    <row r="14" spans="2:9" s="265" customFormat="1">
      <c r="D14" s="270"/>
      <c r="E14" s="264"/>
      <c r="F14" s="264"/>
      <c r="G14" s="264" t="b">
        <f>'19'!H9+'19'!H11+'19'!H15=G13</f>
        <v>1</v>
      </c>
      <c r="H14" s="264"/>
      <c r="I14" s="266" t="b">
        <f>'19'!I9+'19'!I11+'19'!I15=I13</f>
        <v>1</v>
      </c>
    </row>
    <row r="15" spans="2:9" s="265" customFormat="1">
      <c r="D15" s="270"/>
      <c r="E15" s="264"/>
      <c r="F15" s="264"/>
      <c r="G15" s="264"/>
      <c r="H15" s="264"/>
      <c r="I15" s="266"/>
    </row>
    <row r="16" spans="2:9" s="265" customFormat="1">
      <c r="D16" s="264" t="s">
        <v>624</v>
      </c>
      <c r="E16" s="264"/>
      <c r="F16" s="264"/>
      <c r="G16" s="264"/>
      <c r="H16" s="264"/>
      <c r="I16" s="266"/>
    </row>
    <row r="17" spans="4:9" s="265" customFormat="1">
      <c r="D17" s="270"/>
      <c r="E17" s="264"/>
      <c r="F17" s="264"/>
      <c r="G17" s="264"/>
      <c r="H17" s="166" t="s">
        <v>272</v>
      </c>
      <c r="I17" s="266"/>
    </row>
    <row r="18" spans="4:9" s="265" customFormat="1">
      <c r="D18" s="1297" t="s">
        <v>625</v>
      </c>
      <c r="E18" s="1292" t="s">
        <v>626</v>
      </c>
      <c r="F18" s="1292" t="s">
        <v>627</v>
      </c>
      <c r="G18" s="280" t="s">
        <v>628</v>
      </c>
      <c r="H18" s="281"/>
      <c r="I18" s="266"/>
    </row>
    <row r="19" spans="4:9" s="265" customFormat="1">
      <c r="D19" s="1298"/>
      <c r="E19" s="1293"/>
      <c r="F19" s="1293"/>
      <c r="G19" s="278" t="str">
        <f>F7</f>
        <v>당반기말</v>
      </c>
      <c r="H19" s="279" t="s">
        <v>238</v>
      </c>
      <c r="I19" s="266"/>
    </row>
    <row r="20" spans="4:9" s="265" customFormat="1">
      <c r="D20" s="282" t="s">
        <v>629</v>
      </c>
      <c r="E20" s="283"/>
      <c r="F20" s="283"/>
      <c r="G20" s="283"/>
      <c r="H20" s="284"/>
      <c r="I20" s="266"/>
    </row>
    <row r="21" spans="4:9" s="265" customFormat="1">
      <c r="D21" s="285" t="s">
        <v>630</v>
      </c>
      <c r="E21" s="286" t="s">
        <v>631</v>
      </c>
      <c r="F21" s="290" t="s">
        <v>632</v>
      </c>
      <c r="G21" s="952">
        <v>840000000</v>
      </c>
      <c r="H21" s="952">
        <v>840000000</v>
      </c>
      <c r="I21" s="266"/>
    </row>
    <row r="22" spans="4:9" s="265" customFormat="1">
      <c r="D22" s="282" t="s">
        <v>633</v>
      </c>
      <c r="E22" s="283"/>
      <c r="F22" s="283"/>
      <c r="G22" s="283"/>
      <c r="H22" s="284"/>
      <c r="I22" s="266"/>
    </row>
    <row r="23" spans="4:9" s="265" customFormat="1">
      <c r="D23" s="285" t="s">
        <v>634</v>
      </c>
      <c r="E23" s="286" t="s">
        <v>631</v>
      </c>
      <c r="F23" s="290" t="s">
        <v>632</v>
      </c>
      <c r="G23" s="952">
        <v>648000000</v>
      </c>
      <c r="H23" s="952">
        <v>648000000</v>
      </c>
      <c r="I23" s="266"/>
    </row>
    <row r="24" spans="4:9" s="265" customFormat="1">
      <c r="D24" s="285" t="s">
        <v>635</v>
      </c>
      <c r="E24" s="286" t="s">
        <v>636</v>
      </c>
      <c r="F24" s="286" t="s">
        <v>637</v>
      </c>
      <c r="G24" s="952">
        <v>389700000</v>
      </c>
      <c r="H24" s="952">
        <v>389700000</v>
      </c>
      <c r="I24" s="266"/>
    </row>
    <row r="25" spans="4:9" s="265" customFormat="1">
      <c r="D25" s="287" t="s">
        <v>546</v>
      </c>
      <c r="E25" s="288"/>
      <c r="F25" s="289"/>
      <c r="G25" s="271">
        <f>SUM(G21:G24)</f>
        <v>1877700000</v>
      </c>
      <c r="H25" s="271">
        <f>SUM(H21:H24)</f>
        <v>1877700000</v>
      </c>
      <c r="I25" s="266"/>
    </row>
    <row r="26" spans="4:9" s="265" customFormat="1"/>
    <row r="33" spans="4:21">
      <c r="D33" s="264" t="s">
        <v>1587</v>
      </c>
    </row>
    <row r="35" spans="4:21">
      <c r="D35" s="277" t="s">
        <v>1588</v>
      </c>
      <c r="E35" s="277" t="s">
        <v>244</v>
      </c>
      <c r="F35" s="277" t="s">
        <v>1589</v>
      </c>
      <c r="G35" s="277" t="s">
        <v>1590</v>
      </c>
      <c r="H35" s="277" t="s">
        <v>1067</v>
      </c>
      <c r="I35" s="763" t="s">
        <v>1635</v>
      </c>
    </row>
    <row r="36" spans="4:21">
      <c r="D36" s="268" t="s">
        <v>1913</v>
      </c>
      <c r="E36" s="272">
        <f>정산표!H48</f>
        <v>1115280040</v>
      </c>
      <c r="F36" s="1281">
        <f>I36*1.2</f>
        <v>4080000000</v>
      </c>
      <c r="G36" s="1284" t="s">
        <v>514</v>
      </c>
      <c r="H36" s="1284" t="s">
        <v>1591</v>
      </c>
      <c r="I36" s="1287">
        <f>'19'!H13+'19'!H14</f>
        <v>3400000000</v>
      </c>
    </row>
    <row r="37" spans="4:21">
      <c r="D37" s="957" t="s">
        <v>1914</v>
      </c>
      <c r="E37" s="958">
        <f>SUM(정산표!H49:H50)</f>
        <v>2770469046</v>
      </c>
      <c r="F37" s="1282"/>
      <c r="G37" s="1285"/>
      <c r="H37" s="1285"/>
      <c r="I37" s="1288"/>
    </row>
    <row r="38" spans="4:21">
      <c r="D38" s="957" t="s">
        <v>1568</v>
      </c>
      <c r="E38" s="958">
        <f>정산표!H59</f>
        <v>1376213175</v>
      </c>
      <c r="F38" s="1283"/>
      <c r="G38" s="1286"/>
      <c r="H38" s="1286"/>
      <c r="I38" s="1289"/>
    </row>
    <row r="39" spans="4:21">
      <c r="D39" s="268" t="s">
        <v>1634</v>
      </c>
      <c r="E39" s="272">
        <f>U56</f>
        <v>204494</v>
      </c>
      <c r="F39" s="272">
        <f>I39*1.2</f>
        <v>480000000</v>
      </c>
      <c r="G39" s="268" t="s">
        <v>514</v>
      </c>
      <c r="H39" s="268" t="s">
        <v>1606</v>
      </c>
      <c r="I39" s="272">
        <f>'19'!H7</f>
        <v>400000000</v>
      </c>
    </row>
    <row r="40" spans="4:21">
      <c r="D40" s="273" t="s">
        <v>1636</v>
      </c>
      <c r="E40" s="272">
        <f>SUM(E36:E39)</f>
        <v>5262166755</v>
      </c>
      <c r="F40" s="272">
        <f>SUM(F36:F39)</f>
        <v>4560000000</v>
      </c>
      <c r="G40" s="762" t="s">
        <v>298</v>
      </c>
      <c r="H40" s="762" t="s">
        <v>298</v>
      </c>
      <c r="I40" s="272">
        <f>SUM(I36:I39)</f>
        <v>3800000000</v>
      </c>
    </row>
    <row r="44" spans="4:21">
      <c r="D44" s="55" t="s">
        <v>1607</v>
      </c>
      <c r="E44" s="55" t="s">
        <v>1608</v>
      </c>
      <c r="F44" s="55" t="s">
        <v>1609</v>
      </c>
      <c r="G44" s="55" t="s">
        <v>1610</v>
      </c>
      <c r="H44" s="55" t="s">
        <v>1611</v>
      </c>
      <c r="I44" s="55" t="s">
        <v>1612</v>
      </c>
      <c r="J44" s="55" t="s">
        <v>1613</v>
      </c>
      <c r="K44" s="55" t="s">
        <v>1614</v>
      </c>
      <c r="L44" s="55" t="s">
        <v>1615</v>
      </c>
      <c r="M44" s="55" t="s">
        <v>1616</v>
      </c>
      <c r="N44" s="55" t="s">
        <v>1617</v>
      </c>
      <c r="O44" s="55" t="s">
        <v>1618</v>
      </c>
      <c r="P44" s="55" t="s">
        <v>1619</v>
      </c>
      <c r="Q44" s="55" t="s">
        <v>1620</v>
      </c>
      <c r="R44" s="55" t="s">
        <v>1621</v>
      </c>
      <c r="S44" s="55" t="s">
        <v>1622</v>
      </c>
    </row>
    <row r="45" spans="4:21">
      <c r="D45" s="55" t="s">
        <v>1633</v>
      </c>
      <c r="E45" s="786">
        <v>42277</v>
      </c>
      <c r="G45" s="55">
        <v>15000000</v>
      </c>
      <c r="J45" s="55">
        <v>15000000</v>
      </c>
      <c r="K45" s="55">
        <v>15000000</v>
      </c>
      <c r="L45" s="55">
        <v>0</v>
      </c>
      <c r="M45" s="55">
        <v>5</v>
      </c>
      <c r="O45" s="55">
        <v>0</v>
      </c>
      <c r="P45" s="55">
        <v>0</v>
      </c>
      <c r="R45" s="55">
        <f t="shared" ref="R45:R55" si="0">VLOOKUP($D45,$D$58:$F$99,3,0)</f>
        <v>15000000</v>
      </c>
      <c r="S45" s="55">
        <f t="shared" ref="S45:S55" si="1">VLOOKUP($D45,$D$58:$G$99,4,0)</f>
        <v>0</v>
      </c>
      <c r="U45" s="55">
        <f>MAX(S45-T45,0)</f>
        <v>0</v>
      </c>
    </row>
    <row r="46" spans="4:21">
      <c r="D46" s="55" t="s">
        <v>1623</v>
      </c>
      <c r="E46" s="786">
        <v>43689</v>
      </c>
      <c r="G46" s="55">
        <v>3004000</v>
      </c>
      <c r="J46" s="55">
        <v>3004000</v>
      </c>
      <c r="K46" s="55">
        <v>2653521</v>
      </c>
      <c r="L46" s="55">
        <v>350479</v>
      </c>
      <c r="M46" s="55">
        <v>5</v>
      </c>
      <c r="O46" s="55">
        <v>7</v>
      </c>
      <c r="P46" s="55">
        <v>350479</v>
      </c>
      <c r="R46" s="55">
        <f t="shared" si="0"/>
        <v>3004000</v>
      </c>
      <c r="S46" s="55">
        <f t="shared" si="1"/>
        <v>0</v>
      </c>
      <c r="U46" s="55">
        <f t="shared" ref="U46:U55" si="2">MAX(S46-T46,0)</f>
        <v>0</v>
      </c>
    </row>
    <row r="47" spans="4:21">
      <c r="D47" s="55" t="s">
        <v>1624</v>
      </c>
      <c r="E47" s="786">
        <v>43983</v>
      </c>
      <c r="G47" s="55">
        <v>5035400</v>
      </c>
      <c r="J47" s="55">
        <v>5035400</v>
      </c>
      <c r="K47" s="55">
        <v>3608692</v>
      </c>
      <c r="L47" s="55">
        <v>1426708</v>
      </c>
      <c r="M47" s="55">
        <v>5</v>
      </c>
      <c r="O47" s="55">
        <v>12</v>
      </c>
      <c r="P47" s="55">
        <v>1007076</v>
      </c>
      <c r="R47" s="55">
        <f t="shared" si="0"/>
        <v>5035400</v>
      </c>
      <c r="S47" s="55">
        <f t="shared" si="1"/>
        <v>0</v>
      </c>
      <c r="T47" s="55">
        <f>ROUND(G47/M47,)</f>
        <v>1007080</v>
      </c>
      <c r="U47" s="55">
        <f t="shared" si="2"/>
        <v>0</v>
      </c>
    </row>
    <row r="48" spans="4:21">
      <c r="D48" s="55" t="s">
        <v>1625</v>
      </c>
      <c r="E48" s="786">
        <v>43983</v>
      </c>
      <c r="G48" s="55">
        <v>5255400</v>
      </c>
      <c r="J48" s="55">
        <v>5255400</v>
      </c>
      <c r="K48" s="55">
        <v>3766370</v>
      </c>
      <c r="L48" s="55">
        <v>1489030</v>
      </c>
      <c r="M48" s="55">
        <v>5</v>
      </c>
      <c r="O48" s="55">
        <v>12</v>
      </c>
      <c r="P48" s="55">
        <v>1051080</v>
      </c>
      <c r="R48" s="55">
        <f t="shared" si="0"/>
        <v>5255400</v>
      </c>
      <c r="S48" s="55">
        <f t="shared" si="1"/>
        <v>0</v>
      </c>
      <c r="T48" s="55">
        <f t="shared" ref="T48:T55" si="3">ROUND(G48/M48,)</f>
        <v>1051080</v>
      </c>
      <c r="U48" s="55">
        <f t="shared" si="2"/>
        <v>0</v>
      </c>
    </row>
    <row r="49" spans="4:21">
      <c r="D49" s="55" t="s">
        <v>1626</v>
      </c>
      <c r="E49" s="786">
        <v>44196</v>
      </c>
      <c r="G49" s="55">
        <v>1653900</v>
      </c>
      <c r="J49" s="55">
        <v>1653900</v>
      </c>
      <c r="K49" s="55">
        <v>1019905</v>
      </c>
      <c r="L49" s="55">
        <v>633995</v>
      </c>
      <c r="M49" s="55">
        <v>5</v>
      </c>
      <c r="O49" s="55">
        <v>12</v>
      </c>
      <c r="P49" s="55">
        <v>330780</v>
      </c>
      <c r="R49" s="55">
        <f t="shared" si="0"/>
        <v>1653900</v>
      </c>
      <c r="S49" s="55">
        <f t="shared" si="1"/>
        <v>0</v>
      </c>
      <c r="T49" s="55">
        <f t="shared" si="3"/>
        <v>330780</v>
      </c>
      <c r="U49" s="55">
        <f t="shared" si="2"/>
        <v>0</v>
      </c>
    </row>
    <row r="50" spans="4:21">
      <c r="D50" s="55" t="s">
        <v>1627</v>
      </c>
      <c r="E50" s="786">
        <v>44196</v>
      </c>
      <c r="G50" s="55">
        <v>5092500</v>
      </c>
      <c r="J50" s="55">
        <v>5092500</v>
      </c>
      <c r="K50" s="55">
        <v>3140375</v>
      </c>
      <c r="L50" s="55">
        <v>1952125</v>
      </c>
      <c r="M50" s="55">
        <v>5</v>
      </c>
      <c r="O50" s="55">
        <v>12</v>
      </c>
      <c r="P50" s="55">
        <v>1018500</v>
      </c>
      <c r="R50" s="55">
        <f t="shared" si="0"/>
        <v>5092500</v>
      </c>
      <c r="S50" s="55">
        <f t="shared" si="1"/>
        <v>0</v>
      </c>
      <c r="T50" s="55">
        <f t="shared" si="3"/>
        <v>1018500</v>
      </c>
      <c r="U50" s="55">
        <f t="shared" si="2"/>
        <v>0</v>
      </c>
    </row>
    <row r="51" spans="4:21">
      <c r="D51" s="55" t="s">
        <v>2272</v>
      </c>
      <c r="E51" s="786">
        <v>44378</v>
      </c>
      <c r="G51" s="55">
        <v>5488600</v>
      </c>
      <c r="J51" s="55">
        <v>5488600</v>
      </c>
      <c r="K51" s="55">
        <v>2744310</v>
      </c>
      <c r="L51" s="55">
        <v>2744290</v>
      </c>
      <c r="M51" s="55">
        <v>5</v>
      </c>
      <c r="O51" s="55">
        <v>12</v>
      </c>
      <c r="P51" s="55">
        <v>1097724</v>
      </c>
      <c r="R51" s="55">
        <f t="shared" si="0"/>
        <v>5488600</v>
      </c>
      <c r="S51" s="55">
        <f t="shared" si="1"/>
        <v>0</v>
      </c>
      <c r="T51" s="55">
        <f t="shared" si="3"/>
        <v>1097720</v>
      </c>
      <c r="U51" s="55">
        <f t="shared" si="2"/>
        <v>0</v>
      </c>
    </row>
    <row r="52" spans="4:21">
      <c r="D52" s="55" t="s">
        <v>1629</v>
      </c>
      <c r="E52" s="786">
        <v>44378</v>
      </c>
      <c r="G52" s="55">
        <v>5381900</v>
      </c>
      <c r="J52" s="55">
        <v>5381900</v>
      </c>
      <c r="K52" s="55">
        <v>2690940</v>
      </c>
      <c r="L52" s="55">
        <v>2690960</v>
      </c>
      <c r="M52" s="55">
        <v>5</v>
      </c>
      <c r="O52" s="55">
        <v>12</v>
      </c>
      <c r="P52" s="55">
        <v>1076376</v>
      </c>
      <c r="R52" s="55">
        <f t="shared" si="0"/>
        <v>5381900</v>
      </c>
      <c r="S52" s="55">
        <f t="shared" si="1"/>
        <v>0</v>
      </c>
      <c r="T52" s="55">
        <f t="shared" si="3"/>
        <v>1076380</v>
      </c>
      <c r="U52" s="55">
        <f t="shared" si="2"/>
        <v>0</v>
      </c>
    </row>
    <row r="53" spans="4:21">
      <c r="D53" s="55" t="s">
        <v>1630</v>
      </c>
      <c r="E53" s="786">
        <v>44378</v>
      </c>
      <c r="G53" s="55">
        <v>5510200</v>
      </c>
      <c r="J53" s="55">
        <v>5510200</v>
      </c>
      <c r="K53" s="55">
        <v>2755109</v>
      </c>
      <c r="L53" s="55">
        <v>2755091</v>
      </c>
      <c r="M53" s="55">
        <v>5</v>
      </c>
      <c r="O53" s="55">
        <v>12</v>
      </c>
      <c r="P53" s="55">
        <v>1102044</v>
      </c>
      <c r="R53" s="55">
        <f t="shared" si="0"/>
        <v>5510200</v>
      </c>
      <c r="S53" s="55">
        <f t="shared" si="1"/>
        <v>0</v>
      </c>
      <c r="T53" s="55">
        <f t="shared" si="3"/>
        <v>1102040</v>
      </c>
      <c r="U53" s="55">
        <f t="shared" si="2"/>
        <v>0</v>
      </c>
    </row>
    <row r="54" spans="4:21">
      <c r="D54" s="55" t="s">
        <v>1631</v>
      </c>
      <c r="E54" s="786">
        <v>44817</v>
      </c>
      <c r="G54" s="55">
        <v>4273200</v>
      </c>
      <c r="J54" s="55">
        <v>4273200</v>
      </c>
      <c r="K54" s="55">
        <v>1139520</v>
      </c>
      <c r="L54" s="55">
        <v>3133680</v>
      </c>
      <c r="M54" s="55">
        <v>5</v>
      </c>
      <c r="O54" s="55">
        <v>12</v>
      </c>
      <c r="P54" s="55">
        <v>854640</v>
      </c>
      <c r="R54" s="55">
        <f t="shared" si="0"/>
        <v>3276120</v>
      </c>
      <c r="S54" s="55">
        <f t="shared" si="1"/>
        <v>997080</v>
      </c>
      <c r="T54" s="55">
        <f t="shared" si="3"/>
        <v>854640</v>
      </c>
      <c r="U54" s="55">
        <f t="shared" si="2"/>
        <v>142440</v>
      </c>
    </row>
    <row r="55" spans="4:21">
      <c r="D55" s="55" t="s">
        <v>1632</v>
      </c>
      <c r="E55" s="786">
        <v>44817</v>
      </c>
      <c r="G55" s="55">
        <v>1861100</v>
      </c>
      <c r="J55" s="55">
        <v>1861100</v>
      </c>
      <c r="K55" s="55">
        <v>496286</v>
      </c>
      <c r="L55" s="55">
        <v>1364814</v>
      </c>
      <c r="M55" s="55">
        <v>5</v>
      </c>
      <c r="O55" s="55">
        <v>12</v>
      </c>
      <c r="P55" s="55">
        <v>372216</v>
      </c>
      <c r="R55" s="55">
        <f t="shared" si="0"/>
        <v>1426826</v>
      </c>
      <c r="S55" s="55">
        <f t="shared" si="1"/>
        <v>434274</v>
      </c>
      <c r="T55" s="55">
        <f t="shared" si="3"/>
        <v>372220</v>
      </c>
      <c r="U55" s="55">
        <f t="shared" si="2"/>
        <v>62054</v>
      </c>
    </row>
    <row r="56" spans="4:21" ht="15.45" thickBot="1">
      <c r="E56" s="786"/>
      <c r="S56" s="766">
        <f>SUM(S45:S55)</f>
        <v>1431354</v>
      </c>
      <c r="U56" s="766">
        <f>SUM(U45:U55)</f>
        <v>204494</v>
      </c>
    </row>
    <row r="57" spans="4:21" ht="15.45" thickTop="1"/>
    <row r="58" spans="4:21">
      <c r="D58" s="55" t="s">
        <v>2271</v>
      </c>
      <c r="E58" s="55">
        <v>15679707</v>
      </c>
      <c r="F58" s="55">
        <v>15679707</v>
      </c>
      <c r="G58" s="55">
        <f>E58-F58</f>
        <v>0</v>
      </c>
    </row>
    <row r="59" spans="4:21">
      <c r="D59" s="55" t="s">
        <v>1633</v>
      </c>
      <c r="E59" s="55">
        <v>15000000</v>
      </c>
      <c r="F59" s="55">
        <v>15000000</v>
      </c>
      <c r="G59" s="55">
        <f t="shared" ref="G59:G99" si="4">E59-F59</f>
        <v>0</v>
      </c>
    </row>
    <row r="60" spans="4:21">
      <c r="D60" s="55" t="s">
        <v>2261</v>
      </c>
      <c r="E60" s="55">
        <v>16412799</v>
      </c>
      <c r="F60" s="55">
        <v>16412799</v>
      </c>
      <c r="G60" s="55">
        <f t="shared" si="4"/>
        <v>0</v>
      </c>
    </row>
    <row r="61" spans="4:21">
      <c r="D61" s="55" t="s">
        <v>2262</v>
      </c>
      <c r="E61" s="55">
        <v>8432810</v>
      </c>
      <c r="F61" s="55">
        <v>8432810</v>
      </c>
      <c r="G61" s="55">
        <f t="shared" si="4"/>
        <v>0</v>
      </c>
    </row>
    <row r="62" spans="4:21">
      <c r="D62" s="55" t="s">
        <v>1623</v>
      </c>
      <c r="E62" s="55">
        <v>3004000</v>
      </c>
      <c r="F62" s="55">
        <v>3004000</v>
      </c>
      <c r="G62" s="55">
        <f t="shared" si="4"/>
        <v>0</v>
      </c>
    </row>
    <row r="63" spans="4:21">
      <c r="D63" s="55" t="s">
        <v>2263</v>
      </c>
      <c r="E63" s="55">
        <v>21818000</v>
      </c>
      <c r="F63" s="55">
        <v>21818000</v>
      </c>
      <c r="G63" s="55">
        <f t="shared" si="4"/>
        <v>0</v>
      </c>
    </row>
    <row r="64" spans="4:21">
      <c r="D64" s="55" t="s">
        <v>2264</v>
      </c>
      <c r="E64" s="55">
        <v>4545455</v>
      </c>
      <c r="F64" s="55">
        <v>4545455</v>
      </c>
      <c r="G64" s="55">
        <f t="shared" si="4"/>
        <v>0</v>
      </c>
    </row>
    <row r="65" spans="4:7">
      <c r="D65" s="55" t="s">
        <v>2265</v>
      </c>
      <c r="E65" s="55">
        <v>10000000</v>
      </c>
      <c r="F65" s="55">
        <v>10000000</v>
      </c>
      <c r="G65" s="55">
        <f t="shared" si="4"/>
        <v>0</v>
      </c>
    </row>
    <row r="66" spans="4:7">
      <c r="D66" s="55" t="s">
        <v>2266</v>
      </c>
      <c r="E66" s="55">
        <v>2211500</v>
      </c>
      <c r="F66" s="55">
        <v>2211500</v>
      </c>
      <c r="G66" s="55">
        <f t="shared" si="4"/>
        <v>0</v>
      </c>
    </row>
    <row r="67" spans="4:7">
      <c r="D67" s="55" t="s">
        <v>1624</v>
      </c>
      <c r="E67" s="55">
        <v>5035400</v>
      </c>
      <c r="F67" s="55">
        <v>5035400</v>
      </c>
      <c r="G67" s="55">
        <f t="shared" si="4"/>
        <v>0</v>
      </c>
    </row>
    <row r="68" spans="4:7">
      <c r="D68" s="55" t="s">
        <v>2267</v>
      </c>
      <c r="E68" s="55">
        <v>5473700</v>
      </c>
      <c r="F68" s="55">
        <v>5473700</v>
      </c>
      <c r="G68" s="55">
        <f t="shared" si="4"/>
        <v>0</v>
      </c>
    </row>
    <row r="69" spans="4:7">
      <c r="D69" s="55" t="s">
        <v>1625</v>
      </c>
      <c r="E69" s="55">
        <v>5255400</v>
      </c>
      <c r="F69" s="55">
        <v>5255400</v>
      </c>
      <c r="G69" s="55">
        <f t="shared" si="4"/>
        <v>0</v>
      </c>
    </row>
    <row r="70" spans="4:7">
      <c r="D70" s="55" t="s">
        <v>2268</v>
      </c>
      <c r="E70" s="55">
        <v>3060300</v>
      </c>
      <c r="F70" s="55">
        <v>3060300</v>
      </c>
      <c r="G70" s="55">
        <f t="shared" si="4"/>
        <v>0</v>
      </c>
    </row>
    <row r="71" spans="4:7">
      <c r="D71" s="55" t="s">
        <v>2269</v>
      </c>
      <c r="E71" s="55">
        <v>166300</v>
      </c>
      <c r="F71" s="55">
        <v>166300</v>
      </c>
      <c r="G71" s="55">
        <f t="shared" si="4"/>
        <v>0</v>
      </c>
    </row>
    <row r="72" spans="4:7">
      <c r="D72" s="55" t="s">
        <v>1626</v>
      </c>
      <c r="E72" s="55">
        <v>1653900</v>
      </c>
      <c r="F72" s="55">
        <v>1653900</v>
      </c>
      <c r="G72" s="55">
        <f t="shared" si="4"/>
        <v>0</v>
      </c>
    </row>
    <row r="73" spans="4:7">
      <c r="D73" s="55" t="s">
        <v>1627</v>
      </c>
      <c r="E73" s="55">
        <v>5092500</v>
      </c>
      <c r="F73" s="55">
        <v>5092500</v>
      </c>
      <c r="G73" s="55">
        <f t="shared" si="4"/>
        <v>0</v>
      </c>
    </row>
    <row r="74" spans="4:7">
      <c r="D74" s="55" t="s">
        <v>2270</v>
      </c>
      <c r="E74" s="55">
        <v>5309400</v>
      </c>
      <c r="F74" s="55">
        <v>5309400</v>
      </c>
      <c r="G74" s="55">
        <f t="shared" si="4"/>
        <v>0</v>
      </c>
    </row>
    <row r="75" spans="4:7">
      <c r="D75" s="55" t="s">
        <v>1628</v>
      </c>
      <c r="E75" s="55">
        <v>5488600</v>
      </c>
      <c r="F75" s="55">
        <v>5488600</v>
      </c>
      <c r="G75" s="55">
        <f t="shared" si="4"/>
        <v>0</v>
      </c>
    </row>
    <row r="76" spans="4:7">
      <c r="D76" s="55" t="s">
        <v>1629</v>
      </c>
      <c r="E76" s="55">
        <v>5381900</v>
      </c>
      <c r="F76" s="55">
        <v>5381900</v>
      </c>
      <c r="G76" s="55">
        <f t="shared" si="4"/>
        <v>0</v>
      </c>
    </row>
    <row r="77" spans="4:7">
      <c r="D77" s="55" t="s">
        <v>1630</v>
      </c>
      <c r="E77" s="55">
        <v>5510200</v>
      </c>
      <c r="F77" s="55">
        <v>5510200</v>
      </c>
      <c r="G77" s="55">
        <f t="shared" si="4"/>
        <v>0</v>
      </c>
    </row>
    <row r="78" spans="4:7">
      <c r="D78" s="55" t="s">
        <v>2273</v>
      </c>
      <c r="E78" s="55">
        <v>1684200</v>
      </c>
      <c r="F78" s="55">
        <v>1543850</v>
      </c>
      <c r="G78" s="55">
        <f t="shared" si="4"/>
        <v>140350</v>
      </c>
    </row>
    <row r="79" spans="4:7">
      <c r="D79" s="55" t="s">
        <v>1631</v>
      </c>
      <c r="E79" s="55">
        <v>4273200</v>
      </c>
      <c r="F79" s="55">
        <v>3276120</v>
      </c>
      <c r="G79" s="55">
        <f t="shared" si="4"/>
        <v>997080</v>
      </c>
    </row>
    <row r="80" spans="4:7">
      <c r="D80" s="55" t="s">
        <v>1632</v>
      </c>
      <c r="E80" s="55">
        <v>1861100</v>
      </c>
      <c r="F80" s="55">
        <v>1426826</v>
      </c>
      <c r="G80" s="55">
        <f t="shared" si="4"/>
        <v>434274</v>
      </c>
    </row>
    <row r="81" spans="4:7">
      <c r="D81" s="55" t="s">
        <v>2274</v>
      </c>
      <c r="E81" s="55">
        <v>2715700</v>
      </c>
      <c r="F81" s="55">
        <v>1584170</v>
      </c>
      <c r="G81" s="55">
        <f t="shared" si="4"/>
        <v>1131530</v>
      </c>
    </row>
    <row r="82" spans="4:7">
      <c r="D82" s="55" t="s">
        <v>2275</v>
      </c>
      <c r="E82" s="55">
        <v>1345000</v>
      </c>
      <c r="F82" s="55">
        <v>784595</v>
      </c>
      <c r="G82" s="55">
        <f t="shared" si="4"/>
        <v>560405</v>
      </c>
    </row>
    <row r="83" spans="4:7">
      <c r="D83" s="55" t="s">
        <v>2276</v>
      </c>
      <c r="E83" s="55">
        <v>10754472</v>
      </c>
      <c r="F83" s="55">
        <v>5735712</v>
      </c>
      <c r="G83" s="55">
        <f t="shared" si="4"/>
        <v>5018760</v>
      </c>
    </row>
    <row r="84" spans="4:7">
      <c r="D84" s="55" t="s">
        <v>2277</v>
      </c>
      <c r="E84" s="55">
        <v>3950800</v>
      </c>
      <c r="F84" s="55">
        <v>1119399</v>
      </c>
      <c r="G84" s="55">
        <f t="shared" si="4"/>
        <v>2831401</v>
      </c>
    </row>
    <row r="85" spans="4:7">
      <c r="D85" s="55" t="s">
        <v>2278</v>
      </c>
      <c r="E85" s="55">
        <v>1250000</v>
      </c>
      <c r="F85" s="55">
        <v>249996</v>
      </c>
      <c r="G85" s="55">
        <f t="shared" si="4"/>
        <v>1000004</v>
      </c>
    </row>
    <row r="86" spans="4:7">
      <c r="D86" s="55" t="s">
        <v>2279</v>
      </c>
      <c r="E86" s="55">
        <v>1830700</v>
      </c>
      <c r="F86" s="55">
        <v>366144</v>
      </c>
      <c r="G86" s="55">
        <f t="shared" si="4"/>
        <v>1464556</v>
      </c>
    </row>
    <row r="87" spans="4:7">
      <c r="D87" s="55" t="s">
        <v>2280</v>
      </c>
      <c r="E87" s="55">
        <v>0</v>
      </c>
      <c r="F87" s="55">
        <v>0</v>
      </c>
      <c r="G87" s="55">
        <f t="shared" si="4"/>
        <v>0</v>
      </c>
    </row>
    <row r="88" spans="4:7">
      <c r="D88" s="55" t="s">
        <v>2281</v>
      </c>
      <c r="E88" s="55">
        <v>0</v>
      </c>
      <c r="F88" s="55">
        <v>0</v>
      </c>
      <c r="G88" s="55">
        <f t="shared" si="4"/>
        <v>0</v>
      </c>
    </row>
    <row r="89" spans="4:7">
      <c r="D89" s="55" t="s">
        <v>2282</v>
      </c>
      <c r="E89" s="55">
        <v>0</v>
      </c>
      <c r="F89" s="55">
        <v>0</v>
      </c>
      <c r="G89" s="55">
        <f t="shared" si="4"/>
        <v>0</v>
      </c>
    </row>
    <row r="90" spans="4:7">
      <c r="D90" s="55" t="s">
        <v>2283</v>
      </c>
      <c r="E90" s="55">
        <v>0</v>
      </c>
      <c r="F90" s="55">
        <v>0</v>
      </c>
      <c r="G90" s="55">
        <f t="shared" si="4"/>
        <v>0</v>
      </c>
    </row>
    <row r="91" spans="4:7">
      <c r="D91" s="55" t="s">
        <v>2284</v>
      </c>
      <c r="E91" s="55">
        <v>2130500</v>
      </c>
      <c r="F91" s="55">
        <v>177540</v>
      </c>
      <c r="G91" s="55">
        <f t="shared" si="4"/>
        <v>1952960</v>
      </c>
    </row>
    <row r="92" spans="4:7">
      <c r="D92" s="55" t="s">
        <v>2285</v>
      </c>
      <c r="E92" s="55">
        <v>1544100</v>
      </c>
      <c r="F92" s="55">
        <v>128675</v>
      </c>
      <c r="G92" s="55">
        <f t="shared" si="4"/>
        <v>1415425</v>
      </c>
    </row>
    <row r="93" spans="4:7">
      <c r="D93" s="55" t="s">
        <v>2286</v>
      </c>
      <c r="E93" s="55">
        <v>6903004</v>
      </c>
      <c r="F93" s="55">
        <v>575250</v>
      </c>
      <c r="G93" s="55">
        <f t="shared" si="4"/>
        <v>6327754</v>
      </c>
    </row>
    <row r="94" spans="4:7">
      <c r="D94" s="55" t="s">
        <v>2287</v>
      </c>
      <c r="E94" s="55">
        <v>7065000</v>
      </c>
      <c r="F94" s="55">
        <v>588750</v>
      </c>
      <c r="G94" s="55">
        <f t="shared" si="4"/>
        <v>6476250</v>
      </c>
    </row>
    <row r="95" spans="4:7">
      <c r="D95" s="55" t="s">
        <v>2288</v>
      </c>
      <c r="E95" s="55">
        <v>9648000</v>
      </c>
      <c r="F95" s="55">
        <v>804000</v>
      </c>
      <c r="G95" s="55">
        <f t="shared" si="4"/>
        <v>8844000</v>
      </c>
    </row>
    <row r="96" spans="4:7">
      <c r="D96" s="55" t="s">
        <v>2287</v>
      </c>
      <c r="E96" s="55">
        <v>2405663</v>
      </c>
      <c r="F96" s="55">
        <v>200470</v>
      </c>
      <c r="G96" s="55">
        <f t="shared" si="4"/>
        <v>2205193</v>
      </c>
    </row>
    <row r="97" spans="4:7">
      <c r="D97" s="55" t="s">
        <v>2285</v>
      </c>
      <c r="E97" s="55">
        <v>304000</v>
      </c>
      <c r="F97" s="55">
        <v>25335</v>
      </c>
      <c r="G97" s="55">
        <f t="shared" si="4"/>
        <v>278665</v>
      </c>
    </row>
    <row r="98" spans="4:7">
      <c r="D98" s="55" t="s">
        <v>2289</v>
      </c>
      <c r="E98" s="55">
        <v>6656217</v>
      </c>
      <c r="F98" s="55">
        <v>443748</v>
      </c>
      <c r="G98" s="55">
        <f t="shared" si="4"/>
        <v>6212469</v>
      </c>
    </row>
    <row r="99" spans="4:7">
      <c r="D99" s="55" t="s">
        <v>2373</v>
      </c>
      <c r="E99" s="55">
        <v>1848500</v>
      </c>
      <c r="F99" s="55">
        <v>30808</v>
      </c>
      <c r="G99" s="55">
        <f t="shared" si="4"/>
        <v>1817692</v>
      </c>
    </row>
  </sheetData>
  <mergeCells count="11">
    <mergeCell ref="D7:D8"/>
    <mergeCell ref="H7:I7"/>
    <mergeCell ref="F7:G7"/>
    <mergeCell ref="E18:E19"/>
    <mergeCell ref="D18:D19"/>
    <mergeCell ref="F36:F38"/>
    <mergeCell ref="G36:G38"/>
    <mergeCell ref="H36:H38"/>
    <mergeCell ref="I36:I38"/>
    <mergeCell ref="E7:E8"/>
    <mergeCell ref="F18:F19"/>
  </mergeCells>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7" operator="containsText" id="{8401FCC3-D045-4561-BCF3-73B6FCFE0837}">
            <xm:f>NOT(ISERROR(SEARCH("FALSE",A1)))</xm:f>
            <xm:f>"FALSE"</xm:f>
            <x14:dxf>
              <fill>
                <patternFill>
                  <bgColor theme="5"/>
                </patternFill>
              </fill>
            </x14:dxf>
          </x14:cfRule>
          <x14:cfRule type="containsText" priority="18" operator="containsText" id="{9CB24C01-8F7B-4A1D-8AA2-DC7A4090CEF0}">
            <xm:f>NOT(ISERROR(SEARCH("TRUE",A1)))</xm:f>
            <xm:f>"TRUE"</xm:f>
            <x14:dxf>
              <fill>
                <patternFill>
                  <bgColor theme="9" tint="0.79998168889431442"/>
                </patternFill>
              </fill>
            </x14:dxf>
          </x14:cfRule>
          <xm:sqref>A1:XFD34 A35:C40 J35:XFD40 D37:E38 D39:H39 D40:F40 A41:XFD1048576</xm:sqref>
        </x14:conditionalFormatting>
        <x14:conditionalFormatting xmlns:xm="http://schemas.microsoft.com/office/excel/2006/main">
          <x14:cfRule type="containsText" priority="7" operator="containsText" id="{1D20EA5E-491A-4748-8A20-9150AA7DD12E}">
            <xm:f>NOT(ISERROR(SEARCH("FALSE",D35)))</xm:f>
            <xm:f>"FALSE"</xm:f>
            <x14:dxf>
              <fill>
                <patternFill>
                  <bgColor theme="5"/>
                </patternFill>
              </fill>
            </x14:dxf>
          </x14:cfRule>
          <x14:cfRule type="containsText" priority="8" operator="containsText" id="{118CA7E5-2393-431E-8575-60FD2B0AA93A}">
            <xm:f>NOT(ISERROR(SEARCH("TRUE",D35)))</xm:f>
            <xm:f>"TRUE"</xm:f>
            <x14:dxf>
              <fill>
                <patternFill>
                  <bgColor theme="9" tint="0.79998168889431442"/>
                </patternFill>
              </fill>
            </x14:dxf>
          </x14:cfRule>
          <xm:sqref>D35:I36 I39:I40</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dimension ref="B2:H9"/>
  <sheetViews>
    <sheetView showGridLines="0" workbookViewId="0">
      <selection activeCell="F8" sqref="F8"/>
    </sheetView>
  </sheetViews>
  <sheetFormatPr defaultColWidth="8.5703125" defaultRowHeight="15"/>
  <cols>
    <col min="1" max="2" width="1.85546875" style="55" customWidth="1"/>
    <col min="3" max="3" width="1.5" style="55" customWidth="1"/>
    <col min="4" max="4" width="17.85546875" style="55" customWidth="1"/>
    <col min="5" max="5" width="17.35546875" style="55" customWidth="1"/>
    <col min="6" max="6" width="17.5703125" style="55" customWidth="1"/>
    <col min="7" max="7" width="14.5" style="55" customWidth="1"/>
    <col min="8" max="9" width="13.5703125" style="55" customWidth="1"/>
    <col min="10" max="11" width="12.0703125" style="55" bestFit="1" customWidth="1"/>
    <col min="12" max="12" width="8.5703125" style="55"/>
    <col min="13" max="13" width="11.35546875" style="55" bestFit="1" customWidth="1"/>
    <col min="14" max="16384" width="8.5703125" style="55"/>
  </cols>
  <sheetData>
    <row r="2" spans="2:8">
      <c r="B2" s="54" t="s">
        <v>1807</v>
      </c>
    </row>
    <row r="4" spans="2:8">
      <c r="D4" s="55" t="s">
        <v>1046</v>
      </c>
      <c r="E4" s="55">
        <v>500</v>
      </c>
    </row>
    <row r="5" spans="2:8">
      <c r="H5" s="295" t="s">
        <v>1045</v>
      </c>
    </row>
    <row r="6" spans="2:8">
      <c r="D6" s="292" t="s">
        <v>237</v>
      </c>
      <c r="E6" s="293" t="s">
        <v>545</v>
      </c>
      <c r="F6" s="293" t="s">
        <v>84</v>
      </c>
      <c r="G6" s="293" t="s">
        <v>98</v>
      </c>
      <c r="H6" s="294" t="s">
        <v>546</v>
      </c>
    </row>
    <row r="7" spans="2:8">
      <c r="D7" s="291" t="s">
        <v>378</v>
      </c>
      <c r="E7" s="271">
        <f>'1'!J5</f>
        <v>11382383</v>
      </c>
      <c r="F7" s="271">
        <f>BS!E93</f>
        <v>5691191500</v>
      </c>
      <c r="G7" s="271">
        <f>BS!E95</f>
        <v>45157382298</v>
      </c>
      <c r="H7" s="269">
        <f>SUM(F7:G7)</f>
        <v>50848573798</v>
      </c>
    </row>
    <row r="8" spans="2:8">
      <c r="F8" s="55" t="b">
        <f>E7*E4=F7</f>
        <v>1</v>
      </c>
      <c r="H8" s="55" t="b">
        <f>H7=BS!E93+BS!E95</f>
        <v>1</v>
      </c>
    </row>
    <row r="9" spans="2:8">
      <c r="F9" s="55" t="b">
        <f>F7=Dart_BS!C35</f>
        <v>1</v>
      </c>
      <c r="G9" s="55" t="b">
        <f>G7=Dart_BS!C36</f>
        <v>1</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9CDCBFF-8839-41B2-8C2D-57CEDEB90E19}">
            <xm:f>NOT(ISERROR(SEARCH("FALSE",A1)))</xm:f>
            <xm:f>"FALSE"</xm:f>
            <x14:dxf>
              <fill>
                <patternFill>
                  <bgColor theme="5"/>
                </patternFill>
              </fill>
            </x14:dxf>
          </x14:cfRule>
          <x14:cfRule type="containsText" priority="2" operator="containsText" id="{E4A5F8B0-4564-4CCD-8352-0F02B105EE01}">
            <xm:f>NOT(ISERROR(SEARCH("TRUE",A1)))</xm:f>
            <xm:f>"TRUE"</xm:f>
            <x14:dxf>
              <fill>
                <patternFill>
                  <bgColor theme="9" tint="0.79998168889431442"/>
                </patternFill>
              </fill>
            </x14:dxf>
          </x14:cfRule>
          <xm:sqref>A1:XFD1048576</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dimension ref="B2:G29"/>
  <sheetViews>
    <sheetView showGridLines="0" workbookViewId="0">
      <selection activeCell="O30" sqref="O30"/>
    </sheetView>
  </sheetViews>
  <sheetFormatPr defaultColWidth="8.5703125" defaultRowHeight="15"/>
  <cols>
    <col min="1" max="2" width="1.85546875" style="55" customWidth="1"/>
    <col min="3" max="3" width="1.5" style="55" customWidth="1"/>
    <col min="4" max="4" width="17.85546875" style="55" customWidth="1"/>
    <col min="5" max="5" width="17.35546875" style="55" customWidth="1"/>
    <col min="6" max="6" width="17.5703125" style="55" customWidth="1"/>
    <col min="7" max="7" width="14.5" style="55" customWidth="1"/>
    <col min="8" max="9" width="13.5703125" style="55" customWidth="1"/>
    <col min="10" max="11" width="12.0703125" style="55" bestFit="1" customWidth="1"/>
    <col min="12" max="12" width="10.5703125" style="55" bestFit="1" customWidth="1"/>
    <col min="13" max="13" width="11.35546875" style="55" bestFit="1" customWidth="1"/>
    <col min="14" max="14" width="10.5703125" style="55" bestFit="1" customWidth="1"/>
    <col min="15" max="15" width="11.5" style="55" bestFit="1" customWidth="1"/>
    <col min="16" max="16384" width="8.5703125" style="55"/>
  </cols>
  <sheetData>
    <row r="2" spans="2:7">
      <c r="B2" s="54" t="s">
        <v>1808</v>
      </c>
    </row>
    <row r="4" spans="2:7">
      <c r="D4" s="61" t="s">
        <v>1047</v>
      </c>
    </row>
    <row r="6" spans="2:7">
      <c r="D6" s="55" t="s">
        <v>1800</v>
      </c>
    </row>
    <row r="7" spans="2:7">
      <c r="D7" s="293" t="s">
        <v>273</v>
      </c>
      <c r="E7" s="293" t="str">
        <f>'21'!E6</f>
        <v>당반기</v>
      </c>
      <c r="F7" s="293" t="str">
        <f>'21'!F6</f>
        <v>전기</v>
      </c>
    </row>
    <row r="8" spans="2:7">
      <c r="D8" s="733" t="s">
        <v>1687</v>
      </c>
      <c r="E8" s="122">
        <f>F11</f>
        <v>299000</v>
      </c>
      <c r="F8" s="122">
        <v>412824</v>
      </c>
    </row>
    <row r="9" spans="2:7">
      <c r="D9" s="733" t="s">
        <v>1689</v>
      </c>
      <c r="E9" s="122">
        <v>0</v>
      </c>
      <c r="F9" s="122">
        <v>113824</v>
      </c>
    </row>
    <row r="10" spans="2:7">
      <c r="D10" s="1154" t="s">
        <v>2235</v>
      </c>
      <c r="E10" s="122">
        <v>35000</v>
      </c>
      <c r="F10" s="122"/>
    </row>
    <row r="11" spans="2:7">
      <c r="D11" s="733" t="s">
        <v>1690</v>
      </c>
      <c r="E11" s="122">
        <f>E8-E9-E10</f>
        <v>264000</v>
      </c>
      <c r="F11" s="122">
        <f>F8-F9-F10</f>
        <v>299000</v>
      </c>
    </row>
    <row r="12" spans="2:7">
      <c r="E12" s="55" t="b">
        <f>E11=G12</f>
        <v>1</v>
      </c>
      <c r="G12" s="55">
        <v>264000</v>
      </c>
    </row>
    <row r="16" spans="2:7">
      <c r="D16" s="55" t="s">
        <v>1801</v>
      </c>
    </row>
    <row r="19" spans="4:7">
      <c r="D19" s="293" t="s">
        <v>273</v>
      </c>
      <c r="E19" s="293" t="str">
        <f>E7</f>
        <v>당반기</v>
      </c>
      <c r="F19" s="293" t="str">
        <f>F7</f>
        <v>전기</v>
      </c>
    </row>
    <row r="20" spans="4:7">
      <c r="D20" s="733" t="s">
        <v>1687</v>
      </c>
      <c r="E20" s="122">
        <f>F23</f>
        <v>424627793</v>
      </c>
      <c r="F20" s="122">
        <v>377682898</v>
      </c>
    </row>
    <row r="21" spans="4:7">
      <c r="D21" s="733" t="s">
        <v>1688</v>
      </c>
      <c r="E21" s="122">
        <f>CE!E28</f>
        <v>0</v>
      </c>
      <c r="F21" s="122">
        <v>135571460</v>
      </c>
    </row>
    <row r="22" spans="4:7">
      <c r="D22" s="733" t="s">
        <v>1689</v>
      </c>
      <c r="E22" s="122">
        <f>CE!E27</f>
        <v>0</v>
      </c>
      <c r="F22" s="122">
        <v>-88626565</v>
      </c>
    </row>
    <row r="23" spans="4:7">
      <c r="D23" s="733" t="s">
        <v>1690</v>
      </c>
      <c r="E23" s="122">
        <f>SUM(E20:E22)</f>
        <v>424627793</v>
      </c>
      <c r="F23" s="122">
        <f>SUM(F20:F22)</f>
        <v>424627793</v>
      </c>
    </row>
    <row r="25" spans="4:7">
      <c r="E25" s="55" t="b">
        <f>E23=정산표!H102</f>
        <v>1</v>
      </c>
      <c r="F25" s="55" t="b">
        <f>F23=정산표!M102</f>
        <v>1</v>
      </c>
    </row>
    <row r="28" spans="4:7">
      <c r="D28" s="55" t="s">
        <v>1691</v>
      </c>
    </row>
    <row r="29" spans="4:7">
      <c r="F29" s="803">
        <f>E21</f>
        <v>0</v>
      </c>
      <c r="G29" s="803">
        <f>F21</f>
        <v>135571460</v>
      </c>
    </row>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7" operator="containsText" id="{B7EEA40B-7BA8-40C3-90C5-E5F6771C3AE4}">
            <xm:f>NOT(ISERROR(SEARCH("FALSE",A13)))</xm:f>
            <xm:f>"FALSE"</xm:f>
            <x14:dxf>
              <fill>
                <patternFill>
                  <bgColor theme="5"/>
                </patternFill>
              </fill>
            </x14:dxf>
          </x14:cfRule>
          <x14:cfRule type="containsText" priority="18" operator="containsText" id="{538603AF-12F0-45D0-A293-5CF7EC19844D}">
            <xm:f>NOT(ISERROR(SEARCH("TRUE",A13)))</xm:f>
            <xm:f>"TRUE"</xm:f>
            <x14:dxf>
              <fill>
                <patternFill>
                  <bgColor theme="9" tint="0.79998168889431442"/>
                </patternFill>
              </fill>
            </x14:dxf>
          </x14:cfRule>
          <xm:sqref>A13:E13 H13:XFD13 A24:D24 F24:XFD24 A25:XFD1048576</xm:sqref>
        </x14:conditionalFormatting>
        <x14:conditionalFormatting xmlns:xm="http://schemas.microsoft.com/office/excel/2006/main">
          <x14:cfRule type="containsText" priority="1" operator="containsText" id="{F517B4E5-E36F-4964-9A32-D7A20C1F8ABC}">
            <xm:f>NOT(ISERROR(SEARCH("FALSE",A1)))</xm:f>
            <xm:f>"FALSE"</xm:f>
            <x14:dxf>
              <fill>
                <patternFill>
                  <bgColor theme="5"/>
                </patternFill>
              </fill>
            </x14:dxf>
          </x14:cfRule>
          <x14:cfRule type="containsText" priority="2" operator="containsText" id="{E06A7FEE-D3A0-436E-92A1-C522E2FA80F0}">
            <xm:f>NOT(ISERROR(SEARCH("TRUE",A1)))</xm:f>
            <xm:f>"TRUE"</xm:f>
            <x14:dxf>
              <fill>
                <patternFill>
                  <bgColor theme="9" tint="0.79998168889431442"/>
                </patternFill>
              </fill>
            </x14:dxf>
          </x14:cfRule>
          <xm:sqref>A1:XFD12</xm:sqref>
        </x14:conditionalFormatting>
        <x14:conditionalFormatting xmlns:xm="http://schemas.microsoft.com/office/excel/2006/main">
          <x14:cfRule type="containsText" priority="6" operator="containsText" id="{9D4D3169-7C7D-4E0D-BA37-D14AE99920FB}">
            <xm:f>NOT(ISERROR(SEARCH("FALSE",A14)))</xm:f>
            <xm:f>"FALSE"</xm:f>
            <x14:dxf>
              <fill>
                <patternFill>
                  <bgColor theme="5"/>
                </patternFill>
              </fill>
            </x14:dxf>
          </x14:cfRule>
          <x14:cfRule type="containsText" priority="7" operator="containsText" id="{7FB95F3A-646A-4680-BB0B-8EA9C2185204}">
            <xm:f>NOT(ISERROR(SEARCH("TRUE",A14)))</xm:f>
            <xm:f>"TRUE"</xm:f>
            <x14:dxf>
              <fill>
                <patternFill>
                  <bgColor theme="9" tint="0.79998168889431442"/>
                </patternFill>
              </fill>
            </x14:dxf>
          </x14:cfRule>
          <xm:sqref>A14:XFD23</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dimension ref="B2:J32"/>
  <sheetViews>
    <sheetView showGridLines="0" topLeftCell="A13" zoomScale="85" zoomScaleNormal="85" workbookViewId="0">
      <selection activeCell="E16" sqref="E16:E17"/>
    </sheetView>
  </sheetViews>
  <sheetFormatPr defaultColWidth="8.5703125" defaultRowHeight="15" outlineLevelRow="1"/>
  <cols>
    <col min="1" max="2" width="1.85546875" style="55" customWidth="1"/>
    <col min="3" max="3" width="1.5" style="55" customWidth="1"/>
    <col min="4" max="4" width="19.35546875" style="55" customWidth="1"/>
    <col min="5" max="5" width="23.0703125" style="55" customWidth="1"/>
    <col min="6" max="6" width="18.5703125" style="55" customWidth="1"/>
    <col min="7" max="13" width="15.5703125" style="55" customWidth="1"/>
    <col min="14" max="16384" width="8.5703125" style="55"/>
  </cols>
  <sheetData>
    <row r="2" spans="2:10">
      <c r="B2" s="54" t="s">
        <v>1809</v>
      </c>
    </row>
    <row r="4" spans="2:10">
      <c r="D4" s="62" t="s">
        <v>270</v>
      </c>
      <c r="E4" s="63"/>
      <c r="F4" s="63"/>
      <c r="G4" s="63"/>
      <c r="H4" s="63"/>
      <c r="I4" s="63"/>
      <c r="J4" s="63"/>
    </row>
    <row r="5" spans="2:10">
      <c r="D5" s="64"/>
      <c r="E5" s="63"/>
      <c r="F5" s="64" t="s">
        <v>258</v>
      </c>
      <c r="G5" s="63"/>
      <c r="H5" s="63"/>
      <c r="I5" s="63"/>
      <c r="J5" s="63"/>
    </row>
    <row r="6" spans="2:10">
      <c r="D6" s="296" t="s">
        <v>237</v>
      </c>
      <c r="E6" s="297" t="str">
        <f>'20'!E28</f>
        <v>당반기말</v>
      </c>
      <c r="F6" s="297" t="str">
        <f>'20'!F28</f>
        <v>전기말</v>
      </c>
      <c r="G6" s="63"/>
      <c r="H6" s="63"/>
      <c r="I6" s="63"/>
      <c r="J6" s="63"/>
    </row>
    <row r="7" spans="2:10">
      <c r="D7" s="149" t="s">
        <v>37</v>
      </c>
      <c r="E7" s="151">
        <f>BS!E99</f>
        <v>-9572416296</v>
      </c>
      <c r="F7" s="169">
        <f>BS!F99</f>
        <v>-8783566486</v>
      </c>
      <c r="G7" s="63"/>
      <c r="H7" s="63"/>
      <c r="I7" s="63"/>
      <c r="J7" s="63"/>
    </row>
    <row r="8" spans="2:10">
      <c r="D8" s="63"/>
      <c r="E8" s="63" t="b">
        <f>E7=CE!F29</f>
        <v>1</v>
      </c>
      <c r="F8" s="63" t="b">
        <f>F7=CE!F21</f>
        <v>1</v>
      </c>
      <c r="G8" s="63"/>
      <c r="H8" s="63"/>
      <c r="I8" s="63"/>
      <c r="J8" s="63"/>
    </row>
    <row r="9" spans="2:10">
      <c r="D9" s="63"/>
      <c r="E9" s="63"/>
      <c r="F9" s="63"/>
      <c r="G9" s="63"/>
      <c r="H9" s="63"/>
      <c r="I9" s="63"/>
      <c r="J9" s="63"/>
    </row>
    <row r="10" spans="2:10">
      <c r="D10" s="142" t="s">
        <v>271</v>
      </c>
      <c r="E10" s="63"/>
      <c r="F10" s="63"/>
      <c r="G10" s="63"/>
      <c r="H10" s="63"/>
      <c r="I10" s="63"/>
      <c r="J10" s="63"/>
    </row>
    <row r="11" spans="2:10">
      <c r="D11" s="64"/>
      <c r="E11" s="63"/>
      <c r="F11" s="64" t="s">
        <v>272</v>
      </c>
      <c r="G11" s="63"/>
      <c r="H11" s="63"/>
      <c r="I11" s="63"/>
      <c r="J11" s="63"/>
    </row>
    <row r="12" spans="2:10">
      <c r="D12" s="112" t="s">
        <v>237</v>
      </c>
      <c r="E12" s="113" t="s">
        <v>670</v>
      </c>
      <c r="F12" s="113" t="s">
        <v>521</v>
      </c>
      <c r="G12" s="63"/>
      <c r="H12" s="63"/>
      <c r="I12" s="63"/>
      <c r="J12" s="63"/>
    </row>
    <row r="13" spans="2:10">
      <c r="D13" s="67" t="s">
        <v>275</v>
      </c>
      <c r="E13" s="68">
        <f>F17</f>
        <v>-8783566486</v>
      </c>
      <c r="F13" s="68">
        <v>-9779538403</v>
      </c>
      <c r="G13" s="63"/>
      <c r="H13" s="63"/>
      <c r="I13" s="63"/>
      <c r="J13" s="63"/>
    </row>
    <row r="14" spans="2:10">
      <c r="D14" s="67" t="s">
        <v>30</v>
      </c>
      <c r="E14" s="68">
        <f>PL!E86</f>
        <v>-788849810</v>
      </c>
      <c r="F14" s="68">
        <v>955837892</v>
      </c>
      <c r="G14" s="63"/>
      <c r="H14" s="63"/>
      <c r="I14" s="63"/>
      <c r="J14" s="63"/>
    </row>
    <row r="15" spans="2:10">
      <c r="D15" s="57" t="s">
        <v>276</v>
      </c>
      <c r="E15" s="68">
        <f>PL!E91</f>
        <v>0</v>
      </c>
      <c r="F15" s="68">
        <v>40134025</v>
      </c>
      <c r="G15" s="63"/>
      <c r="H15" s="63"/>
      <c r="I15" s="63"/>
      <c r="J15" s="63"/>
    </row>
    <row r="16" spans="2:10">
      <c r="D16" s="553" t="s">
        <v>1228</v>
      </c>
      <c r="E16" s="552">
        <v>0</v>
      </c>
      <c r="F16" s="552">
        <v>0</v>
      </c>
      <c r="G16" s="63"/>
      <c r="H16" s="63"/>
      <c r="I16" s="63"/>
      <c r="J16" s="63"/>
    </row>
    <row r="17" spans="4:10">
      <c r="D17" s="77" t="s">
        <v>277</v>
      </c>
      <c r="E17" s="72">
        <f>SUM(E13:E16)</f>
        <v>-9572416296</v>
      </c>
      <c r="F17" s="72">
        <f>SUM(F13:F16)</f>
        <v>-8783566486</v>
      </c>
      <c r="G17" s="63"/>
      <c r="H17" s="63"/>
      <c r="I17" s="63"/>
      <c r="J17" s="63"/>
    </row>
    <row r="18" spans="4:10">
      <c r="D18" s="125"/>
      <c r="E18" s="118" t="b">
        <f>E17=E7</f>
        <v>1</v>
      </c>
      <c r="F18" s="118" t="b">
        <f>F17=F7</f>
        <v>1</v>
      </c>
      <c r="G18" s="63"/>
      <c r="H18" s="63"/>
      <c r="I18" s="63"/>
      <c r="J18" s="63"/>
    </row>
    <row r="19" spans="4:10">
      <c r="D19" s="125"/>
      <c r="E19" s="118"/>
      <c r="F19" s="118"/>
      <c r="G19" s="63"/>
      <c r="H19" s="63"/>
      <c r="I19" s="63"/>
      <c r="J19" s="63"/>
    </row>
    <row r="20" spans="4:10" hidden="1" outlineLevel="1">
      <c r="D20" s="125" t="s">
        <v>753</v>
      </c>
      <c r="E20" s="118"/>
      <c r="F20" s="63"/>
      <c r="G20" s="63"/>
      <c r="H20" s="63"/>
      <c r="I20" s="63"/>
      <c r="J20" s="63"/>
    </row>
    <row r="21" spans="4:10" hidden="1" outlineLevel="1">
      <c r="D21" s="125"/>
      <c r="E21" s="64"/>
      <c r="F21" s="63"/>
      <c r="G21" s="63"/>
      <c r="H21" s="64" t="s">
        <v>272</v>
      </c>
      <c r="I21" s="63"/>
      <c r="J21" s="63"/>
    </row>
    <row r="22" spans="4:10" hidden="1" outlineLevel="1">
      <c r="D22" s="298" t="s">
        <v>237</v>
      </c>
      <c r="E22" s="299" t="s">
        <v>1043</v>
      </c>
      <c r="F22" s="299"/>
      <c r="G22" s="299" t="s">
        <v>1048</v>
      </c>
      <c r="H22" s="299"/>
      <c r="I22" s="63"/>
      <c r="J22" s="63"/>
    </row>
    <row r="23" spans="4:10" hidden="1" outlineLevel="1">
      <c r="D23" s="121" t="s">
        <v>754</v>
      </c>
      <c r="E23" s="68"/>
      <c r="F23" s="68">
        <f>SUM(E24:E28)</f>
        <v>-13869890061</v>
      </c>
      <c r="G23" s="68"/>
      <c r="H23" s="68">
        <f>SUM(G24:G28)</f>
        <v>-13081040251</v>
      </c>
      <c r="I23" s="63"/>
      <c r="J23" s="63"/>
    </row>
    <row r="24" spans="4:10" hidden="1" outlineLevel="1">
      <c r="D24" s="121" t="s">
        <v>755</v>
      </c>
      <c r="E24" s="68">
        <f>H30</f>
        <v>-13081040251</v>
      </c>
      <c r="F24" s="68"/>
      <c r="G24" s="68">
        <v>-13716319958</v>
      </c>
      <c r="H24" s="68"/>
      <c r="I24" s="63"/>
      <c r="J24" s="63"/>
    </row>
    <row r="25" spans="4:10" hidden="1" outlineLevel="1">
      <c r="D25" s="121" t="s">
        <v>756</v>
      </c>
      <c r="E25" s="68">
        <f>E14</f>
        <v>-788849810</v>
      </c>
      <c r="F25" s="68"/>
      <c r="G25" s="68">
        <f>F14</f>
        <v>955837892</v>
      </c>
      <c r="H25" s="68"/>
      <c r="I25" s="63"/>
      <c r="J25" s="63"/>
    </row>
    <row r="26" spans="4:10" hidden="1" outlineLevel="1">
      <c r="D26" s="121" t="s">
        <v>1527</v>
      </c>
      <c r="E26" s="555">
        <v>0</v>
      </c>
      <c r="F26" s="555"/>
      <c r="G26" s="555">
        <v>0</v>
      </c>
      <c r="H26" s="555"/>
      <c r="I26" s="63"/>
      <c r="J26" s="63"/>
    </row>
    <row r="27" spans="4:10" hidden="1" outlineLevel="1">
      <c r="D27" s="121" t="s">
        <v>1637</v>
      </c>
      <c r="E27" s="760">
        <f>E16</f>
        <v>0</v>
      </c>
      <c r="F27" s="760"/>
      <c r="G27" s="760">
        <v>-234990701</v>
      </c>
      <c r="H27" s="760"/>
      <c r="I27" s="63"/>
      <c r="J27" s="63"/>
    </row>
    <row r="28" spans="4:10" hidden="1" outlineLevel="1">
      <c r="D28" s="121" t="s">
        <v>757</v>
      </c>
      <c r="E28" s="68">
        <f>E15</f>
        <v>0</v>
      </c>
      <c r="F28" s="68"/>
      <c r="G28" s="68">
        <v>-85567484</v>
      </c>
      <c r="H28" s="68"/>
      <c r="I28" s="63"/>
      <c r="J28" s="63"/>
    </row>
    <row r="29" spans="4:10" hidden="1" outlineLevel="1">
      <c r="D29" s="121" t="s">
        <v>758</v>
      </c>
      <c r="E29" s="68"/>
      <c r="F29" s="68">
        <v>0</v>
      </c>
      <c r="G29" s="68"/>
      <c r="H29" s="68">
        <v>0</v>
      </c>
      <c r="I29" s="63"/>
      <c r="J29" s="63"/>
    </row>
    <row r="30" spans="4:10" hidden="1" outlineLevel="1">
      <c r="D30" s="121" t="s">
        <v>759</v>
      </c>
      <c r="E30" s="68"/>
      <c r="F30" s="68">
        <f>F23-F29</f>
        <v>-13869890061</v>
      </c>
      <c r="G30" s="68"/>
      <c r="H30" s="68">
        <f>SUM(H23:H29)</f>
        <v>-13081040251</v>
      </c>
      <c r="I30" s="63"/>
      <c r="J30" s="63"/>
    </row>
    <row r="31" spans="4:10" hidden="1" outlineLevel="1">
      <c r="D31" s="53"/>
      <c r="E31" s="53"/>
      <c r="F31" s="53" t="b">
        <f>F30=E17</f>
        <v>0</v>
      </c>
      <c r="G31" s="53"/>
      <c r="H31" s="53" t="b">
        <f>H30=F17</f>
        <v>0</v>
      </c>
      <c r="I31" s="63"/>
      <c r="J31" s="63"/>
    </row>
    <row r="32" spans="4:10" collapsed="1"/>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9E9F5EC-3F13-469C-ADAA-78374CC0B6C3}">
            <xm:f>NOT(ISERROR(SEARCH("FALSE",A1)))</xm:f>
            <xm:f>"FALSE"</xm:f>
            <x14:dxf>
              <fill>
                <patternFill>
                  <bgColor theme="5"/>
                </patternFill>
              </fill>
            </x14:dxf>
          </x14:cfRule>
          <x14:cfRule type="containsText" priority="2" operator="containsText" id="{609A20AE-5CD9-47AF-AB8F-3746EE88BA8C}">
            <xm:f>NOT(ISERROR(SEARCH("TRUE",A1)))</xm:f>
            <xm:f>"TRUE"</xm:f>
            <x14:dxf>
              <fill>
                <patternFill>
                  <bgColor theme="9" tint="0.79998168889431442"/>
                </patternFill>
              </fill>
            </x14:dxf>
          </x14:cfRule>
          <xm:sqref>A1:XFD1048576</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2"/>
  <dimension ref="B2:M50"/>
  <sheetViews>
    <sheetView showGridLines="0" topLeftCell="A12" zoomScale="70" zoomScaleNormal="70" workbookViewId="0">
      <selection activeCell="E50" sqref="E50:F50"/>
    </sheetView>
  </sheetViews>
  <sheetFormatPr defaultColWidth="8.5703125" defaultRowHeight="15"/>
  <cols>
    <col min="1" max="2" width="1.85546875" style="55" customWidth="1"/>
    <col min="3" max="3" width="1.5" style="55" customWidth="1"/>
    <col min="4" max="4" width="32.0703125" style="55" customWidth="1"/>
    <col min="5" max="5" width="23.0703125" style="55" customWidth="1"/>
    <col min="6" max="6" width="18.5703125" style="55" customWidth="1"/>
    <col min="7" max="13" width="15.5703125" style="55" customWidth="1"/>
    <col min="14" max="14" width="13" style="55" bestFit="1" customWidth="1"/>
    <col min="15" max="16384" width="8.5703125" style="55"/>
  </cols>
  <sheetData>
    <row r="2" spans="2:12">
      <c r="B2" s="54" t="s">
        <v>1810</v>
      </c>
    </row>
    <row r="4" spans="2:12">
      <c r="D4" s="62" t="s">
        <v>1049</v>
      </c>
      <c r="E4" s="63"/>
      <c r="F4" s="63"/>
      <c r="G4" s="63"/>
      <c r="H4" s="63"/>
      <c r="I4" s="63"/>
      <c r="J4" s="63"/>
    </row>
    <row r="5" spans="2:12">
      <c r="D5" s="62"/>
      <c r="E5" s="63"/>
      <c r="F5" s="63"/>
      <c r="G5" s="63"/>
      <c r="H5" s="63"/>
      <c r="I5" s="63"/>
      <c r="J5" s="63"/>
    </row>
    <row r="6" spans="2:12">
      <c r="D6" s="62"/>
      <c r="F6" s="63"/>
      <c r="H6" s="64" t="s">
        <v>258</v>
      </c>
      <c r="I6" s="63"/>
      <c r="J6" s="63" t="s">
        <v>2374</v>
      </c>
    </row>
    <row r="7" spans="2:12">
      <c r="D7" s="276" t="s">
        <v>273</v>
      </c>
      <c r="E7" s="222" t="str">
        <f>'6'!E30</f>
        <v>당반기</v>
      </c>
      <c r="F7" s="307"/>
      <c r="G7" s="222" t="str">
        <f>'6'!I30</f>
        <v>전반기</v>
      </c>
      <c r="H7" s="222"/>
      <c r="I7" s="63"/>
      <c r="J7" s="780" t="s">
        <v>273</v>
      </c>
      <c r="K7" s="781" t="s">
        <v>2329</v>
      </c>
      <c r="L7" s="931" t="s">
        <v>1919</v>
      </c>
    </row>
    <row r="8" spans="2:12">
      <c r="D8" s="1016"/>
      <c r="E8" s="135" t="s">
        <v>1052</v>
      </c>
      <c r="F8" s="308" t="s">
        <v>1054</v>
      </c>
      <c r="G8" s="135" t="s">
        <v>1051</v>
      </c>
      <c r="H8" s="135" t="s">
        <v>1053</v>
      </c>
      <c r="I8" s="63"/>
      <c r="J8" s="620" t="s">
        <v>647</v>
      </c>
      <c r="K8" s="573">
        <v>4041801985</v>
      </c>
      <c r="L8" s="340">
        <v>4854908857</v>
      </c>
    </row>
    <row r="9" spans="2:12">
      <c r="D9" s="1017" t="s">
        <v>647</v>
      </c>
      <c r="E9" s="1019">
        <f>F9-K8</f>
        <v>4246368702</v>
      </c>
      <c r="F9" s="324">
        <f>PL!E2</f>
        <v>8288170687</v>
      </c>
      <c r="G9" s="1019">
        <f>H9-L8</f>
        <v>3962518140</v>
      </c>
      <c r="H9" s="1019">
        <f>PL!F2</f>
        <v>8817426997</v>
      </c>
      <c r="I9" s="63"/>
      <c r="J9" s="63"/>
    </row>
    <row r="10" spans="2:12">
      <c r="D10" s="1018" t="s">
        <v>648</v>
      </c>
      <c r="E10" s="324">
        <f>SUM(E9:E9)</f>
        <v>4246368702</v>
      </c>
      <c r="F10" s="324">
        <f>SUM(F9:F9)</f>
        <v>8288170687</v>
      </c>
      <c r="G10" s="272">
        <f>SUM(G9)</f>
        <v>3962518140</v>
      </c>
      <c r="H10" s="272">
        <f>SUM(H9)</f>
        <v>8817426997</v>
      </c>
      <c r="I10" s="63"/>
      <c r="J10" s="63"/>
    </row>
    <row r="11" spans="2:12">
      <c r="D11" s="62"/>
      <c r="E11" s="55" t="b">
        <f>E10=Dart_PL!C5</f>
        <v>1</v>
      </c>
      <c r="F11" s="55" t="b">
        <f>F10=Dart_PL!D5</f>
        <v>1</v>
      </c>
      <c r="G11" s="63" t="b">
        <f>G10=Dart_PL!E5</f>
        <v>1</v>
      </c>
      <c r="H11" s="63" t="b">
        <f>H10=Dart_PL!F5</f>
        <v>1</v>
      </c>
      <c r="I11" s="63"/>
      <c r="J11" s="63"/>
    </row>
    <row r="12" spans="2:12" ht="17.600000000000001">
      <c r="D12" s="55" t="s">
        <v>649</v>
      </c>
      <c r="H12" s="45"/>
      <c r="I12" s="45"/>
      <c r="J12" s="45"/>
    </row>
    <row r="13" spans="2:12" ht="17.600000000000001">
      <c r="H13" s="45"/>
      <c r="I13" s="45"/>
      <c r="J13" s="45"/>
    </row>
    <row r="14" spans="2:12" ht="17.600000000000001">
      <c r="D14" s="55" t="s">
        <v>1050</v>
      </c>
      <c r="H14" s="45"/>
      <c r="I14" s="45"/>
      <c r="J14" s="45"/>
    </row>
    <row r="15" spans="2:12" ht="17.600000000000001">
      <c r="D15" s="46"/>
      <c r="E15" s="45"/>
      <c r="F15" s="45"/>
      <c r="G15" s="45"/>
      <c r="H15" s="45"/>
      <c r="I15" s="45"/>
      <c r="J15" s="45"/>
    </row>
    <row r="16" spans="2:12" s="265" customFormat="1">
      <c r="D16" s="301" t="str">
        <f>E7</f>
        <v>당반기</v>
      </c>
      <c r="E16" s="266"/>
      <c r="F16" s="266"/>
      <c r="G16" s="266"/>
      <c r="H16" s="266"/>
      <c r="I16" s="266"/>
      <c r="J16" s="266"/>
    </row>
    <row r="17" spans="4:13" s="265" customFormat="1">
      <c r="D17" s="302"/>
      <c r="E17" s="266"/>
      <c r="F17" s="266"/>
      <c r="G17" s="302" t="s">
        <v>258</v>
      </c>
      <c r="H17" s="266"/>
      <c r="I17" s="266"/>
      <c r="J17" s="266"/>
    </row>
    <row r="18" spans="4:13" s="265" customFormat="1">
      <c r="D18" s="292" t="s">
        <v>273</v>
      </c>
      <c r="E18" s="293" t="s">
        <v>199</v>
      </c>
      <c r="F18" s="293" t="s">
        <v>181</v>
      </c>
      <c r="G18" s="294" t="s">
        <v>249</v>
      </c>
      <c r="H18" s="266"/>
      <c r="I18" s="266"/>
      <c r="J18" s="266"/>
    </row>
    <row r="19" spans="4:13" s="265" customFormat="1">
      <c r="D19" s="1299" t="s">
        <v>650</v>
      </c>
      <c r="E19" s="1300"/>
      <c r="F19" s="1300"/>
      <c r="G19" s="1301"/>
      <c r="H19" s="266"/>
      <c r="I19" s="266"/>
      <c r="J19" s="266"/>
    </row>
    <row r="20" spans="4:13" s="265" customFormat="1">
      <c r="D20" s="300" t="s">
        <v>651</v>
      </c>
      <c r="E20" s="271">
        <f>PL!E3+PL!E5</f>
        <v>313278001</v>
      </c>
      <c r="F20" s="271">
        <f>PL!E4</f>
        <v>7974892686</v>
      </c>
      <c r="G20" s="269">
        <f>SUM(E20:F20)</f>
        <v>8288170687</v>
      </c>
      <c r="H20" s="266" t="b">
        <f>G20=F10</f>
        <v>1</v>
      </c>
      <c r="I20" s="266"/>
      <c r="J20" s="266"/>
    </row>
    <row r="21" spans="4:13" s="265" customFormat="1">
      <c r="D21" s="303"/>
      <c r="E21" s="266"/>
      <c r="F21" s="266"/>
      <c r="G21" s="266"/>
      <c r="H21" s="266"/>
      <c r="I21" s="266"/>
      <c r="J21" s="266"/>
    </row>
    <row r="22" spans="4:13" s="265" customFormat="1">
      <c r="D22" s="301" t="str">
        <f>G7</f>
        <v>전반기</v>
      </c>
      <c r="E22" s="266"/>
      <c r="F22" s="266"/>
      <c r="G22" s="266"/>
      <c r="H22" s="266"/>
      <c r="I22" s="266"/>
      <c r="J22" s="266"/>
    </row>
    <row r="23" spans="4:13" s="265" customFormat="1">
      <c r="E23" s="266"/>
      <c r="F23" s="266"/>
      <c r="G23" s="302" t="s">
        <v>258</v>
      </c>
      <c r="H23" s="266"/>
      <c r="I23" s="266"/>
      <c r="J23" s="266"/>
    </row>
    <row r="24" spans="4:13" s="265" customFormat="1">
      <c r="D24" s="292" t="s">
        <v>273</v>
      </c>
      <c r="E24" s="293" t="s">
        <v>199</v>
      </c>
      <c r="F24" s="293" t="s">
        <v>181</v>
      </c>
      <c r="G24" s="294" t="s">
        <v>249</v>
      </c>
      <c r="H24" s="266"/>
      <c r="I24" s="266"/>
      <c r="J24" s="266"/>
    </row>
    <row r="25" spans="4:13" s="265" customFormat="1">
      <c r="D25" s="1299" t="s">
        <v>650</v>
      </c>
      <c r="E25" s="1302"/>
      <c r="F25" s="1302"/>
      <c r="G25" s="1303"/>
      <c r="H25" s="266"/>
      <c r="I25" s="266"/>
      <c r="J25" s="266"/>
    </row>
    <row r="26" spans="4:13" s="265" customFormat="1">
      <c r="D26" s="304" t="s">
        <v>651</v>
      </c>
      <c r="E26" s="305">
        <f>PL!F3+PL!F5</f>
        <v>116386260</v>
      </c>
      <c r="F26" s="305">
        <f>PL!F4</f>
        <v>8701040737</v>
      </c>
      <c r="G26" s="305">
        <f>SUM(E26:F26)</f>
        <v>8817426997</v>
      </c>
      <c r="H26" s="266" t="b">
        <f>G26=H10</f>
        <v>1</v>
      </c>
      <c r="I26" s="266"/>
      <c r="J26" s="266"/>
    </row>
    <row r="27" spans="4:13" ht="17.600000000000001">
      <c r="D27" s="46"/>
      <c r="E27" s="45"/>
      <c r="F27" s="45"/>
      <c r="G27" s="45"/>
      <c r="H27" s="45"/>
      <c r="I27" s="45"/>
    </row>
    <row r="30" spans="4:13">
      <c r="D30" s="276" t="s">
        <v>237</v>
      </c>
      <c r="E30" s="222" t="str">
        <f>E7</f>
        <v>당반기</v>
      </c>
      <c r="F30" s="307"/>
      <c r="G30" s="222" t="str">
        <f>G7</f>
        <v>전반기</v>
      </c>
      <c r="H30" s="222"/>
      <c r="J30" s="1190" t="s">
        <v>2375</v>
      </c>
      <c r="K30" s="332"/>
      <c r="L30" s="332"/>
      <c r="M30" s="332"/>
    </row>
    <row r="31" spans="4:13">
      <c r="D31" s="1016"/>
      <c r="E31" s="135" t="s">
        <v>1052</v>
      </c>
      <c r="F31" s="308" t="s">
        <v>1054</v>
      </c>
      <c r="G31" s="135" t="s">
        <v>1051</v>
      </c>
      <c r="H31" s="135" t="s">
        <v>1053</v>
      </c>
      <c r="J31" s="1191" t="s">
        <v>258</v>
      </c>
      <c r="K31" s="332"/>
      <c r="L31" s="332"/>
      <c r="M31" s="332"/>
    </row>
    <row r="32" spans="4:13">
      <c r="D32" s="93" t="s">
        <v>199</v>
      </c>
      <c r="E32" s="1022">
        <f>F32-K34</f>
        <v>148432963</v>
      </c>
      <c r="F32" s="1022">
        <f>E20</f>
        <v>313278001</v>
      </c>
      <c r="G32" s="1025">
        <f>H32-K40</f>
        <v>59068767</v>
      </c>
      <c r="H32" s="1023">
        <f>E26</f>
        <v>116386260</v>
      </c>
      <c r="J32" s="780" t="s">
        <v>273</v>
      </c>
      <c r="K32" s="781" t="s">
        <v>199</v>
      </c>
      <c r="L32" s="781" t="s">
        <v>181</v>
      </c>
      <c r="M32" s="931" t="s">
        <v>249</v>
      </c>
    </row>
    <row r="33" spans="4:13">
      <c r="D33" s="1020" t="s">
        <v>181</v>
      </c>
      <c r="E33" s="1022">
        <f>F33-L34</f>
        <v>4097935739</v>
      </c>
      <c r="F33" s="1022">
        <f>F20</f>
        <v>7974892686</v>
      </c>
      <c r="G33" s="1025">
        <f>H33-L40</f>
        <v>3903449373</v>
      </c>
      <c r="H33" s="1023">
        <f>F26</f>
        <v>8701040737</v>
      </c>
      <c r="J33" s="1192" t="s">
        <v>650</v>
      </c>
      <c r="K33" s="1193"/>
      <c r="L33" s="1193"/>
      <c r="M33" s="1194"/>
    </row>
    <row r="34" spans="4:13">
      <c r="D34" s="1021" t="s">
        <v>256</v>
      </c>
      <c r="E34" s="1024">
        <f>SUM(E32:E33)</f>
        <v>4246368702</v>
      </c>
      <c r="F34" s="1024">
        <f>SUM(F32:F33)</f>
        <v>8288170687</v>
      </c>
      <c r="G34" s="1024">
        <f>SUM(G32:G33)</f>
        <v>3962518140</v>
      </c>
      <c r="H34" s="1024">
        <f>SUM(H32:H33)</f>
        <v>8817426997</v>
      </c>
      <c r="J34" s="620" t="s">
        <v>651</v>
      </c>
      <c r="K34" s="573">
        <v>164845038</v>
      </c>
      <c r="L34" s="573">
        <v>3876956947</v>
      </c>
      <c r="M34" s="340">
        <v>4041801985</v>
      </c>
    </row>
    <row r="35" spans="4:13">
      <c r="E35" s="55" t="b">
        <f>E34=E10</f>
        <v>1</v>
      </c>
      <c r="F35" s="55" t="b">
        <f>F34=F10</f>
        <v>1</v>
      </c>
      <c r="G35" s="55" t="b">
        <f>G34=G10</f>
        <v>1</v>
      </c>
      <c r="H35" s="55" t="b">
        <f>H34=H10</f>
        <v>1</v>
      </c>
      <c r="J35" s="332"/>
      <c r="K35" s="332"/>
      <c r="L35" s="332"/>
      <c r="M35" s="332"/>
    </row>
    <row r="36" spans="4:13">
      <c r="J36" s="1190" t="s">
        <v>2376</v>
      </c>
      <c r="K36" s="332"/>
      <c r="L36" s="332"/>
      <c r="M36" s="332"/>
    </row>
    <row r="37" spans="4:13">
      <c r="J37" s="1191" t="s">
        <v>258</v>
      </c>
      <c r="K37" s="332"/>
      <c r="L37" s="332"/>
      <c r="M37" s="332"/>
    </row>
    <row r="38" spans="4:13">
      <c r="J38" s="780" t="s">
        <v>273</v>
      </c>
      <c r="K38" s="781" t="s">
        <v>199</v>
      </c>
      <c r="L38" s="781" t="s">
        <v>181</v>
      </c>
      <c r="M38" s="931" t="s">
        <v>249</v>
      </c>
    </row>
    <row r="39" spans="4:13">
      <c r="J39" s="1192" t="s">
        <v>650</v>
      </c>
      <c r="K39" s="1193"/>
      <c r="L39" s="1193"/>
      <c r="M39" s="1194"/>
    </row>
    <row r="40" spans="4:13">
      <c r="J40" s="620" t="s">
        <v>651</v>
      </c>
      <c r="K40" s="573">
        <v>57317493</v>
      </c>
      <c r="L40" s="573">
        <v>4797591364</v>
      </c>
      <c r="M40" s="340">
        <v>4854908857</v>
      </c>
    </row>
    <row r="42" spans="4:13">
      <c r="D42" s="55" t="s">
        <v>1668</v>
      </c>
    </row>
    <row r="44" spans="4:13">
      <c r="D44" s="292" t="s">
        <v>1666</v>
      </c>
      <c r="E44" s="292" t="s">
        <v>1263</v>
      </c>
      <c r="F44" s="292" t="s">
        <v>238</v>
      </c>
    </row>
    <row r="45" spans="4:13">
      <c r="D45" s="305" t="s">
        <v>1667</v>
      </c>
      <c r="E45" s="305"/>
      <c r="F45" s="305"/>
    </row>
    <row r="46" spans="4:13">
      <c r="D46" s="305" t="s">
        <v>1669</v>
      </c>
      <c r="E46" s="305">
        <f>BS!E80</f>
        <v>2215528322</v>
      </c>
      <c r="F46" s="305">
        <f>BS!F80</f>
        <v>2443300145</v>
      </c>
    </row>
    <row r="48" spans="4:13">
      <c r="D48" s="292" t="s">
        <v>1666</v>
      </c>
      <c r="E48" s="292" t="str">
        <f>D16</f>
        <v>당반기</v>
      </c>
      <c r="F48" s="292" t="s">
        <v>274</v>
      </c>
    </row>
    <row r="49" spans="4:7" ht="16" customHeight="1">
      <c r="D49" s="305" t="s">
        <v>1670</v>
      </c>
      <c r="E49" s="305"/>
      <c r="F49" s="305"/>
    </row>
    <row r="50" spans="4:7">
      <c r="D50" s="305" t="s">
        <v>1868</v>
      </c>
      <c r="E50" s="955">
        <v>398132562</v>
      </c>
      <c r="F50" s="305">
        <v>127683842</v>
      </c>
      <c r="G50" s="55" t="s">
        <v>2377</v>
      </c>
    </row>
  </sheetData>
  <mergeCells count="2">
    <mergeCell ref="D19:G19"/>
    <mergeCell ref="D25:G25"/>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1" operator="containsText" id="{9D251B87-99BD-4DB7-AEC4-A2329AD6285E}">
            <xm:f>NOT(ISERROR(SEARCH("FALSE",A28)))</xm:f>
            <xm:f>"FALSE"</xm:f>
            <x14:dxf>
              <fill>
                <patternFill>
                  <bgColor theme="5"/>
                </patternFill>
              </fill>
            </x14:dxf>
          </x14:cfRule>
          <x14:cfRule type="containsText" priority="22" operator="containsText" id="{FF6382CE-F630-4A59-AD4F-E7489EC8DEF0}">
            <xm:f>NOT(ISERROR(SEARCH("TRUE",A28)))</xm:f>
            <xm:f>"TRUE"</xm:f>
            <x14:dxf>
              <fill>
                <patternFill>
                  <bgColor theme="9" tint="0.79998168889431442"/>
                </patternFill>
              </fill>
            </x14:dxf>
          </x14:cfRule>
          <xm:sqref>A28:I29 K28:XFD29 A30:C34 I30:I34 O30:XFD40</xm:sqref>
        </x14:conditionalFormatting>
        <x14:conditionalFormatting xmlns:xm="http://schemas.microsoft.com/office/excel/2006/main">
          <x14:cfRule type="containsText" priority="31" operator="containsText" id="{302437A2-48AD-4043-9251-ADAB338547F1}">
            <xm:f>NOT(ISERROR(SEARCH("FALSE",A1)))</xm:f>
            <xm:f>"FALSE"</xm:f>
            <x14:dxf>
              <fill>
                <patternFill>
                  <bgColor theme="5"/>
                </patternFill>
              </fill>
            </x14:dxf>
          </x14:cfRule>
          <x14:cfRule type="containsText" priority="32" operator="containsText" id="{60ACC5B0-DA0A-4D1B-9659-4DC46C0EACE2}">
            <xm:f>NOT(ISERROR(SEARCH("TRUE",A1)))</xm:f>
            <xm:f>"TRUE"</xm:f>
            <x14:dxf>
              <fill>
                <patternFill>
                  <bgColor theme="9" tint="0.79998168889431442"/>
                </patternFill>
              </fill>
            </x14:dxf>
          </x14:cfRule>
          <xm:sqref>A1:XFD5 F6 H6:XFD6 A6:D11 M7:XFD8 H9:XFD14 A12:C14 A15:XFD22 A23:C23 E23:XFD23 A24:XFD27 J28:J40 A35:I1048576 J41:XFD1048576</xm:sqref>
        </x14:conditionalFormatting>
        <x14:conditionalFormatting xmlns:xm="http://schemas.microsoft.com/office/excel/2006/main">
          <x14:cfRule type="containsText" priority="1" operator="containsText" id="{519C6CBE-5C4A-470B-AEDF-8D0E2F28B164}">
            <xm:f>NOT(ISERROR(SEARCH("FALSE",D30)))</xm:f>
            <xm:f>"FALSE"</xm:f>
            <x14:dxf>
              <fill>
                <patternFill>
                  <bgColor theme="5"/>
                </patternFill>
              </fill>
            </x14:dxf>
          </x14:cfRule>
          <x14:cfRule type="containsText" priority="2" operator="containsText" id="{D7DF7D7A-0DD5-4114-BA46-1C7FAF105418}">
            <xm:f>NOT(ISERROR(SEARCH("TRUE",D30)))</xm:f>
            <xm:f>"TRUE"</xm:f>
            <x14:dxf>
              <fill>
                <patternFill>
                  <bgColor theme="9" tint="0.79998168889431442"/>
                </patternFill>
              </fill>
            </x14:dxf>
          </x14:cfRule>
          <xm:sqref>D30:H31</xm:sqref>
        </x14:conditionalFormatting>
        <x14:conditionalFormatting xmlns:xm="http://schemas.microsoft.com/office/excel/2006/main">
          <x14:cfRule type="containsText" priority="7" operator="containsText" id="{EC5428CA-BF5E-4A30-AD1B-0591A4BC4829}">
            <xm:f>NOT(ISERROR(SEARCH("FALSE",E9)))</xm:f>
            <xm:f>"FALSE"</xm:f>
            <x14:dxf>
              <fill>
                <patternFill>
                  <bgColor theme="5"/>
                </patternFill>
              </fill>
            </x14:dxf>
          </x14:cfRule>
          <x14:cfRule type="containsText" priority="8" operator="containsText" id="{A85D71BB-B0CE-4403-A6A6-319CD486AC13}">
            <xm:f>NOT(ISERROR(SEARCH("TRUE",E9)))</xm:f>
            <xm:f>"TRUE"</xm:f>
            <x14:dxf>
              <fill>
                <patternFill>
                  <bgColor theme="9" tint="0.79998168889431442"/>
                </patternFill>
              </fill>
            </x14:dxf>
          </x14:cfRule>
          <xm:sqref>E9:G11</xm:sqref>
        </x14:conditionalFormatting>
        <x14:conditionalFormatting xmlns:xm="http://schemas.microsoft.com/office/excel/2006/main">
          <x14:cfRule type="containsText" priority="17" operator="containsText" id="{7655E017-F584-4697-9309-3EB09474F139}">
            <xm:f>NOT(ISERROR(SEARCH("FALSE",E7)))</xm:f>
            <xm:f>"FALSE"</xm:f>
            <x14:dxf>
              <fill>
                <patternFill>
                  <bgColor theme="5"/>
                </patternFill>
              </fill>
            </x14:dxf>
          </x14:cfRule>
          <x14:cfRule type="containsText" priority="18" operator="containsText" id="{ED4B4EF1-0581-421E-BFFA-B0681C01DBBB}">
            <xm:f>NOT(ISERROR(SEARCH("TRUE",E7)))</xm:f>
            <xm:f>"TRUE"</xm:f>
            <x14:dxf>
              <fill>
                <patternFill>
                  <bgColor theme="9" tint="0.79998168889431442"/>
                </patternFill>
              </fill>
            </x14:dxf>
          </x14:cfRule>
          <xm:sqref>E7:I8</xm:sqref>
        </x14:conditionalFormatting>
      </x14:conditionalFormatting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3"/>
  <dimension ref="B2:AC40"/>
  <sheetViews>
    <sheetView showGridLines="0" topLeftCell="A13" zoomScaleNormal="100" workbookViewId="0">
      <selection activeCell="E33" sqref="E33:F38"/>
    </sheetView>
  </sheetViews>
  <sheetFormatPr defaultColWidth="8.5703125" defaultRowHeight="15" outlineLevelCol="1"/>
  <cols>
    <col min="1" max="2" width="1.85546875" style="55" customWidth="1"/>
    <col min="3" max="3" width="1.5" style="55" customWidth="1"/>
    <col min="4" max="4" width="32.0703125" style="55" customWidth="1"/>
    <col min="5" max="8" width="18.5703125" style="55" customWidth="1"/>
    <col min="9" max="11" width="15.5703125" style="55" customWidth="1"/>
    <col min="12" max="13" width="8.5703125" style="55"/>
    <col min="14" max="14" width="13.35546875" style="55" hidden="1" customWidth="1" outlineLevel="1"/>
    <col min="15" max="18" width="12.0703125" style="55" hidden="1" customWidth="1" outlineLevel="1"/>
    <col min="19" max="21" width="8.5703125" style="55" hidden="1" customWidth="1" outlineLevel="1"/>
    <col min="22" max="22" width="20.42578125" style="55" hidden="1" customWidth="1" outlineLevel="1"/>
    <col min="23" max="24" width="11.85546875" style="55" hidden="1" customWidth="1" outlineLevel="1"/>
    <col min="25" max="28" width="8.5703125" style="55" hidden="1" customWidth="1" outlineLevel="1"/>
    <col min="29" max="29" width="8.5703125" style="55" collapsed="1"/>
    <col min="30" max="16384" width="8.5703125" style="55"/>
  </cols>
  <sheetData>
    <row r="2" spans="2:25">
      <c r="B2" s="54" t="s">
        <v>1811</v>
      </c>
    </row>
    <row r="3" spans="2:25">
      <c r="N3" s="55" t="s">
        <v>2328</v>
      </c>
      <c r="V3" s="55" t="s">
        <v>2330</v>
      </c>
    </row>
    <row r="4" spans="2:25">
      <c r="D4" s="64"/>
      <c r="E4" s="64"/>
      <c r="F4" s="63"/>
      <c r="G4" s="63"/>
      <c r="H4" s="64" t="s">
        <v>258</v>
      </c>
      <c r="I4" s="63"/>
      <c r="J4" s="63"/>
      <c r="K4" s="63"/>
      <c r="L4" s="63"/>
      <c r="M4" s="63"/>
      <c r="N4" s="63"/>
    </row>
    <row r="5" spans="2:25">
      <c r="D5" s="1269" t="s">
        <v>237</v>
      </c>
      <c r="E5" s="222" t="str">
        <f>'27'!E7</f>
        <v>당반기</v>
      </c>
      <c r="F5" s="307"/>
      <c r="G5" s="222" t="str">
        <f>'27'!G7</f>
        <v>전반기</v>
      </c>
      <c r="H5" s="222"/>
      <c r="I5" s="63"/>
      <c r="J5" s="63"/>
      <c r="K5" s="63"/>
      <c r="L5" s="63"/>
      <c r="M5" s="63"/>
      <c r="N5" s="1304" t="s">
        <v>402</v>
      </c>
      <c r="O5" s="1306" t="s">
        <v>1239</v>
      </c>
      <c r="P5" s="1307"/>
      <c r="Q5" s="1306" t="s">
        <v>1240</v>
      </c>
      <c r="R5" s="1308"/>
    </row>
    <row r="6" spans="2:25">
      <c r="D6" s="1270"/>
      <c r="E6" s="135" t="s">
        <v>1052</v>
      </c>
      <c r="F6" s="308" t="s">
        <v>1054</v>
      </c>
      <c r="G6" s="135" t="s">
        <v>1051</v>
      </c>
      <c r="H6" s="135" t="s">
        <v>1053</v>
      </c>
      <c r="I6" s="63"/>
      <c r="J6" s="63"/>
      <c r="K6" s="63"/>
      <c r="L6" s="63"/>
      <c r="M6" s="63"/>
      <c r="N6" s="1305"/>
      <c r="O6" s="1175" t="s">
        <v>1051</v>
      </c>
      <c r="P6" s="1176" t="s">
        <v>1053</v>
      </c>
      <c r="Q6" s="1175" t="s">
        <v>1051</v>
      </c>
      <c r="R6" s="1177" t="s">
        <v>1053</v>
      </c>
      <c r="V6" s="780" t="s">
        <v>237</v>
      </c>
      <c r="W6" s="781" t="s">
        <v>2329</v>
      </c>
      <c r="X6" s="931" t="s">
        <v>1919</v>
      </c>
    </row>
    <row r="7" spans="2:25">
      <c r="C7" s="55" t="s">
        <v>870</v>
      </c>
      <c r="D7" s="65" t="str">
        <f>PL!C27</f>
        <v>급여</v>
      </c>
      <c r="E7" s="139">
        <f>F7-W7</f>
        <v>479601157</v>
      </c>
      <c r="F7" s="306">
        <f>VLOOKUP($C7,PL!$B$27:$F$59,4,0)</f>
        <v>1192275225</v>
      </c>
      <c r="G7" s="139">
        <f>VLOOKUP($D7,$N$7:$P$38,2,0)</f>
        <v>636365110</v>
      </c>
      <c r="H7" s="139">
        <f>VLOOKUP($C7,PL!$B$27:$F$59,5,0)</f>
        <v>1310935710</v>
      </c>
      <c r="I7" s="63"/>
      <c r="J7" s="63" t="s">
        <v>870</v>
      </c>
      <c r="K7" s="63" t="str">
        <f>VLOOKUP($J7,PL!$B$27:$C$59,2,0)</f>
        <v>급여</v>
      </c>
      <c r="L7" s="63" t="b">
        <f t="shared" ref="L7:L37" si="0">D7=K7</f>
        <v>1</v>
      </c>
      <c r="M7" s="63"/>
      <c r="N7" s="1020" t="s">
        <v>108</v>
      </c>
      <c r="O7" s="1178">
        <v>636365110</v>
      </c>
      <c r="P7" s="1178">
        <v>1310935710</v>
      </c>
      <c r="Q7" s="1178">
        <v>636425494</v>
      </c>
      <c r="R7" s="1179">
        <v>1269372768</v>
      </c>
      <c r="T7" s="55" t="b">
        <f>N7=D7</f>
        <v>1</v>
      </c>
      <c r="V7" s="406" t="s">
        <v>108</v>
      </c>
      <c r="W7" s="409">
        <v>712674068</v>
      </c>
      <c r="X7" s="410">
        <v>674570600</v>
      </c>
      <c r="Y7" s="55" t="b">
        <f>V7=D7</f>
        <v>1</v>
      </c>
    </row>
    <row r="8" spans="2:25">
      <c r="C8" s="55" t="s">
        <v>871</v>
      </c>
      <c r="D8" s="67" t="str">
        <f>PL!C28</f>
        <v>퇴직급여</v>
      </c>
      <c r="E8" s="139">
        <f t="shared" ref="E8:E37" si="1">F8-W8</f>
        <v>55179648</v>
      </c>
      <c r="F8" s="306">
        <f>VLOOKUP($C8,PL!$B$27:$F$59,4,0)</f>
        <v>110359296</v>
      </c>
      <c r="G8" s="139">
        <f t="shared" ref="G8:G37" si="2">VLOOKUP($D8,$N$7:$P$38,2,0)</f>
        <v>43034970</v>
      </c>
      <c r="H8" s="139">
        <f>VLOOKUP($C8,PL!$B$27:$F$59,5,0)</f>
        <v>104651910</v>
      </c>
      <c r="I8" s="63"/>
      <c r="J8" s="63" t="s">
        <v>871</v>
      </c>
      <c r="K8" s="63" t="str">
        <f>VLOOKUP($J8,PL!$B$27:$C$59,2,0)</f>
        <v>퇴직급여</v>
      </c>
      <c r="L8" s="63" t="b">
        <f t="shared" si="0"/>
        <v>1</v>
      </c>
      <c r="M8" s="63"/>
      <c r="N8" s="1020" t="s">
        <v>10</v>
      </c>
      <c r="O8" s="1178">
        <v>43034970</v>
      </c>
      <c r="P8" s="1178">
        <v>104651910</v>
      </c>
      <c r="Q8" s="1178">
        <v>3606060</v>
      </c>
      <c r="R8" s="1179">
        <v>92716877</v>
      </c>
      <c r="T8" s="55" t="b">
        <f>N8=D8</f>
        <v>1</v>
      </c>
      <c r="V8" s="406" t="s">
        <v>10</v>
      </c>
      <c r="W8" s="409">
        <v>55179648</v>
      </c>
      <c r="X8" s="410">
        <v>61616940</v>
      </c>
      <c r="Y8" s="55" t="b">
        <f t="shared" ref="Y8:Y37" si="3">V8=D8</f>
        <v>1</v>
      </c>
    </row>
    <row r="9" spans="2:25">
      <c r="C9" s="55" t="s">
        <v>2043</v>
      </c>
      <c r="D9" s="908" t="s">
        <v>2236</v>
      </c>
      <c r="E9" s="139">
        <f t="shared" si="1"/>
        <v>0</v>
      </c>
      <c r="F9" s="306">
        <f>VLOOKUP($C9,PL!$B$27:$F$59,4,0)</f>
        <v>45930430</v>
      </c>
      <c r="G9" s="139">
        <f t="shared" si="2"/>
        <v>0</v>
      </c>
      <c r="H9" s="139">
        <f>VLOOKUP($C9,PL!$B$27:$F$59,5,0)</f>
        <v>0</v>
      </c>
      <c r="I9" s="63"/>
      <c r="J9" s="63"/>
      <c r="K9" s="63"/>
      <c r="L9" s="63"/>
      <c r="M9" s="63"/>
      <c r="N9" s="55" t="s">
        <v>2236</v>
      </c>
      <c r="T9" s="55" t="b">
        <f>N9=D9</f>
        <v>1</v>
      </c>
      <c r="V9" s="406" t="s">
        <v>2236</v>
      </c>
      <c r="W9" s="409">
        <v>45930430</v>
      </c>
      <c r="X9" s="408" t="s">
        <v>298</v>
      </c>
      <c r="Y9" s="55" t="b">
        <f t="shared" si="3"/>
        <v>1</v>
      </c>
    </row>
    <row r="10" spans="2:25">
      <c r="C10" s="55" t="s">
        <v>872</v>
      </c>
      <c r="D10" s="67" t="str">
        <f>PL!C30</f>
        <v>주식보상비</v>
      </c>
      <c r="E10" s="139">
        <f t="shared" si="1"/>
        <v>0</v>
      </c>
      <c r="F10" s="306">
        <f>VLOOKUP($C10,PL!$B$27:$F$59,4,0)</f>
        <v>0</v>
      </c>
      <c r="G10" s="139" t="str">
        <f t="shared" si="2"/>
        <v>-</v>
      </c>
      <c r="H10" s="139">
        <f>VLOOKUP($C10,PL!$B$27:$F$59,5,0)</f>
        <v>0</v>
      </c>
      <c r="I10" s="63"/>
      <c r="J10" s="63" t="s">
        <v>872</v>
      </c>
      <c r="K10" s="63" t="str">
        <f>VLOOKUP($J10,PL!$B$27:$C$59,2,0)</f>
        <v>주식보상비</v>
      </c>
      <c r="L10" s="63" t="b">
        <f t="shared" si="0"/>
        <v>1</v>
      </c>
      <c r="M10" s="63"/>
      <c r="N10" s="1020" t="s">
        <v>204</v>
      </c>
      <c r="O10" s="1180" t="s">
        <v>298</v>
      </c>
      <c r="P10" s="1180" t="s">
        <v>298</v>
      </c>
      <c r="Q10" s="1178">
        <v>11795000</v>
      </c>
      <c r="R10" s="1179">
        <v>16802105</v>
      </c>
      <c r="T10" s="55" t="b">
        <f>N10=D10</f>
        <v>1</v>
      </c>
    </row>
    <row r="11" spans="2:25">
      <c r="C11" s="55" t="s">
        <v>873</v>
      </c>
      <c r="D11" s="67" t="str">
        <f>PL!C31</f>
        <v>복리후생비</v>
      </c>
      <c r="E11" s="139">
        <f t="shared" si="1"/>
        <v>74636670</v>
      </c>
      <c r="F11" s="306">
        <f>VLOOKUP($C11,PL!$B$27:$F$59,4,0)</f>
        <v>187719099</v>
      </c>
      <c r="G11" s="139">
        <f t="shared" si="2"/>
        <v>105094464</v>
      </c>
      <c r="H11" s="139">
        <f>VLOOKUP($C11,PL!$B$27:$F$59,5,0)</f>
        <v>186599937</v>
      </c>
      <c r="I11" s="63"/>
      <c r="J11" s="63" t="s">
        <v>873</v>
      </c>
      <c r="K11" s="63" t="str">
        <f>VLOOKUP($J11,PL!$B$27:$C$59,2,0)</f>
        <v>복리후생비</v>
      </c>
      <c r="L11" s="63" t="b">
        <f t="shared" si="0"/>
        <v>1</v>
      </c>
      <c r="M11" s="63"/>
      <c r="N11" s="1020" t="s">
        <v>11</v>
      </c>
      <c r="O11" s="1178">
        <v>105094464</v>
      </c>
      <c r="P11" s="1178">
        <v>186599937</v>
      </c>
      <c r="Q11" s="1178">
        <v>98381049</v>
      </c>
      <c r="R11" s="1179">
        <v>189237414</v>
      </c>
      <c r="T11" s="55" t="b">
        <f t="shared" ref="T11:T37" si="4">N11=D11</f>
        <v>1</v>
      </c>
      <c r="V11" s="406" t="s">
        <v>11</v>
      </c>
      <c r="W11" s="409">
        <v>113082429</v>
      </c>
      <c r="X11" s="410">
        <v>81505473</v>
      </c>
      <c r="Y11" s="55" t="b">
        <f t="shared" si="3"/>
        <v>1</v>
      </c>
    </row>
    <row r="12" spans="2:25">
      <c r="C12" s="55" t="s">
        <v>874</v>
      </c>
      <c r="D12" s="67" t="str">
        <f>PL!C32</f>
        <v>여비교통비</v>
      </c>
      <c r="E12" s="139">
        <f t="shared" si="1"/>
        <v>56282704</v>
      </c>
      <c r="F12" s="306">
        <f>VLOOKUP($C12,PL!$B$27:$F$59,4,0)</f>
        <v>224812833</v>
      </c>
      <c r="G12" s="139">
        <f t="shared" si="2"/>
        <v>143106287</v>
      </c>
      <c r="H12" s="139">
        <f>VLOOKUP($C12,PL!$B$27:$F$59,5,0)</f>
        <v>285932715</v>
      </c>
      <c r="I12" s="63"/>
      <c r="J12" s="63" t="s">
        <v>874</v>
      </c>
      <c r="K12" s="63" t="str">
        <f>VLOOKUP($J12,PL!$B$27:$C$59,2,0)</f>
        <v>여비교통비</v>
      </c>
      <c r="L12" s="63" t="b">
        <f t="shared" si="0"/>
        <v>1</v>
      </c>
      <c r="M12" s="63"/>
      <c r="N12" s="1020" t="s">
        <v>12</v>
      </c>
      <c r="O12" s="1178">
        <v>143106287</v>
      </c>
      <c r="P12" s="1178">
        <v>285932715</v>
      </c>
      <c r="Q12" s="1178">
        <v>157444595</v>
      </c>
      <c r="R12" s="1179">
        <v>284517405</v>
      </c>
      <c r="T12" s="55" t="b">
        <f t="shared" si="4"/>
        <v>1</v>
      </c>
      <c r="V12" s="406" t="s">
        <v>12</v>
      </c>
      <c r="W12" s="409">
        <v>168530129</v>
      </c>
      <c r="X12" s="410">
        <v>142826428</v>
      </c>
      <c r="Y12" s="55" t="b">
        <f t="shared" si="3"/>
        <v>1</v>
      </c>
    </row>
    <row r="13" spans="2:25">
      <c r="C13" s="55" t="s">
        <v>875</v>
      </c>
      <c r="D13" s="67" t="str">
        <f>PL!C33</f>
        <v>접대비</v>
      </c>
      <c r="E13" s="139">
        <f t="shared" si="1"/>
        <v>12249774</v>
      </c>
      <c r="F13" s="306">
        <f>VLOOKUP($C13,PL!$B$27:$F$59,4,0)</f>
        <v>25692474</v>
      </c>
      <c r="G13" s="139">
        <f t="shared" si="2"/>
        <v>25840694</v>
      </c>
      <c r="H13" s="139">
        <f>VLOOKUP($C13,PL!$B$27:$F$59,5,0)</f>
        <v>78340966</v>
      </c>
      <c r="I13" s="63"/>
      <c r="J13" s="63" t="s">
        <v>875</v>
      </c>
      <c r="K13" s="63" t="str">
        <f>VLOOKUP($J13,PL!$B$27:$C$59,2,0)</f>
        <v>접대비</v>
      </c>
      <c r="L13" s="63" t="b">
        <f t="shared" si="0"/>
        <v>1</v>
      </c>
      <c r="M13" s="63"/>
      <c r="N13" s="1020" t="s">
        <v>13</v>
      </c>
      <c r="O13" s="1178">
        <v>25840694</v>
      </c>
      <c r="P13" s="1178">
        <v>78340966</v>
      </c>
      <c r="Q13" s="1178">
        <v>23180744</v>
      </c>
      <c r="R13" s="1179">
        <v>49246394</v>
      </c>
      <c r="T13" s="55" t="b">
        <f t="shared" si="4"/>
        <v>1</v>
      </c>
      <c r="V13" s="406" t="s">
        <v>13</v>
      </c>
      <c r="W13" s="409">
        <v>13442700</v>
      </c>
      <c r="X13" s="410">
        <v>52500272</v>
      </c>
      <c r="Y13" s="55" t="b">
        <f t="shared" si="3"/>
        <v>1</v>
      </c>
    </row>
    <row r="14" spans="2:25">
      <c r="C14" s="55" t="s">
        <v>876</v>
      </c>
      <c r="D14" s="67" t="str">
        <f>PL!C34</f>
        <v>통신비</v>
      </c>
      <c r="E14" s="139">
        <f t="shared" si="1"/>
        <v>3342203</v>
      </c>
      <c r="F14" s="306">
        <f>VLOOKUP($C14,PL!$B$27:$F$59,4,0)</f>
        <v>8042843</v>
      </c>
      <c r="G14" s="139">
        <f t="shared" si="2"/>
        <v>3719088</v>
      </c>
      <c r="H14" s="139">
        <f>VLOOKUP($C14,PL!$B$27:$F$59,5,0)</f>
        <v>7473322</v>
      </c>
      <c r="I14" s="63"/>
      <c r="J14" s="63" t="s">
        <v>876</v>
      </c>
      <c r="K14" s="63" t="str">
        <f>VLOOKUP($J14,PL!$B$27:$C$59,2,0)</f>
        <v>통신비</v>
      </c>
      <c r="L14" s="63" t="b">
        <f t="shared" si="0"/>
        <v>1</v>
      </c>
      <c r="M14" s="63"/>
      <c r="N14" s="1020" t="s">
        <v>14</v>
      </c>
      <c r="O14" s="1178">
        <v>3719088</v>
      </c>
      <c r="P14" s="1178">
        <v>7473322</v>
      </c>
      <c r="Q14" s="1178">
        <v>3847618</v>
      </c>
      <c r="R14" s="1179">
        <v>7669502</v>
      </c>
      <c r="T14" s="55" t="b">
        <f t="shared" si="4"/>
        <v>1</v>
      </c>
      <c r="V14" s="406" t="s">
        <v>14</v>
      </c>
      <c r="W14" s="409">
        <v>4700640</v>
      </c>
      <c r="X14" s="410">
        <v>3754234</v>
      </c>
      <c r="Y14" s="55" t="b">
        <f t="shared" si="3"/>
        <v>1</v>
      </c>
    </row>
    <row r="15" spans="2:25">
      <c r="C15" s="55" t="s">
        <v>877</v>
      </c>
      <c r="D15" s="67" t="str">
        <f>PL!C35</f>
        <v>수도광열비</v>
      </c>
      <c r="E15" s="139">
        <f t="shared" si="1"/>
        <v>864260</v>
      </c>
      <c r="F15" s="306">
        <f>VLOOKUP($C15,PL!$B$27:$F$59,4,0)</f>
        <v>2933840</v>
      </c>
      <c r="G15" s="139">
        <f t="shared" si="2"/>
        <v>868750</v>
      </c>
      <c r="H15" s="139">
        <f>VLOOKUP($C15,PL!$B$27:$F$59,5,0)</f>
        <v>2671110</v>
      </c>
      <c r="I15" s="63"/>
      <c r="J15" s="63" t="s">
        <v>877</v>
      </c>
      <c r="K15" s="63" t="str">
        <f>VLOOKUP($J15,PL!$B$27:$C$59,2,0)</f>
        <v>수도광열비</v>
      </c>
      <c r="L15" s="63" t="b">
        <f t="shared" si="0"/>
        <v>1</v>
      </c>
      <c r="M15" s="63"/>
      <c r="N15" s="1020" t="s">
        <v>74</v>
      </c>
      <c r="O15" s="1178">
        <v>868750</v>
      </c>
      <c r="P15" s="1178">
        <v>2671110</v>
      </c>
      <c r="Q15" s="1178">
        <v>730790</v>
      </c>
      <c r="R15" s="1179">
        <v>2186690</v>
      </c>
      <c r="T15" s="55" t="b">
        <f t="shared" si="4"/>
        <v>1</v>
      </c>
      <c r="V15" s="406" t="s">
        <v>74</v>
      </c>
      <c r="W15" s="409">
        <v>2069580</v>
      </c>
      <c r="X15" s="410">
        <v>1802360</v>
      </c>
      <c r="Y15" s="55" t="b">
        <f t="shared" si="3"/>
        <v>1</v>
      </c>
    </row>
    <row r="16" spans="2:25">
      <c r="C16" s="721" t="s">
        <v>1528</v>
      </c>
      <c r="D16" s="67" t="str">
        <f>PL!C36</f>
        <v>전력비</v>
      </c>
      <c r="E16" s="139">
        <f t="shared" si="1"/>
        <v>1556980</v>
      </c>
      <c r="F16" s="306">
        <f>VLOOKUP($C16,PL!$B$27:$F$59,4,0)</f>
        <v>3879022</v>
      </c>
      <c r="G16" s="139">
        <f t="shared" si="2"/>
        <v>1352975</v>
      </c>
      <c r="H16" s="139">
        <f>VLOOKUP($C16,PL!$B$27:$F$59,5,0)</f>
        <v>3182290</v>
      </c>
      <c r="I16" s="63"/>
      <c r="J16" s="720" t="s">
        <v>1528</v>
      </c>
      <c r="K16" s="63" t="str">
        <f>VLOOKUP($J16,PL!$B$27:$C$59,2,0)</f>
        <v>전력비</v>
      </c>
      <c r="L16" s="63" t="b">
        <f t="shared" si="0"/>
        <v>1</v>
      </c>
      <c r="M16" s="63"/>
      <c r="N16" s="1020" t="s">
        <v>930</v>
      </c>
      <c r="O16" s="1178">
        <v>1352975</v>
      </c>
      <c r="P16" s="1178">
        <v>3182290</v>
      </c>
      <c r="Q16" s="1178">
        <v>1268221</v>
      </c>
      <c r="R16" s="1179">
        <v>1268221</v>
      </c>
      <c r="T16" s="55" t="b">
        <f t="shared" si="4"/>
        <v>1</v>
      </c>
      <c r="V16" s="406" t="s">
        <v>930</v>
      </c>
      <c r="W16" s="409">
        <v>2322042</v>
      </c>
      <c r="X16" s="410">
        <v>1829315</v>
      </c>
      <c r="Y16" s="55" t="b">
        <f t="shared" si="3"/>
        <v>1</v>
      </c>
    </row>
    <row r="17" spans="3:25">
      <c r="C17" s="55" t="s">
        <v>878</v>
      </c>
      <c r="D17" s="67" t="str">
        <f>PL!C37</f>
        <v>세금과공과금</v>
      </c>
      <c r="E17" s="139">
        <f t="shared" si="1"/>
        <v>1994620</v>
      </c>
      <c r="F17" s="306">
        <f>VLOOKUP($C17,PL!$B$27:$F$59,4,0)</f>
        <v>8506220</v>
      </c>
      <c r="G17" s="139">
        <f t="shared" si="2"/>
        <v>3591270</v>
      </c>
      <c r="H17" s="139">
        <f>VLOOKUP($C17,PL!$B$27:$F$59,5,0)</f>
        <v>9688630</v>
      </c>
      <c r="I17" s="63"/>
      <c r="J17" s="63" t="s">
        <v>878</v>
      </c>
      <c r="K17" s="63" t="str">
        <f>VLOOKUP($J17,PL!$B$27:$C$59,2,0)</f>
        <v>세금과공과금</v>
      </c>
      <c r="L17" s="63" t="b">
        <f t="shared" si="0"/>
        <v>1</v>
      </c>
      <c r="M17" s="63"/>
      <c r="N17" s="1020" t="s">
        <v>351</v>
      </c>
      <c r="O17" s="1178">
        <v>3591270</v>
      </c>
      <c r="P17" s="1178">
        <v>9688630</v>
      </c>
      <c r="Q17" s="1178">
        <v>30290140</v>
      </c>
      <c r="R17" s="1179">
        <v>60794910</v>
      </c>
      <c r="T17" s="55" t="b">
        <f t="shared" si="4"/>
        <v>1</v>
      </c>
      <c r="V17" s="406" t="s">
        <v>351</v>
      </c>
      <c r="W17" s="409">
        <v>6511600</v>
      </c>
      <c r="X17" s="410">
        <v>6097360</v>
      </c>
      <c r="Y17" s="55" t="b">
        <f t="shared" si="3"/>
        <v>1</v>
      </c>
    </row>
    <row r="18" spans="3:25">
      <c r="C18" s="55" t="s">
        <v>879</v>
      </c>
      <c r="D18" s="67" t="str">
        <f>PL!C38</f>
        <v>감가상각비</v>
      </c>
      <c r="E18" s="139">
        <f t="shared" si="1"/>
        <v>59176295</v>
      </c>
      <c r="F18" s="306">
        <f>VLOOKUP($C18,PL!$B$27:$F$59,4,0)</f>
        <v>119880341</v>
      </c>
      <c r="G18" s="139">
        <f t="shared" si="2"/>
        <v>42303202</v>
      </c>
      <c r="H18" s="139">
        <f>VLOOKUP($C18,PL!$B$27:$F$59,5,0)</f>
        <v>84937975</v>
      </c>
      <c r="I18" s="63"/>
      <c r="J18" s="63" t="s">
        <v>879</v>
      </c>
      <c r="K18" s="63" t="str">
        <f>VLOOKUP($J18,PL!$B$27:$C$59,2,0)</f>
        <v>감가상각비</v>
      </c>
      <c r="L18" s="63" t="b">
        <f t="shared" si="0"/>
        <v>1</v>
      </c>
      <c r="M18" s="63"/>
      <c r="N18" s="1020" t="s">
        <v>15</v>
      </c>
      <c r="O18" s="1178">
        <v>42303202</v>
      </c>
      <c r="P18" s="1178">
        <v>84937975</v>
      </c>
      <c r="Q18" s="1178">
        <v>59933249</v>
      </c>
      <c r="R18" s="1179">
        <v>99212528</v>
      </c>
      <c r="T18" s="55" t="b">
        <f t="shared" si="4"/>
        <v>1</v>
      </c>
      <c r="V18" s="406" t="s">
        <v>15</v>
      </c>
      <c r="W18" s="409">
        <v>60704046</v>
      </c>
      <c r="X18" s="410">
        <v>42634773</v>
      </c>
      <c r="Y18" s="55" t="b">
        <f t="shared" si="3"/>
        <v>1</v>
      </c>
    </row>
    <row r="19" spans="3:25">
      <c r="C19" s="55" t="s">
        <v>880</v>
      </c>
      <c r="D19" s="67" t="str">
        <f>PL!C39</f>
        <v>지급임차료</v>
      </c>
      <c r="E19" s="139">
        <f t="shared" si="1"/>
        <v>255604</v>
      </c>
      <c r="F19" s="306">
        <f>VLOOKUP($C19,PL!$B$27:$F$59,4,0)</f>
        <v>508414</v>
      </c>
      <c r="G19" s="139">
        <f t="shared" si="2"/>
        <v>15062204</v>
      </c>
      <c r="H19" s="139">
        <f>VLOOKUP($C19,PL!$B$27:$F$59,5,0)</f>
        <v>30334814</v>
      </c>
      <c r="I19" s="63"/>
      <c r="J19" s="63" t="s">
        <v>880</v>
      </c>
      <c r="K19" s="63" t="str">
        <f>VLOOKUP($J19,PL!$B$27:$C$59,2,0)</f>
        <v>지급임차료</v>
      </c>
      <c r="L19" s="63" t="b">
        <f t="shared" si="0"/>
        <v>1</v>
      </c>
      <c r="M19" s="63"/>
      <c r="N19" s="1020" t="s">
        <v>352</v>
      </c>
      <c r="O19" s="1178">
        <v>15062204</v>
      </c>
      <c r="P19" s="1178">
        <v>30334814</v>
      </c>
      <c r="Q19" s="1178">
        <v>853526</v>
      </c>
      <c r="R19" s="1179">
        <v>1107052</v>
      </c>
      <c r="T19" s="55" t="b">
        <f t="shared" si="4"/>
        <v>1</v>
      </c>
      <c r="V19" s="406" t="s">
        <v>352</v>
      </c>
      <c r="W19" s="409">
        <v>252810</v>
      </c>
      <c r="X19" s="410">
        <v>15272610</v>
      </c>
      <c r="Y19" s="55" t="b">
        <f t="shared" si="3"/>
        <v>1</v>
      </c>
    </row>
    <row r="20" spans="3:25">
      <c r="C20" s="55" t="s">
        <v>881</v>
      </c>
      <c r="D20" s="67" t="str">
        <f>PL!C40</f>
        <v>수선비</v>
      </c>
      <c r="E20" s="139">
        <f t="shared" si="1"/>
        <v>0</v>
      </c>
      <c r="F20" s="306">
        <f>VLOOKUP($C20,PL!$B$27:$F$59,4,0)</f>
        <v>1111000</v>
      </c>
      <c r="G20" s="139" t="str">
        <f t="shared" si="2"/>
        <v>-</v>
      </c>
      <c r="H20" s="139">
        <f>VLOOKUP($C20,PL!$B$27:$F$59,5,0)</f>
        <v>93300</v>
      </c>
      <c r="I20" s="63"/>
      <c r="J20" s="63" t="s">
        <v>881</v>
      </c>
      <c r="K20" s="63" t="str">
        <f>VLOOKUP($J20,PL!$B$27:$C$59,2,0)</f>
        <v>수선비</v>
      </c>
      <c r="L20" s="63" t="b">
        <f t="shared" si="0"/>
        <v>1</v>
      </c>
      <c r="M20" s="63"/>
      <c r="N20" s="1020" t="s">
        <v>16</v>
      </c>
      <c r="O20" s="1180" t="s">
        <v>298</v>
      </c>
      <c r="P20" s="1178">
        <v>93300</v>
      </c>
      <c r="Q20" s="1178">
        <v>212909</v>
      </c>
      <c r="R20" s="1179">
        <v>212909</v>
      </c>
      <c r="T20" s="55" t="b">
        <f t="shared" si="4"/>
        <v>1</v>
      </c>
      <c r="V20" s="406" t="s">
        <v>16</v>
      </c>
      <c r="W20" s="409">
        <v>1111000</v>
      </c>
      <c r="X20" s="410">
        <v>93300</v>
      </c>
      <c r="Y20" s="55" t="b">
        <f t="shared" si="3"/>
        <v>1</v>
      </c>
    </row>
    <row r="21" spans="3:25">
      <c r="C21" s="55" t="s">
        <v>882</v>
      </c>
      <c r="D21" s="67" t="str">
        <f>PL!C41</f>
        <v>보험료</v>
      </c>
      <c r="E21" s="139">
        <f t="shared" si="1"/>
        <v>1287986</v>
      </c>
      <c r="F21" s="306">
        <f>VLOOKUP($C21,PL!$B$27:$F$59,4,0)</f>
        <v>3257116</v>
      </c>
      <c r="G21" s="139">
        <f t="shared" si="2"/>
        <v>1449678</v>
      </c>
      <c r="H21" s="139">
        <f>VLOOKUP($C21,PL!$B$27:$F$59,5,0)</f>
        <v>3327218</v>
      </c>
      <c r="I21" s="63"/>
      <c r="J21" s="63" t="s">
        <v>882</v>
      </c>
      <c r="K21" s="63" t="str">
        <f>VLOOKUP($J21,PL!$B$27:$C$59,2,0)</f>
        <v>보험료</v>
      </c>
      <c r="L21" s="63" t="b">
        <f t="shared" si="0"/>
        <v>1</v>
      </c>
      <c r="M21" s="63"/>
      <c r="N21" s="1020" t="s">
        <v>17</v>
      </c>
      <c r="O21" s="1178">
        <v>1449678</v>
      </c>
      <c r="P21" s="1178">
        <v>3327218</v>
      </c>
      <c r="Q21" s="1178">
        <v>2902402</v>
      </c>
      <c r="R21" s="1179">
        <v>4724882</v>
      </c>
      <c r="T21" s="55" t="b">
        <f t="shared" si="4"/>
        <v>1</v>
      </c>
      <c r="V21" s="406" t="s">
        <v>17</v>
      </c>
      <c r="W21" s="409">
        <v>1969130</v>
      </c>
      <c r="X21" s="410">
        <v>1877540</v>
      </c>
      <c r="Y21" s="55" t="b">
        <f t="shared" si="3"/>
        <v>1</v>
      </c>
    </row>
    <row r="22" spans="3:25">
      <c r="C22" s="55" t="s">
        <v>883</v>
      </c>
      <c r="D22" s="67" t="str">
        <f>PL!C42</f>
        <v>차량유지비</v>
      </c>
      <c r="E22" s="139">
        <f t="shared" si="1"/>
        <v>210000</v>
      </c>
      <c r="F22" s="306">
        <f>VLOOKUP($C22,PL!$B$27:$F$59,4,0)</f>
        <v>720800</v>
      </c>
      <c r="G22" s="139">
        <f t="shared" si="2"/>
        <v>1320041</v>
      </c>
      <c r="H22" s="139">
        <f>VLOOKUP($C22,PL!$B$27:$F$59,5,0)</f>
        <v>3415144</v>
      </c>
      <c r="I22" s="63"/>
      <c r="J22" s="63" t="s">
        <v>883</v>
      </c>
      <c r="K22" s="63" t="str">
        <f>VLOOKUP($J22,PL!$B$27:$C$59,2,0)</f>
        <v>차량유지비</v>
      </c>
      <c r="L22" s="63" t="b">
        <f t="shared" si="0"/>
        <v>1</v>
      </c>
      <c r="M22" s="63"/>
      <c r="N22" s="1020" t="s">
        <v>18</v>
      </c>
      <c r="O22" s="1178">
        <v>1320041</v>
      </c>
      <c r="P22" s="1178">
        <v>3415144</v>
      </c>
      <c r="Q22" s="1178">
        <v>2345176</v>
      </c>
      <c r="R22" s="1179">
        <v>3952477</v>
      </c>
      <c r="T22" s="55" t="b">
        <f t="shared" si="4"/>
        <v>1</v>
      </c>
      <c r="V22" s="406" t="s">
        <v>18</v>
      </c>
      <c r="W22" s="409">
        <v>510800</v>
      </c>
      <c r="X22" s="410">
        <v>2095103</v>
      </c>
      <c r="Y22" s="55" t="b">
        <f t="shared" si="3"/>
        <v>1</v>
      </c>
    </row>
    <row r="23" spans="3:25">
      <c r="C23" s="55" t="s">
        <v>884</v>
      </c>
      <c r="D23" s="67" t="str">
        <f>PL!C43</f>
        <v>경상연구개발비</v>
      </c>
      <c r="E23" s="139">
        <f t="shared" si="1"/>
        <v>188315462</v>
      </c>
      <c r="F23" s="306">
        <f>VLOOKUP($C23,PL!$B$27:$F$59,4,0)</f>
        <v>364625079</v>
      </c>
      <c r="G23" s="139">
        <f t="shared" si="2"/>
        <v>173341880</v>
      </c>
      <c r="H23" s="139">
        <f>VLOOKUP($C23,PL!$B$27:$F$59,5,0)</f>
        <v>337688016</v>
      </c>
      <c r="I23" s="63"/>
      <c r="J23" s="63" t="s">
        <v>884</v>
      </c>
      <c r="K23" s="63" t="str">
        <f>VLOOKUP($J23,PL!$B$27:$C$59,2,0)</f>
        <v>경상연구개발비</v>
      </c>
      <c r="L23" s="63" t="b">
        <f t="shared" si="0"/>
        <v>1</v>
      </c>
      <c r="M23" s="63"/>
      <c r="N23" s="1020" t="s">
        <v>353</v>
      </c>
      <c r="O23" s="1178">
        <v>173341880</v>
      </c>
      <c r="P23" s="1178">
        <v>337688016</v>
      </c>
      <c r="Q23" s="1178">
        <v>135479374</v>
      </c>
      <c r="R23" s="1179">
        <v>388659677</v>
      </c>
      <c r="T23" s="55" t="b">
        <f t="shared" si="4"/>
        <v>1</v>
      </c>
      <c r="V23" s="406" t="s">
        <v>353</v>
      </c>
      <c r="W23" s="409">
        <v>176309617</v>
      </c>
      <c r="X23" s="410">
        <v>164346136</v>
      </c>
      <c r="Y23" s="55" t="b">
        <f t="shared" si="3"/>
        <v>1</v>
      </c>
    </row>
    <row r="24" spans="3:25">
      <c r="C24" s="55" t="s">
        <v>885</v>
      </c>
      <c r="D24" s="67" t="str">
        <f>PL!C44</f>
        <v>운반비</v>
      </c>
      <c r="E24" s="139">
        <f t="shared" si="1"/>
        <v>2246273</v>
      </c>
      <c r="F24" s="306">
        <f>VLOOKUP($C24,PL!$B$27:$F$59,4,0)</f>
        <v>9018081</v>
      </c>
      <c r="G24" s="139">
        <f t="shared" si="2"/>
        <v>4756374</v>
      </c>
      <c r="H24" s="139">
        <f>VLOOKUP($C24,PL!$B$27:$F$59,5,0)</f>
        <v>10980849</v>
      </c>
      <c r="I24" s="63"/>
      <c r="J24" s="63" t="s">
        <v>885</v>
      </c>
      <c r="K24" s="63" t="str">
        <f>VLOOKUP($J24,PL!$B$27:$C$59,2,0)</f>
        <v>운반비</v>
      </c>
      <c r="L24" s="63" t="b">
        <f t="shared" si="0"/>
        <v>1</v>
      </c>
      <c r="M24" s="63"/>
      <c r="N24" s="1020" t="s">
        <v>19</v>
      </c>
      <c r="O24" s="1178">
        <v>4756374</v>
      </c>
      <c r="P24" s="1178">
        <v>10980849</v>
      </c>
      <c r="Q24" s="1178">
        <v>4770713</v>
      </c>
      <c r="R24" s="1179">
        <v>10096796</v>
      </c>
      <c r="T24" s="55" t="b">
        <f t="shared" si="4"/>
        <v>1</v>
      </c>
      <c r="V24" s="406" t="s">
        <v>19</v>
      </c>
      <c r="W24" s="409">
        <v>6771808</v>
      </c>
      <c r="X24" s="410">
        <v>6224475</v>
      </c>
      <c r="Y24" s="55" t="b">
        <f t="shared" si="3"/>
        <v>1</v>
      </c>
    </row>
    <row r="25" spans="3:25">
      <c r="C25" s="55" t="s">
        <v>886</v>
      </c>
      <c r="D25" s="67" t="str">
        <f>PL!C45</f>
        <v>교육훈련비</v>
      </c>
      <c r="E25" s="139">
        <f t="shared" si="1"/>
        <v>646181</v>
      </c>
      <c r="F25" s="306">
        <f>VLOOKUP($C25,PL!$B$27:$F$59,4,0)</f>
        <v>1066181</v>
      </c>
      <c r="G25" s="139">
        <f t="shared" si="2"/>
        <v>624000</v>
      </c>
      <c r="H25" s="139">
        <f>VLOOKUP($C25,PL!$B$27:$F$59,5,0)</f>
        <v>6814000</v>
      </c>
      <c r="I25" s="63"/>
      <c r="J25" s="63" t="s">
        <v>886</v>
      </c>
      <c r="K25" s="63" t="str">
        <f>VLOOKUP($J25,PL!$B$27:$C$59,2,0)</f>
        <v>교육훈련비</v>
      </c>
      <c r="L25" s="63" t="b">
        <f t="shared" si="0"/>
        <v>1</v>
      </c>
      <c r="M25" s="63"/>
      <c r="N25" s="1020" t="s">
        <v>75</v>
      </c>
      <c r="O25" s="1178">
        <v>624000</v>
      </c>
      <c r="P25" s="1178">
        <v>6814000</v>
      </c>
      <c r="Q25" s="1178">
        <v>1341800</v>
      </c>
      <c r="R25" s="1179">
        <v>7491800</v>
      </c>
      <c r="T25" s="55" t="b">
        <f t="shared" si="4"/>
        <v>1</v>
      </c>
      <c r="V25" s="406" t="s">
        <v>75</v>
      </c>
      <c r="W25" s="409">
        <v>420000</v>
      </c>
      <c r="X25" s="410">
        <v>6190000</v>
      </c>
      <c r="Y25" s="55" t="b">
        <f t="shared" si="3"/>
        <v>1</v>
      </c>
    </row>
    <row r="26" spans="3:25">
      <c r="C26" s="55" t="s">
        <v>887</v>
      </c>
      <c r="D26" s="67" t="str">
        <f>PL!C46</f>
        <v>도서인쇄비</v>
      </c>
      <c r="E26" s="139">
        <f t="shared" si="1"/>
        <v>1259150</v>
      </c>
      <c r="F26" s="306">
        <f>VLOOKUP($C26,PL!$B$27:$F$59,4,0)</f>
        <v>4820923</v>
      </c>
      <c r="G26" s="139">
        <f t="shared" si="2"/>
        <v>626327</v>
      </c>
      <c r="H26" s="139">
        <f>VLOOKUP($C26,PL!$B$27:$F$59,5,0)</f>
        <v>1418240</v>
      </c>
      <c r="I26" s="63"/>
      <c r="J26" s="63" t="s">
        <v>887</v>
      </c>
      <c r="K26" s="63" t="str">
        <f>VLOOKUP($J26,PL!$B$27:$C$59,2,0)</f>
        <v>도서인쇄비</v>
      </c>
      <c r="L26" s="63" t="b">
        <f t="shared" si="0"/>
        <v>1</v>
      </c>
      <c r="M26" s="63"/>
      <c r="N26" s="1020" t="s">
        <v>20</v>
      </c>
      <c r="O26" s="1178">
        <v>626327</v>
      </c>
      <c r="P26" s="1178">
        <v>1418240</v>
      </c>
      <c r="Q26" s="1178">
        <v>559264</v>
      </c>
      <c r="R26" s="1179">
        <v>1453226</v>
      </c>
      <c r="T26" s="55" t="b">
        <f t="shared" si="4"/>
        <v>1</v>
      </c>
      <c r="V26" s="406" t="s">
        <v>20</v>
      </c>
      <c r="W26" s="409">
        <v>3561773</v>
      </c>
      <c r="X26" s="410">
        <v>791913</v>
      </c>
      <c r="Y26" s="55" t="b">
        <f t="shared" si="3"/>
        <v>1</v>
      </c>
    </row>
    <row r="27" spans="3:25">
      <c r="C27" s="55" t="s">
        <v>888</v>
      </c>
      <c r="D27" s="67" t="str">
        <f>PL!C47</f>
        <v>포장비</v>
      </c>
      <c r="E27" s="139">
        <f t="shared" si="1"/>
        <v>0</v>
      </c>
      <c r="F27" s="306">
        <f>VLOOKUP($C27,PL!$B$27:$F$59,4,0)</f>
        <v>0</v>
      </c>
      <c r="G27" s="139">
        <f t="shared" si="2"/>
        <v>0</v>
      </c>
      <c r="H27" s="139">
        <f>VLOOKUP($C27,PL!$B$27:$F$59,5,0)</f>
        <v>0</v>
      </c>
      <c r="I27" s="63"/>
      <c r="J27" s="63" t="s">
        <v>888</v>
      </c>
      <c r="K27" s="63" t="str">
        <f>VLOOKUP($J27,PL!$B$27:$C$59,2,0)</f>
        <v>포장비</v>
      </c>
      <c r="L27" s="63" t="b">
        <f t="shared" si="0"/>
        <v>1</v>
      </c>
      <c r="M27" s="63"/>
      <c r="N27" s="55" t="s">
        <v>110</v>
      </c>
      <c r="T27" s="55" t="b">
        <f t="shared" si="4"/>
        <v>1</v>
      </c>
    </row>
    <row r="28" spans="3:25">
      <c r="C28" s="55" t="s">
        <v>889</v>
      </c>
      <c r="D28" s="67" t="str">
        <f>PL!C48</f>
        <v>사무용품비</v>
      </c>
      <c r="E28" s="139">
        <f t="shared" si="1"/>
        <v>0</v>
      </c>
      <c r="F28" s="306">
        <f>VLOOKUP($C28,PL!$B$27:$F$59,4,0)</f>
        <v>236327</v>
      </c>
      <c r="G28" s="139">
        <f t="shared" si="2"/>
        <v>578582</v>
      </c>
      <c r="H28" s="139">
        <f>VLOOKUP($C28,PL!$B$27:$F$59,5,0)</f>
        <v>2317493</v>
      </c>
      <c r="I28" s="63"/>
      <c r="J28" s="63" t="s">
        <v>889</v>
      </c>
      <c r="K28" s="63" t="str">
        <f>VLOOKUP($J28,PL!$B$27:$C$59,2,0)</f>
        <v>사무용품비</v>
      </c>
      <c r="L28" s="63" t="b">
        <f t="shared" si="0"/>
        <v>1</v>
      </c>
      <c r="M28" s="63"/>
      <c r="N28" s="1020" t="s">
        <v>205</v>
      </c>
      <c r="O28" s="1178">
        <v>578582</v>
      </c>
      <c r="P28" s="1178">
        <v>2317493</v>
      </c>
      <c r="Q28" s="1178">
        <v>1186193</v>
      </c>
      <c r="R28" s="1179">
        <v>2875753</v>
      </c>
      <c r="T28" s="55" t="b">
        <f t="shared" si="4"/>
        <v>1</v>
      </c>
      <c r="V28" s="406" t="s">
        <v>205</v>
      </c>
      <c r="W28" s="409">
        <v>236327</v>
      </c>
      <c r="X28" s="410">
        <v>1738911</v>
      </c>
      <c r="Y28" s="55" t="b">
        <f t="shared" si="3"/>
        <v>1</v>
      </c>
    </row>
    <row r="29" spans="3:25">
      <c r="C29" s="55" t="s">
        <v>890</v>
      </c>
      <c r="D29" s="67" t="str">
        <f>PL!C49</f>
        <v>소모품비</v>
      </c>
      <c r="E29" s="139">
        <f t="shared" si="1"/>
        <v>7277553</v>
      </c>
      <c r="F29" s="306">
        <f>VLOOKUP($C29,PL!$B$27:$F$59,4,0)</f>
        <v>19873909</v>
      </c>
      <c r="G29" s="139">
        <f t="shared" si="2"/>
        <v>7978679</v>
      </c>
      <c r="H29" s="139">
        <f>VLOOKUP($C29,PL!$B$27:$F$59,5,0)</f>
        <v>17725736</v>
      </c>
      <c r="I29" s="63"/>
      <c r="J29" s="63" t="s">
        <v>890</v>
      </c>
      <c r="K29" s="63" t="str">
        <f>VLOOKUP($J29,PL!$B$27:$C$59,2,0)</f>
        <v>소모품비</v>
      </c>
      <c r="L29" s="63" t="b">
        <f t="shared" si="0"/>
        <v>1</v>
      </c>
      <c r="M29" s="63"/>
      <c r="N29" s="1020" t="s">
        <v>21</v>
      </c>
      <c r="O29" s="1178">
        <v>7978679</v>
      </c>
      <c r="P29" s="1178">
        <v>17725736</v>
      </c>
      <c r="Q29" s="1178">
        <v>7277292</v>
      </c>
      <c r="R29" s="1179">
        <v>23998951</v>
      </c>
      <c r="T29" s="55" t="b">
        <f t="shared" si="4"/>
        <v>1</v>
      </c>
      <c r="V29" s="406" t="s">
        <v>21</v>
      </c>
      <c r="W29" s="409">
        <v>12596356</v>
      </c>
      <c r="X29" s="410">
        <v>9747057</v>
      </c>
      <c r="Y29" s="55" t="b">
        <f t="shared" si="3"/>
        <v>1</v>
      </c>
    </row>
    <row r="30" spans="3:25">
      <c r="C30" s="55" t="s">
        <v>891</v>
      </c>
      <c r="D30" s="67" t="str">
        <f>PL!C50</f>
        <v>지급수수료</v>
      </c>
      <c r="E30" s="139">
        <f t="shared" si="1"/>
        <v>873038125</v>
      </c>
      <c r="F30" s="306">
        <f>VLOOKUP($C30,PL!$B$27:$F$59,4,0)</f>
        <v>1082143476</v>
      </c>
      <c r="G30" s="139">
        <f t="shared" si="2"/>
        <v>158497781</v>
      </c>
      <c r="H30" s="139">
        <f>VLOOKUP($C30,PL!$B$27:$F$59,5,0)</f>
        <v>368147473</v>
      </c>
      <c r="I30" s="63"/>
      <c r="J30" s="63" t="s">
        <v>891</v>
      </c>
      <c r="K30" s="63" t="str">
        <f>VLOOKUP($J30,PL!$B$27:$C$59,2,0)</f>
        <v>지급수수료</v>
      </c>
      <c r="L30" s="63" t="b">
        <f t="shared" si="0"/>
        <v>1</v>
      </c>
      <c r="M30" s="63"/>
      <c r="N30" s="1020" t="s">
        <v>22</v>
      </c>
      <c r="O30" s="1178">
        <v>158497781</v>
      </c>
      <c r="P30" s="1178">
        <v>368147473</v>
      </c>
      <c r="Q30" s="1178">
        <v>152546421</v>
      </c>
      <c r="R30" s="1179">
        <v>285521530</v>
      </c>
      <c r="T30" s="55" t="b">
        <f t="shared" si="4"/>
        <v>1</v>
      </c>
      <c r="V30" s="406" t="s">
        <v>22</v>
      </c>
      <c r="W30" s="409">
        <v>209105351</v>
      </c>
      <c r="X30" s="410">
        <v>209649692</v>
      </c>
      <c r="Y30" s="55" t="b">
        <f t="shared" si="3"/>
        <v>1</v>
      </c>
    </row>
    <row r="31" spans="3:25">
      <c r="C31" s="55" t="s">
        <v>892</v>
      </c>
      <c r="D31" s="67" t="str">
        <f>PL!C52</f>
        <v>광고선전비</v>
      </c>
      <c r="E31" s="139">
        <f t="shared" si="1"/>
        <v>1008223983</v>
      </c>
      <c r="F31" s="306">
        <f>VLOOKUP($C31,PL!$B$27:$F$59,4,0)</f>
        <v>1875294553</v>
      </c>
      <c r="G31" s="139">
        <f t="shared" si="2"/>
        <v>404446850</v>
      </c>
      <c r="H31" s="139">
        <f>VLOOKUP($C31,PL!$B$27:$F$59,5,0)</f>
        <v>782157909</v>
      </c>
      <c r="I31" s="63"/>
      <c r="J31" s="63" t="s">
        <v>892</v>
      </c>
      <c r="K31" s="63" t="str">
        <f>VLOOKUP($J31,PL!$B$27:$C$59,2,0)</f>
        <v>광고선전비</v>
      </c>
      <c r="L31" s="63" t="b">
        <f t="shared" si="0"/>
        <v>1</v>
      </c>
      <c r="M31" s="63"/>
      <c r="N31" s="1020" t="s">
        <v>23</v>
      </c>
      <c r="O31" s="1178">
        <v>404446850</v>
      </c>
      <c r="P31" s="1178">
        <v>782157909</v>
      </c>
      <c r="Q31" s="1178">
        <v>381211862</v>
      </c>
      <c r="R31" s="1179">
        <v>771895783</v>
      </c>
      <c r="T31" s="55" t="b">
        <f t="shared" si="4"/>
        <v>1</v>
      </c>
      <c r="V31" s="406" t="s">
        <v>23</v>
      </c>
      <c r="W31" s="409">
        <v>867070570</v>
      </c>
      <c r="X31" s="410">
        <v>377711059</v>
      </c>
      <c r="Y31" s="55" t="b">
        <f t="shared" si="3"/>
        <v>1</v>
      </c>
    </row>
    <row r="32" spans="3:25">
      <c r="C32" s="55" t="s">
        <v>893</v>
      </c>
      <c r="D32" s="67" t="str">
        <f>PL!C53</f>
        <v>대손상각비</v>
      </c>
      <c r="E32" s="139">
        <f t="shared" si="1"/>
        <v>-28610464</v>
      </c>
      <c r="F32" s="306">
        <f>VLOOKUP($C32,PL!$B$27:$F$59,4,0)</f>
        <v>-82887417</v>
      </c>
      <c r="G32" s="139">
        <f t="shared" si="2"/>
        <v>88265460</v>
      </c>
      <c r="H32" s="139">
        <f>VLOOKUP($C32,PL!$B$27:$F$59,5,0)</f>
        <v>56611534</v>
      </c>
      <c r="I32" s="63"/>
      <c r="J32" s="63" t="s">
        <v>893</v>
      </c>
      <c r="K32" s="63" t="str">
        <f>VLOOKUP($J32,PL!$B$27:$C$59,2,0)</f>
        <v>대손상각비</v>
      </c>
      <c r="L32" s="63" t="b">
        <f t="shared" si="0"/>
        <v>1</v>
      </c>
      <c r="M32" s="63"/>
      <c r="N32" s="1020" t="s">
        <v>109</v>
      </c>
      <c r="O32" s="1178">
        <v>88265460</v>
      </c>
      <c r="P32" s="1178">
        <v>56611534</v>
      </c>
      <c r="Q32" s="1178">
        <v>114848071</v>
      </c>
      <c r="R32" s="1179">
        <v>128733397</v>
      </c>
      <c r="T32" s="55" t="b">
        <f t="shared" si="4"/>
        <v>1</v>
      </c>
      <c r="V32" s="406" t="s">
        <v>2331</v>
      </c>
      <c r="W32" s="409">
        <v>-54276953</v>
      </c>
      <c r="X32" s="410">
        <v>-31653926</v>
      </c>
      <c r="Y32" s="55" t="b">
        <f t="shared" si="3"/>
        <v>1</v>
      </c>
    </row>
    <row r="33" spans="3:25">
      <c r="C33" s="55" t="s">
        <v>894</v>
      </c>
      <c r="D33" s="67" t="str">
        <f>PL!C54</f>
        <v>건물관리비</v>
      </c>
      <c r="E33" s="139">
        <f t="shared" si="1"/>
        <v>6780309</v>
      </c>
      <c r="F33" s="306">
        <f>VLOOKUP($C33,PL!$B$27:$F$59,4,0)</f>
        <v>16390898</v>
      </c>
      <c r="G33" s="139">
        <f t="shared" si="2"/>
        <v>9267474</v>
      </c>
      <c r="H33" s="139">
        <f>VLOOKUP($C33,PL!$B$27:$F$59,5,0)</f>
        <v>19801261</v>
      </c>
      <c r="I33" s="63"/>
      <c r="J33" s="63" t="s">
        <v>894</v>
      </c>
      <c r="K33" s="63" t="str">
        <f>VLOOKUP($J33,PL!$B$27:$C$59,2,0)</f>
        <v>건물관리비</v>
      </c>
      <c r="L33" s="63" t="b">
        <f t="shared" si="0"/>
        <v>1</v>
      </c>
      <c r="M33" s="63"/>
      <c r="N33" s="1020" t="s">
        <v>355</v>
      </c>
      <c r="O33" s="1178">
        <v>9267474</v>
      </c>
      <c r="P33" s="1178">
        <v>19801261</v>
      </c>
      <c r="Q33" s="1178">
        <v>9603689</v>
      </c>
      <c r="R33" s="1179">
        <v>19381336</v>
      </c>
      <c r="T33" s="55" t="b">
        <f t="shared" si="4"/>
        <v>1</v>
      </c>
      <c r="V33" s="406" t="s">
        <v>355</v>
      </c>
      <c r="W33" s="409">
        <v>9610589</v>
      </c>
      <c r="X33" s="410">
        <v>10533787</v>
      </c>
      <c r="Y33" s="55" t="b">
        <f t="shared" si="3"/>
        <v>1</v>
      </c>
    </row>
    <row r="34" spans="3:25">
      <c r="C34" s="55" t="s">
        <v>895</v>
      </c>
      <c r="D34" s="67" t="str">
        <f>PL!C55</f>
        <v>수출제비용</v>
      </c>
      <c r="E34" s="139">
        <f t="shared" si="1"/>
        <v>14034230</v>
      </c>
      <c r="F34" s="306">
        <f>VLOOKUP($C34,PL!$B$27:$F$59,4,0)</f>
        <v>33162410</v>
      </c>
      <c r="G34" s="139">
        <f t="shared" si="2"/>
        <v>18129978</v>
      </c>
      <c r="H34" s="139">
        <f>VLOOKUP($C34,PL!$B$27:$F$59,5,0)</f>
        <v>33196857</v>
      </c>
      <c r="I34" s="63"/>
      <c r="J34" s="63" t="s">
        <v>895</v>
      </c>
      <c r="K34" s="63" t="str">
        <f>VLOOKUP($J34,PL!$B$27:$C$59,2,0)</f>
        <v>수출제비용</v>
      </c>
      <c r="L34" s="63" t="b">
        <f t="shared" si="0"/>
        <v>1</v>
      </c>
      <c r="M34" s="63"/>
      <c r="N34" s="1020" t="s">
        <v>356</v>
      </c>
      <c r="O34" s="1178">
        <v>18129978</v>
      </c>
      <c r="P34" s="1178">
        <v>33196857</v>
      </c>
      <c r="Q34" s="1178">
        <v>14170040</v>
      </c>
      <c r="R34" s="1179">
        <v>31919146</v>
      </c>
      <c r="T34" s="55" t="b">
        <f t="shared" si="4"/>
        <v>1</v>
      </c>
      <c r="V34" s="406" t="s">
        <v>356</v>
      </c>
      <c r="W34" s="409">
        <v>19128180</v>
      </c>
      <c r="X34" s="410">
        <v>15066879</v>
      </c>
      <c r="Y34" s="55" t="b">
        <f t="shared" si="3"/>
        <v>1</v>
      </c>
    </row>
    <row r="35" spans="3:25">
      <c r="C35" s="55" t="s">
        <v>896</v>
      </c>
      <c r="D35" s="67" t="str">
        <f>PL!C56</f>
        <v>판매수수료</v>
      </c>
      <c r="E35" s="139">
        <f t="shared" si="1"/>
        <v>20798145</v>
      </c>
      <c r="F35" s="306">
        <f>VLOOKUP($C35,PL!$B$27:$F$59,4,0)</f>
        <v>96068802</v>
      </c>
      <c r="G35" s="139">
        <f t="shared" si="2"/>
        <v>60195265</v>
      </c>
      <c r="H35" s="139">
        <f>VLOOKUP($C35,PL!$B$27:$F$59,5,0)</f>
        <v>109893893</v>
      </c>
      <c r="I35" s="63"/>
      <c r="J35" s="63" t="s">
        <v>896</v>
      </c>
      <c r="K35" s="63" t="str">
        <f>VLOOKUP($J35,PL!$B$27:$C$59,2,0)</f>
        <v>판매수수료</v>
      </c>
      <c r="L35" s="63" t="b">
        <f t="shared" si="0"/>
        <v>1</v>
      </c>
      <c r="M35" s="63"/>
      <c r="N35" s="1020" t="s">
        <v>206</v>
      </c>
      <c r="O35" s="1178">
        <v>60195265</v>
      </c>
      <c r="P35" s="1178">
        <v>109893893</v>
      </c>
      <c r="Q35" s="1178">
        <v>358604774</v>
      </c>
      <c r="R35" s="1179">
        <v>740456147</v>
      </c>
      <c r="T35" s="55" t="b">
        <f t="shared" si="4"/>
        <v>1</v>
      </c>
      <c r="V35" s="406" t="s">
        <v>206</v>
      </c>
      <c r="W35" s="409">
        <v>75270657</v>
      </c>
      <c r="X35" s="410">
        <v>49698628</v>
      </c>
      <c r="Y35" s="55" t="b">
        <f t="shared" si="3"/>
        <v>1</v>
      </c>
    </row>
    <row r="36" spans="3:25">
      <c r="C36" s="55" t="s">
        <v>897</v>
      </c>
      <c r="D36" s="67" t="s">
        <v>1241</v>
      </c>
      <c r="E36" s="139">
        <f t="shared" si="1"/>
        <v>10772635</v>
      </c>
      <c r="F36" s="306">
        <f>VLOOKUP($C36,PL!$B$27:$F$59,4,0)</f>
        <v>21529107</v>
      </c>
      <c r="G36" s="139">
        <f t="shared" si="2"/>
        <v>9019681</v>
      </c>
      <c r="H36" s="139">
        <f>VLOOKUP($C36,PL!$B$27:$F$59,5,0)</f>
        <v>18799999</v>
      </c>
      <c r="I36" s="63"/>
      <c r="J36" s="63" t="s">
        <v>897</v>
      </c>
      <c r="K36" s="63" t="s">
        <v>1241</v>
      </c>
      <c r="L36" s="63" t="b">
        <f t="shared" si="0"/>
        <v>1</v>
      </c>
      <c r="M36" s="63"/>
      <c r="N36" s="1020" t="s">
        <v>1241</v>
      </c>
      <c r="O36" s="1178">
        <v>9019681</v>
      </c>
      <c r="P36" s="1178">
        <v>18799999</v>
      </c>
      <c r="Q36" s="1178">
        <v>11760863</v>
      </c>
      <c r="R36" s="1179">
        <v>23473680</v>
      </c>
      <c r="T36" s="55" t="b">
        <f t="shared" si="4"/>
        <v>1</v>
      </c>
      <c r="V36" s="406" t="s">
        <v>1241</v>
      </c>
      <c r="W36" s="409">
        <v>10756472</v>
      </c>
      <c r="X36" s="410">
        <v>9780318</v>
      </c>
      <c r="Y36" s="55" t="b">
        <f t="shared" si="3"/>
        <v>1</v>
      </c>
    </row>
    <row r="37" spans="3:25">
      <c r="C37" s="55" t="s">
        <v>898</v>
      </c>
      <c r="D37" s="67" t="str">
        <f>PL!C59</f>
        <v>인력개발비</v>
      </c>
      <c r="E37" s="139">
        <f t="shared" si="1"/>
        <v>690000</v>
      </c>
      <c r="F37" s="306">
        <f>VLOOKUP($C37,PL!$B$27:$F$59,4,0)</f>
        <v>1380000</v>
      </c>
      <c r="G37" s="139">
        <f t="shared" si="2"/>
        <v>688699</v>
      </c>
      <c r="H37" s="139">
        <f>VLOOKUP($C37,PL!$B$27:$F$59,5,0)</f>
        <v>1378699</v>
      </c>
      <c r="I37" s="63"/>
      <c r="J37" s="63" t="s">
        <v>898</v>
      </c>
      <c r="K37" s="63" t="str">
        <f>VLOOKUP($J37,PL!$B$27:$C$59,2,0)</f>
        <v>인력개발비</v>
      </c>
      <c r="L37" s="63" t="b">
        <f t="shared" si="0"/>
        <v>1</v>
      </c>
      <c r="M37" s="63"/>
      <c r="N37" s="1020" t="s">
        <v>716</v>
      </c>
      <c r="O37" s="1178">
        <v>688699</v>
      </c>
      <c r="P37" s="1178">
        <v>1378699</v>
      </c>
      <c r="Q37" s="1178">
        <v>690000</v>
      </c>
      <c r="R37" s="1179">
        <v>1380000</v>
      </c>
      <c r="T37" s="55" t="b">
        <f t="shared" si="4"/>
        <v>1</v>
      </c>
      <c r="V37" s="406" t="s">
        <v>716</v>
      </c>
      <c r="W37" s="409">
        <v>690000</v>
      </c>
      <c r="X37" s="410">
        <v>690000</v>
      </c>
      <c r="Y37" s="55" t="b">
        <f t="shared" si="3"/>
        <v>1</v>
      </c>
    </row>
    <row r="38" spans="3:25">
      <c r="D38" s="71" t="s">
        <v>256</v>
      </c>
      <c r="E38" s="156">
        <f>SUM(E7:E37)</f>
        <v>2852109483</v>
      </c>
      <c r="F38" s="156">
        <f>SUM(F7:F37)</f>
        <v>5378351282</v>
      </c>
      <c r="G38" s="139">
        <f>SUM(G7:G37)</f>
        <v>1959525763</v>
      </c>
      <c r="H38" s="139">
        <f>SUM(H7:H37)</f>
        <v>3878517000</v>
      </c>
      <c r="I38" s="63"/>
      <c r="J38" s="63"/>
      <c r="K38" s="63"/>
      <c r="L38" s="63"/>
      <c r="M38" s="63"/>
      <c r="N38" s="1181" t="s">
        <v>691</v>
      </c>
      <c r="O38" s="1182">
        <v>1959525763</v>
      </c>
      <c r="P38" s="1182">
        <v>3878517000</v>
      </c>
      <c r="Q38" s="1182">
        <v>2227267329</v>
      </c>
      <c r="R38" s="1183">
        <v>4520359356</v>
      </c>
      <c r="V38" s="572" t="s">
        <v>256</v>
      </c>
      <c r="W38" s="573">
        <v>2526241799</v>
      </c>
      <c r="X38" s="340">
        <v>1918991237</v>
      </c>
    </row>
    <row r="39" spans="3:25">
      <c r="D39" s="63"/>
      <c r="E39" s="63"/>
      <c r="F39" s="63" t="b">
        <f>F38=PL!E26</f>
        <v>1</v>
      </c>
      <c r="G39" s="63"/>
      <c r="H39" s="63" t="b">
        <f>H38=PL!F26</f>
        <v>1</v>
      </c>
      <c r="I39" s="63"/>
      <c r="J39" s="63"/>
      <c r="K39" s="63"/>
      <c r="L39" s="63"/>
      <c r="M39" s="63"/>
      <c r="N39" s="63"/>
    </row>
    <row r="40" spans="3:25">
      <c r="E40" s="55" t="b">
        <f>E38=Dart_PL!C8</f>
        <v>1</v>
      </c>
      <c r="F40" s="55" t="b">
        <f>F38=Dart_PL!D8</f>
        <v>1</v>
      </c>
      <c r="G40" s="55" t="b">
        <f>G38=Dart_PL!E8</f>
        <v>1</v>
      </c>
      <c r="H40" s="55" t="b">
        <f>H38=Dart_PL!F8</f>
        <v>1</v>
      </c>
      <c r="M40" s="63"/>
      <c r="N40" s="63"/>
    </row>
  </sheetData>
  <mergeCells count="4">
    <mergeCell ref="D5:D6"/>
    <mergeCell ref="N5:N6"/>
    <mergeCell ref="O5:P5"/>
    <mergeCell ref="Q5:R5"/>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2AA459B-B0A1-4139-89D0-7CCED5711B0D}">
            <xm:f>NOT(ISERROR(SEARCH("FALSE",A1)))</xm:f>
            <xm:f>"FALSE"</xm:f>
            <x14:dxf>
              <fill>
                <patternFill>
                  <bgColor theme="5"/>
                </patternFill>
              </fill>
            </x14:dxf>
          </x14:cfRule>
          <x14:cfRule type="containsText" priority="2" operator="containsText" id="{A2214BEF-D2FA-48B0-8426-F47F524C1964}">
            <xm:f>NOT(ISERROR(SEARCH("TRUE",A1)))</xm:f>
            <xm:f>"TRUE"</xm:f>
            <x14:dxf>
              <fill>
                <patternFill>
                  <bgColor theme="9" tint="0.79998168889431442"/>
                </patternFill>
              </fill>
            </x14:dxf>
          </x14:cfRule>
          <xm:sqref>A1:AB4 AC1:XFD1048576 A5:M5 S5:U37 Y5:AB37 A6:C6 E6:M6 A7:M7 H8:M30 A8:G37 H31:L37 M31:M38 S38:AB38 A38:L1048576 M39:AB1048576</xm:sqref>
        </x14:conditionalFormatting>
      </x14:conditionalFormatting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4"/>
  <dimension ref="B2:AA49"/>
  <sheetViews>
    <sheetView showGridLines="0" topLeftCell="C6" zoomScale="85" zoomScaleNormal="85" workbookViewId="0">
      <selection activeCell="E16" sqref="E16:F19"/>
    </sheetView>
  </sheetViews>
  <sheetFormatPr defaultColWidth="8.5703125" defaultRowHeight="15" outlineLevelRow="1"/>
  <cols>
    <col min="1" max="2" width="1.85546875" style="55" customWidth="1"/>
    <col min="3" max="3" width="1.5" style="55" customWidth="1"/>
    <col min="4" max="4" width="32.0703125" style="55" customWidth="1"/>
    <col min="5" max="11" width="18.5703125" style="55" customWidth="1"/>
    <col min="12" max="15" width="15.5703125" style="55" customWidth="1"/>
    <col min="16" max="16" width="11.35546875" style="55" bestFit="1" customWidth="1"/>
    <col min="17" max="17" width="28.5" style="55" customWidth="1"/>
    <col min="18" max="18" width="16.0703125" style="55" customWidth="1"/>
    <col min="19" max="19" width="12.35546875" style="55" bestFit="1" customWidth="1"/>
    <col min="20" max="20" width="11.5" style="55" customWidth="1"/>
    <col min="21" max="21" width="27.0703125" style="55" bestFit="1" customWidth="1"/>
    <col min="22" max="23" width="14" style="55" bestFit="1" customWidth="1"/>
    <col min="24" max="24" width="12.35546875" style="55" bestFit="1" customWidth="1"/>
    <col min="25" max="25" width="6.35546875" style="55" bestFit="1" customWidth="1"/>
    <col min="26" max="26" width="15.140625" style="55" bestFit="1" customWidth="1"/>
    <col min="27" max="27" width="10.5" style="55" bestFit="1" customWidth="1"/>
    <col min="28" max="16384" width="8.5703125" style="55"/>
  </cols>
  <sheetData>
    <row r="2" spans="2:26">
      <c r="B2" s="54" t="s">
        <v>1812</v>
      </c>
    </row>
    <row r="3" spans="2:26">
      <c r="U3" s="55" t="s">
        <v>2338</v>
      </c>
    </row>
    <row r="4" spans="2:26">
      <c r="F4" s="63"/>
      <c r="G4" s="63"/>
      <c r="H4" s="64" t="s">
        <v>258</v>
      </c>
      <c r="I4" s="63"/>
      <c r="J4" s="63"/>
      <c r="K4" s="63"/>
      <c r="L4" s="63" t="s">
        <v>1599</v>
      </c>
      <c r="M4" s="63"/>
      <c r="N4" s="63"/>
      <c r="O4" s="63"/>
      <c r="P4" s="63" t="s">
        <v>1805</v>
      </c>
      <c r="Q4" s="63"/>
      <c r="R4" s="63"/>
    </row>
    <row r="5" spans="2:26">
      <c r="D5" s="1309" t="s">
        <v>237</v>
      </c>
      <c r="E5" s="222" t="str">
        <f>'28'!E5</f>
        <v>당반기</v>
      </c>
      <c r="F5" s="222"/>
      <c r="G5" s="222" t="str">
        <f>'28'!G5</f>
        <v>전반기</v>
      </c>
      <c r="H5" s="222"/>
      <c r="I5" s="118"/>
      <c r="J5" s="118"/>
      <c r="K5" s="118"/>
      <c r="L5" s="196" t="s">
        <v>303</v>
      </c>
      <c r="M5" s="196" t="s">
        <v>304</v>
      </c>
      <c r="N5" s="196" t="s">
        <v>305</v>
      </c>
      <c r="O5" s="63"/>
      <c r="P5" s="196" t="s">
        <v>303</v>
      </c>
      <c r="Q5" s="196" t="s">
        <v>304</v>
      </c>
      <c r="R5" s="196" t="s">
        <v>305</v>
      </c>
      <c r="U5" s="1068" t="s">
        <v>39</v>
      </c>
      <c r="V5" s="1068" t="s">
        <v>946</v>
      </c>
      <c r="W5" s="1069" t="s">
        <v>1992</v>
      </c>
      <c r="X5" s="1069" t="s">
        <v>353</v>
      </c>
      <c r="Y5" s="1069" t="s">
        <v>389</v>
      </c>
      <c r="Z5" s="1070" t="s">
        <v>256</v>
      </c>
    </row>
    <row r="6" spans="2:26" ht="17.600000000000001">
      <c r="D6" s="1310"/>
      <c r="E6" s="1014" t="s">
        <v>1051</v>
      </c>
      <c r="F6" s="1014" t="s">
        <v>1053</v>
      </c>
      <c r="G6" s="1014" t="s">
        <v>1051</v>
      </c>
      <c r="H6" s="1014" t="s">
        <v>1053</v>
      </c>
      <c r="I6" s="118"/>
      <c r="J6" s="118"/>
      <c r="K6" s="118"/>
      <c r="L6" s="1015"/>
      <c r="M6" s="1015"/>
      <c r="N6" s="1015"/>
      <c r="O6" s="63"/>
      <c r="P6" s="1015"/>
      <c r="Q6" s="1015"/>
      <c r="R6" s="1015"/>
      <c r="U6" s="1071" t="s">
        <v>2339</v>
      </c>
      <c r="V6" s="1072">
        <v>1126155722</v>
      </c>
      <c r="W6" s="1072">
        <v>821715965</v>
      </c>
      <c r="X6" s="1072">
        <v>131081645</v>
      </c>
      <c r="Y6" s="1072">
        <v>0</v>
      </c>
      <c r="Z6" s="1073">
        <v>2078953332</v>
      </c>
    </row>
    <row r="7" spans="2:26" ht="17.600000000000001">
      <c r="D7" s="136" t="s">
        <v>1056</v>
      </c>
      <c r="E7" s="139">
        <f>F7-E33</f>
        <v>-125720065</v>
      </c>
      <c r="F7" s="139">
        <f>F19-F25-F8</f>
        <v>119832703</v>
      </c>
      <c r="G7" s="139">
        <f>H7-F33</f>
        <v>-346343638</v>
      </c>
      <c r="H7" s="139">
        <v>182813082</v>
      </c>
      <c r="I7" s="118"/>
      <c r="J7" s="118"/>
      <c r="K7" s="118"/>
      <c r="L7" s="127"/>
      <c r="M7" s="127"/>
      <c r="N7" s="127"/>
      <c r="O7" s="63"/>
      <c r="P7" s="127"/>
      <c r="Q7" s="127"/>
      <c r="R7" s="127"/>
      <c r="U7" s="1071" t="s">
        <v>2340</v>
      </c>
      <c r="V7" s="1072">
        <v>66119503</v>
      </c>
      <c r="W7" s="1072">
        <v>11650000</v>
      </c>
      <c r="X7" s="1072">
        <v>4477464</v>
      </c>
      <c r="Y7" s="1072">
        <v>0</v>
      </c>
      <c r="Z7" s="1073">
        <v>82246967</v>
      </c>
    </row>
    <row r="8" spans="2:26" ht="17.600000000000001">
      <c r="D8" s="136" t="s">
        <v>1055</v>
      </c>
      <c r="E8" s="139">
        <f t="shared" ref="E8:E18" si="0">F8-E34</f>
        <v>786825102</v>
      </c>
      <c r="F8" s="127">
        <f>정산표!H208+정산표!H216</f>
        <v>1310647882</v>
      </c>
      <c r="G8" s="139">
        <f t="shared" ref="G8:G18" si="1">H8-F34</f>
        <v>882975806</v>
      </c>
      <c r="H8" s="127">
        <v>1590713583</v>
      </c>
      <c r="I8" s="118"/>
      <c r="J8" s="118"/>
      <c r="K8" s="118"/>
      <c r="L8" s="127"/>
      <c r="M8" s="127"/>
      <c r="N8" s="127"/>
      <c r="O8" s="63"/>
      <c r="P8" s="127"/>
      <c r="Q8" s="127"/>
      <c r="R8" s="127"/>
      <c r="U8" s="1071" t="s">
        <v>2341</v>
      </c>
      <c r="V8" s="1072">
        <v>110359296</v>
      </c>
      <c r="W8" s="1072">
        <v>60130770</v>
      </c>
      <c r="X8" s="1072">
        <v>17529324</v>
      </c>
      <c r="Y8" s="1072">
        <v>0</v>
      </c>
      <c r="Z8" s="1073">
        <v>188019390</v>
      </c>
    </row>
    <row r="9" spans="2:26" ht="17.600000000000001">
      <c r="D9" s="136" t="s">
        <v>299</v>
      </c>
      <c r="E9" s="139">
        <f t="shared" si="0"/>
        <v>1038690057</v>
      </c>
      <c r="F9" s="938">
        <f>SUM(L9:N9)</f>
        <v>2351376569</v>
      </c>
      <c r="G9" s="139">
        <f t="shared" si="1"/>
        <v>1186006765</v>
      </c>
      <c r="H9" s="310">
        <v>2430213130</v>
      </c>
      <c r="I9" s="118"/>
      <c r="J9" s="118"/>
      <c r="K9" s="118"/>
      <c r="L9" s="127">
        <f>PL!E27+PL!E28</f>
        <v>1302634521</v>
      </c>
      <c r="M9" s="127">
        <f>SUM(정산표!H223:H226)</f>
        <v>895653615</v>
      </c>
      <c r="N9" s="127">
        <f>SUM(R25:R27)</f>
        <v>153088433</v>
      </c>
      <c r="O9" s="63"/>
      <c r="P9" s="127"/>
      <c r="Q9" s="127"/>
      <c r="R9" s="127"/>
      <c r="U9" s="1186" t="s">
        <v>2040</v>
      </c>
      <c r="V9" s="1187">
        <v>45930430</v>
      </c>
      <c r="W9" s="1187">
        <v>2156880</v>
      </c>
      <c r="X9" s="1187"/>
      <c r="Y9" s="1187">
        <v>0</v>
      </c>
      <c r="Z9" s="1188">
        <v>48087310</v>
      </c>
    </row>
    <row r="10" spans="2:26" ht="17.600000000000001">
      <c r="D10" s="136" t="s">
        <v>11</v>
      </c>
      <c r="E10" s="139">
        <f t="shared" si="0"/>
        <v>146607878</v>
      </c>
      <c r="F10" s="127">
        <f>SUM(L10:N10)</f>
        <v>333460353</v>
      </c>
      <c r="G10" s="139">
        <f t="shared" si="1"/>
        <v>181928766</v>
      </c>
      <c r="H10" s="310">
        <v>317117052</v>
      </c>
      <c r="I10" s="118"/>
      <c r="J10" s="118"/>
      <c r="K10" s="118"/>
      <c r="L10" s="127">
        <f>PL!E31</f>
        <v>187719099</v>
      </c>
      <c r="M10" s="127">
        <f>정산표!H228</f>
        <v>112120568</v>
      </c>
      <c r="N10" s="127">
        <f>R28</f>
        <v>33620686</v>
      </c>
      <c r="O10" s="53"/>
      <c r="P10" s="127"/>
      <c r="Q10" s="127"/>
      <c r="R10" s="127"/>
      <c r="U10" s="1071" t="s">
        <v>2342</v>
      </c>
      <c r="V10" s="1072">
        <v>0</v>
      </c>
      <c r="W10" s="1072">
        <v>0</v>
      </c>
      <c r="X10" s="1072"/>
      <c r="Y10" s="1072">
        <v>0</v>
      </c>
      <c r="Z10" s="1073">
        <v>0</v>
      </c>
    </row>
    <row r="11" spans="2:26" ht="17.600000000000001">
      <c r="D11" s="136" t="s">
        <v>12</v>
      </c>
      <c r="E11" s="139">
        <f t="shared" si="0"/>
        <v>60119252</v>
      </c>
      <c r="F11" s="127">
        <f>SUM(L11:N11)</f>
        <v>233343900</v>
      </c>
      <c r="G11" s="139">
        <f t="shared" si="1"/>
        <v>146678731</v>
      </c>
      <c r="H11" s="310">
        <v>293153904</v>
      </c>
      <c r="I11" s="118"/>
      <c r="J11" s="118"/>
      <c r="K11" s="118"/>
      <c r="L11" s="127">
        <f>PL!E32</f>
        <v>224812833</v>
      </c>
      <c r="M11" s="127">
        <f>정산표!H229</f>
        <v>6914025</v>
      </c>
      <c r="N11" s="127">
        <f>R29</f>
        <v>1617042</v>
      </c>
      <c r="O11" s="53"/>
      <c r="P11" s="127"/>
      <c r="Q11" s="127"/>
      <c r="R11" s="127"/>
      <c r="U11" s="1071" t="s">
        <v>2343</v>
      </c>
      <c r="V11" s="1072">
        <v>187719099</v>
      </c>
      <c r="W11" s="1072">
        <v>112120568</v>
      </c>
      <c r="X11" s="1072">
        <v>33620686</v>
      </c>
      <c r="Y11" s="1072">
        <v>0</v>
      </c>
      <c r="Z11" s="1073">
        <v>333460353</v>
      </c>
    </row>
    <row r="12" spans="2:26" ht="17.600000000000001">
      <c r="D12" s="136" t="s">
        <v>300</v>
      </c>
      <c r="E12" s="139">
        <f t="shared" si="0"/>
        <v>291551013</v>
      </c>
      <c r="F12" s="127">
        <f>-('14'!H22+'13'!J36)</f>
        <v>545699219</v>
      </c>
      <c r="G12" s="139">
        <f t="shared" si="1"/>
        <v>255730466</v>
      </c>
      <c r="H12" s="939">
        <v>504346369</v>
      </c>
      <c r="I12" s="118" t="b">
        <f>F12=CF!D16+CF!D17</f>
        <v>1</v>
      </c>
      <c r="J12" s="118" t="b">
        <f>CF!E16+CF!E17=H12</f>
        <v>1</v>
      </c>
      <c r="K12" s="118"/>
      <c r="L12" s="118"/>
      <c r="M12" s="118"/>
      <c r="N12" s="118"/>
      <c r="O12" s="53"/>
      <c r="P12" s="127"/>
      <c r="Q12" s="127"/>
      <c r="R12" s="127"/>
      <c r="U12" s="1071" t="s">
        <v>2344</v>
      </c>
      <c r="V12" s="1072">
        <v>224812833</v>
      </c>
      <c r="W12" s="1072">
        <v>6914025</v>
      </c>
      <c r="X12" s="1072">
        <v>1617042</v>
      </c>
      <c r="Y12" s="1072">
        <v>0</v>
      </c>
      <c r="Z12" s="1073">
        <v>233343900</v>
      </c>
    </row>
    <row r="13" spans="2:26" ht="17.600000000000001">
      <c r="D13" s="136" t="s">
        <v>301</v>
      </c>
      <c r="E13" s="139">
        <f t="shared" si="0"/>
        <v>74199310</v>
      </c>
      <c r="F13" s="127">
        <f>SUM(L13:N13)</f>
        <v>152649406</v>
      </c>
      <c r="G13" s="139">
        <f t="shared" si="1"/>
        <v>86416890</v>
      </c>
      <c r="H13" s="939">
        <v>149658810</v>
      </c>
      <c r="I13" s="118"/>
      <c r="J13" s="118"/>
      <c r="K13" s="118"/>
      <c r="L13" s="127"/>
      <c r="M13" s="127">
        <f>정산표!H246</f>
        <v>152649406</v>
      </c>
      <c r="N13" s="127"/>
      <c r="O13" s="53"/>
      <c r="P13" s="127"/>
      <c r="Q13" s="127"/>
      <c r="R13" s="127"/>
      <c r="U13" s="1071" t="s">
        <v>2345</v>
      </c>
      <c r="V13" s="1072">
        <v>25692474</v>
      </c>
      <c r="W13" s="1072"/>
      <c r="X13" s="1072">
        <v>0</v>
      </c>
      <c r="Y13" s="1072">
        <v>0</v>
      </c>
      <c r="Z13" s="1073">
        <v>25692474</v>
      </c>
    </row>
    <row r="14" spans="2:26" ht="17.600000000000001">
      <c r="D14" s="136" t="s">
        <v>22</v>
      </c>
      <c r="E14" s="139">
        <f t="shared" si="0"/>
        <v>1069786632</v>
      </c>
      <c r="F14" s="127">
        <f>SUM(L14:N14)</f>
        <v>1442994362</v>
      </c>
      <c r="G14" s="139">
        <f t="shared" si="1"/>
        <v>221803131</v>
      </c>
      <c r="H14" s="939">
        <v>485417615</v>
      </c>
      <c r="I14" s="118"/>
      <c r="J14" s="118"/>
      <c r="K14" s="118"/>
      <c r="L14" s="127">
        <f>PL!E50</f>
        <v>1082143476</v>
      </c>
      <c r="M14" s="127">
        <f>정산표!H245</f>
        <v>223641137</v>
      </c>
      <c r="N14" s="127">
        <f>R45</f>
        <v>137209749</v>
      </c>
      <c r="O14" s="53"/>
      <c r="P14" s="127"/>
      <c r="Q14" s="127"/>
      <c r="R14" s="127"/>
      <c r="U14" s="1071" t="s">
        <v>2346</v>
      </c>
      <c r="V14" s="1072">
        <v>8042843</v>
      </c>
      <c r="W14" s="1072">
        <v>2873574</v>
      </c>
      <c r="X14" s="1072">
        <v>1158684</v>
      </c>
      <c r="Y14" s="1072"/>
      <c r="Z14" s="1073">
        <v>12075101</v>
      </c>
    </row>
    <row r="15" spans="2:26" ht="17.600000000000001">
      <c r="D15" s="136" t="s">
        <v>206</v>
      </c>
      <c r="E15" s="139">
        <f t="shared" si="0"/>
        <v>20798145</v>
      </c>
      <c r="F15" s="127">
        <f>SUM(L15:N15)</f>
        <v>96068802</v>
      </c>
      <c r="G15" s="139">
        <f t="shared" si="1"/>
        <v>60195265</v>
      </c>
      <c r="H15" s="939">
        <v>109893893</v>
      </c>
      <c r="I15" s="63"/>
      <c r="J15" s="118"/>
      <c r="K15" s="63"/>
      <c r="L15" s="127">
        <f>PL!E56</f>
        <v>96068802</v>
      </c>
      <c r="M15" s="127">
        <v>0</v>
      </c>
      <c r="N15" s="127">
        <v>0</v>
      </c>
      <c r="O15" s="53"/>
      <c r="P15" s="127"/>
      <c r="Q15" s="127"/>
      <c r="R15" s="127"/>
      <c r="U15" s="1071" t="s">
        <v>2347</v>
      </c>
      <c r="V15" s="1072"/>
      <c r="W15" s="1072">
        <v>6397944</v>
      </c>
      <c r="X15" s="1072"/>
      <c r="Y15" s="1072"/>
      <c r="Z15" s="1073">
        <v>6397944</v>
      </c>
    </row>
    <row r="16" spans="2:26" ht="17.600000000000001">
      <c r="D16" s="136" t="s">
        <v>19</v>
      </c>
      <c r="E16" s="139">
        <f t="shared" si="0"/>
        <v>20143250</v>
      </c>
      <c r="F16" s="127">
        <f>SUM(L16:N16)</f>
        <v>46312245</v>
      </c>
      <c r="G16" s="139">
        <f t="shared" si="1"/>
        <v>22412848</v>
      </c>
      <c r="H16" s="939">
        <v>47707009</v>
      </c>
      <c r="I16" s="63"/>
      <c r="J16" s="118"/>
      <c r="K16" s="63"/>
      <c r="L16" s="127">
        <f>PL!E44</f>
        <v>9018081</v>
      </c>
      <c r="M16" s="127">
        <f>정산표!H240</f>
        <v>37225103</v>
      </c>
      <c r="N16" s="127">
        <f>R40</f>
        <v>69061</v>
      </c>
      <c r="O16" s="53"/>
      <c r="P16" s="127"/>
      <c r="Q16" s="127"/>
      <c r="R16" s="127"/>
      <c r="U16" s="1071" t="s">
        <v>2348</v>
      </c>
      <c r="V16" s="1072">
        <v>2933840</v>
      </c>
      <c r="W16" s="1072">
        <v>0</v>
      </c>
      <c r="X16" s="1072">
        <v>0</v>
      </c>
      <c r="Y16" s="1072">
        <v>0</v>
      </c>
      <c r="Z16" s="1073">
        <v>2933840</v>
      </c>
    </row>
    <row r="17" spans="4:27" ht="17.600000000000001">
      <c r="D17" s="136" t="s">
        <v>23</v>
      </c>
      <c r="E17" s="139">
        <f t="shared" si="0"/>
        <v>1008223983</v>
      </c>
      <c r="F17" s="127">
        <f>SUM(L17:N17)</f>
        <v>1875294553</v>
      </c>
      <c r="G17" s="139">
        <f t="shared" si="1"/>
        <v>404446850</v>
      </c>
      <c r="H17" s="939">
        <v>782157909</v>
      </c>
      <c r="I17" s="63"/>
      <c r="J17" s="118"/>
      <c r="K17" s="63"/>
      <c r="L17" s="127">
        <f>PL!E52</f>
        <v>1875294553</v>
      </c>
      <c r="M17" s="127">
        <v>0</v>
      </c>
      <c r="N17" s="127">
        <v>0</v>
      </c>
      <c r="O17" s="53"/>
      <c r="P17" s="127"/>
      <c r="Q17" s="127"/>
      <c r="R17" s="127"/>
      <c r="U17" s="1071" t="s">
        <v>2349</v>
      </c>
      <c r="V17" s="1072">
        <v>3879022</v>
      </c>
      <c r="W17" s="1072">
        <v>105424362</v>
      </c>
      <c r="X17" s="1072">
        <v>797260</v>
      </c>
      <c r="Y17" s="1072">
        <v>0</v>
      </c>
      <c r="Z17" s="1073">
        <v>110100644</v>
      </c>
    </row>
    <row r="18" spans="4:27" ht="17.600000000000001">
      <c r="D18" s="136" t="s">
        <v>295</v>
      </c>
      <c r="E18" s="139">
        <f t="shared" si="0"/>
        <v>222639107</v>
      </c>
      <c r="F18" s="938">
        <f>F19-SUM(F7:F17)</f>
        <v>467304810</v>
      </c>
      <c r="G18" s="139">
        <f t="shared" si="1"/>
        <v>305767856</v>
      </c>
      <c r="H18" s="127">
        <v>512519908</v>
      </c>
      <c r="I18" s="118"/>
      <c r="J18" s="118"/>
      <c r="K18" s="118"/>
      <c r="L18" s="127"/>
      <c r="M18" s="127"/>
      <c r="N18" s="127"/>
      <c r="O18" s="53"/>
      <c r="P18" s="127"/>
      <c r="Q18" s="127"/>
      <c r="R18" s="127"/>
      <c r="U18" s="1071" t="s">
        <v>2350</v>
      </c>
      <c r="V18" s="1072">
        <v>8506220</v>
      </c>
      <c r="W18" s="1072">
        <v>40500</v>
      </c>
      <c r="X18" s="1072">
        <v>0</v>
      </c>
      <c r="Y18" s="1072">
        <v>0</v>
      </c>
      <c r="Z18" s="1073">
        <v>8546720</v>
      </c>
      <c r="AA18" s="55">
        <f>Z19+Z37</f>
        <v>545699219</v>
      </c>
    </row>
    <row r="19" spans="4:27" ht="17.600000000000001">
      <c r="D19" s="309" t="s">
        <v>302</v>
      </c>
      <c r="E19" s="127">
        <f>SUM(E7:E18)</f>
        <v>4613863664</v>
      </c>
      <c r="F19" s="127">
        <f>PL!E26+PL!E6</f>
        <v>8974984804</v>
      </c>
      <c r="G19" s="127">
        <f>SUM(G7:G18)</f>
        <v>3408019736</v>
      </c>
      <c r="H19" s="127">
        <f>PL!F26+PL!F6</f>
        <v>7405712264</v>
      </c>
      <c r="I19" s="63"/>
      <c r="J19" s="63"/>
      <c r="K19" s="63"/>
      <c r="L19" s="127"/>
      <c r="M19" s="127"/>
      <c r="N19" s="127"/>
      <c r="O19" s="53"/>
      <c r="P19" s="127"/>
      <c r="Q19" s="127"/>
      <c r="R19" s="127"/>
      <c r="U19" s="1071" t="s">
        <v>2351</v>
      </c>
      <c r="V19" s="1072">
        <v>119880341</v>
      </c>
      <c r="W19" s="1072">
        <v>394973529</v>
      </c>
      <c r="X19" s="1072">
        <v>9316242</v>
      </c>
      <c r="Y19" s="1072">
        <v>0</v>
      </c>
      <c r="Z19" s="1073">
        <v>524170112</v>
      </c>
      <c r="AA19" s="55" t="b">
        <f>AA18=F12</f>
        <v>1</v>
      </c>
    </row>
    <row r="20" spans="4:27" ht="17.600000000000001">
      <c r="D20" s="63"/>
      <c r="E20" s="63" t="b">
        <f>Dart_PL!C6+Dart_PL!C8=E19</f>
        <v>1</v>
      </c>
      <c r="F20" s="63" t="b">
        <f>Dart_PL!D6+Dart_PL!D8=F19</f>
        <v>1</v>
      </c>
      <c r="G20" s="63" t="b">
        <f>Dart_PL!E6+Dart_PL!E8=G19</f>
        <v>1</v>
      </c>
      <c r="H20" s="63" t="b">
        <f>Dart_PL!F6+Dart_PL!F8=H19</f>
        <v>1</v>
      </c>
      <c r="I20" s="63"/>
      <c r="J20" s="63"/>
      <c r="K20" s="63"/>
      <c r="L20" s="63"/>
      <c r="M20" s="63"/>
      <c r="N20" s="63"/>
      <c r="U20" s="1071" t="s">
        <v>2352</v>
      </c>
      <c r="V20" s="1072">
        <v>508414</v>
      </c>
      <c r="W20" s="1072">
        <v>0</v>
      </c>
      <c r="X20" s="1072"/>
      <c r="Y20" s="1072">
        <v>0</v>
      </c>
      <c r="Z20" s="1073">
        <v>508414</v>
      </c>
    </row>
    <row r="21" spans="4:27" ht="17.600000000000001">
      <c r="H21" s="55" t="s">
        <v>1057</v>
      </c>
      <c r="U21" s="1071" t="s">
        <v>2353</v>
      </c>
      <c r="V21" s="1072">
        <v>1111000</v>
      </c>
      <c r="W21" s="1072">
        <v>24369000</v>
      </c>
      <c r="X21" s="1072">
        <v>0</v>
      </c>
      <c r="Y21" s="1072">
        <v>0</v>
      </c>
      <c r="Z21" s="1073">
        <v>25480000</v>
      </c>
    </row>
    <row r="22" spans="4:27" ht="17.600000000000001">
      <c r="U22" s="1071" t="s">
        <v>2354</v>
      </c>
      <c r="V22" s="1072">
        <v>3257116</v>
      </c>
      <c r="W22" s="1072">
        <v>11211332</v>
      </c>
      <c r="X22" s="1072">
        <v>0</v>
      </c>
      <c r="Y22" s="1072">
        <v>0</v>
      </c>
      <c r="Z22" s="1073">
        <v>14468448</v>
      </c>
    </row>
    <row r="23" spans="4:27" ht="17.600000000000001">
      <c r="D23" s="384" t="s">
        <v>1123</v>
      </c>
      <c r="E23" s="385"/>
      <c r="F23" s="385">
        <f>PL!E26</f>
        <v>5378351282</v>
      </c>
      <c r="G23" s="385"/>
      <c r="H23" s="385">
        <f>PL!F26</f>
        <v>3878517000</v>
      </c>
      <c r="U23" s="1071" t="s">
        <v>2355</v>
      </c>
      <c r="V23" s="1072">
        <v>720800</v>
      </c>
      <c r="W23" s="1072">
        <v>562830</v>
      </c>
      <c r="X23" s="1072">
        <v>10000</v>
      </c>
      <c r="Y23" s="1072">
        <v>0</v>
      </c>
      <c r="Z23" s="1073">
        <v>1293630</v>
      </c>
    </row>
    <row r="24" spans="4:27" ht="17.600000000000001">
      <c r="D24" s="384" t="s">
        <v>1124</v>
      </c>
      <c r="E24" s="385"/>
      <c r="F24" s="385">
        <f>정산표!H222+정산표!H227</f>
        <v>2166152937</v>
      </c>
      <c r="G24" s="385"/>
      <c r="H24" s="385">
        <f>정산표!M222+정산표!M227</f>
        <v>1753668599</v>
      </c>
      <c r="L24" s="55" t="s">
        <v>1958</v>
      </c>
      <c r="U24" s="1071" t="s">
        <v>2356</v>
      </c>
      <c r="V24" s="1074">
        <v>364625079</v>
      </c>
      <c r="W24" s="1072">
        <v>0</v>
      </c>
      <c r="X24" s="1072"/>
      <c r="Y24" s="1072">
        <v>0</v>
      </c>
      <c r="Z24" s="1073">
        <v>364625079</v>
      </c>
    </row>
    <row r="25" spans="4:27" ht="17.600000000000001">
      <c r="D25" s="384" t="s">
        <v>1125</v>
      </c>
      <c r="E25" s="385"/>
      <c r="F25" s="385">
        <f>SUM(F23:F24)</f>
        <v>7544504219</v>
      </c>
      <c r="G25" s="385"/>
      <c r="H25" s="385">
        <f>SUM(H23:H24)</f>
        <v>5632185599</v>
      </c>
      <c r="L25" s="802" t="s">
        <v>237</v>
      </c>
      <c r="M25" s="802" t="s">
        <v>1959</v>
      </c>
      <c r="Q25" s="55" t="s">
        <v>1936</v>
      </c>
      <c r="R25" s="55">
        <v>131081645</v>
      </c>
      <c r="U25" s="1071" t="s">
        <v>2357</v>
      </c>
      <c r="V25" s="1072">
        <v>9018081</v>
      </c>
      <c r="W25" s="1072">
        <v>37225103</v>
      </c>
      <c r="X25" s="1072">
        <v>69061</v>
      </c>
      <c r="Y25" s="1072">
        <v>0</v>
      </c>
      <c r="Z25" s="1073">
        <v>46312245</v>
      </c>
    </row>
    <row r="26" spans="4:27" ht="17.600000000000001">
      <c r="L26" s="913" t="s">
        <v>1683</v>
      </c>
      <c r="M26" s="915"/>
      <c r="Q26" s="55" t="s">
        <v>1937</v>
      </c>
      <c r="R26" s="55">
        <v>4477464</v>
      </c>
      <c r="U26" s="1071" t="s">
        <v>2358</v>
      </c>
      <c r="V26" s="1072">
        <v>1066181</v>
      </c>
      <c r="W26" s="1072">
        <v>655000</v>
      </c>
      <c r="X26" s="1072">
        <v>90000</v>
      </c>
      <c r="Y26" s="1072">
        <v>0</v>
      </c>
      <c r="Z26" s="1073">
        <v>1811181</v>
      </c>
    </row>
    <row r="27" spans="4:27" ht="17.600000000000001">
      <c r="D27" s="309" t="s">
        <v>302</v>
      </c>
      <c r="E27" s="385"/>
      <c r="F27" s="385">
        <f>PL!E26+PL!E6</f>
        <v>8974984804</v>
      </c>
      <c r="G27" s="385"/>
      <c r="H27" s="385">
        <f>PL!F26+PL!F6</f>
        <v>7405712264</v>
      </c>
      <c r="L27" s="913" t="s">
        <v>1684</v>
      </c>
      <c r="M27" s="915"/>
      <c r="Q27" s="55" t="s">
        <v>1938</v>
      </c>
      <c r="R27" s="55">
        <v>17529324</v>
      </c>
      <c r="U27" s="1071" t="s">
        <v>2359</v>
      </c>
      <c r="V27" s="1072">
        <v>4820923</v>
      </c>
      <c r="W27" s="1072">
        <v>199000</v>
      </c>
      <c r="X27" s="1072">
        <v>61000</v>
      </c>
      <c r="Y27" s="1072">
        <v>0</v>
      </c>
      <c r="Z27" s="1073">
        <v>5080923</v>
      </c>
    </row>
    <row r="28" spans="4:27" ht="17.600000000000001">
      <c r="L28" s="913" t="s">
        <v>299</v>
      </c>
      <c r="M28" s="915"/>
      <c r="Q28" s="55" t="s">
        <v>1939</v>
      </c>
      <c r="R28" s="55">
        <v>33620686</v>
      </c>
      <c r="U28" s="1071" t="s">
        <v>2360</v>
      </c>
      <c r="V28" s="1072">
        <v>236327</v>
      </c>
      <c r="W28" s="1072">
        <v>104843</v>
      </c>
      <c r="X28" s="1072">
        <v>-688230</v>
      </c>
      <c r="Y28" s="1072">
        <v>0</v>
      </c>
      <c r="Z28" s="1073">
        <v>-347060</v>
      </c>
    </row>
    <row r="29" spans="4:27" ht="17.600000000000001">
      <c r="L29" s="913" t="s">
        <v>11</v>
      </c>
      <c r="M29" s="915"/>
      <c r="Q29" s="55" t="s">
        <v>1940</v>
      </c>
      <c r="R29" s="55">
        <v>1617042</v>
      </c>
      <c r="U29" s="1071" t="s">
        <v>2361</v>
      </c>
      <c r="V29" s="1072">
        <v>19873909</v>
      </c>
      <c r="W29" s="1072">
        <v>149978542</v>
      </c>
      <c r="X29" s="1072">
        <v>26925752</v>
      </c>
      <c r="Y29" s="1072">
        <v>0</v>
      </c>
      <c r="Z29" s="1073">
        <v>196778203</v>
      </c>
    </row>
    <row r="30" spans="4:27" ht="17.600000000000001" outlineLevel="1">
      <c r="L30" s="913" t="s">
        <v>12</v>
      </c>
      <c r="M30" s="915"/>
      <c r="Q30" s="55" t="s">
        <v>1941</v>
      </c>
      <c r="R30" s="55">
        <v>0</v>
      </c>
      <c r="U30" s="1071" t="s">
        <v>2362</v>
      </c>
      <c r="V30" s="1072">
        <v>1082143476</v>
      </c>
      <c r="W30" s="1072">
        <v>223641137</v>
      </c>
      <c r="X30" s="1072">
        <v>137209749</v>
      </c>
      <c r="Y30" s="1072">
        <v>0</v>
      </c>
      <c r="Z30" s="1073">
        <v>1442994362</v>
      </c>
    </row>
    <row r="31" spans="4:27" ht="17.600000000000001" outlineLevel="1">
      <c r="D31" s="55" t="s">
        <v>2337</v>
      </c>
      <c r="L31" s="913" t="s">
        <v>300</v>
      </c>
      <c r="M31" s="915"/>
      <c r="Q31" s="55" t="s">
        <v>1942</v>
      </c>
      <c r="R31" s="55">
        <v>1158684</v>
      </c>
      <c r="U31" s="1071" t="s">
        <v>2363</v>
      </c>
      <c r="V31" s="1072"/>
      <c r="W31" s="1072">
        <v>152649406</v>
      </c>
      <c r="X31" s="1072"/>
      <c r="Y31" s="1072"/>
      <c r="Z31" s="1073">
        <v>152649406</v>
      </c>
    </row>
    <row r="32" spans="4:27" ht="17.600000000000001" outlineLevel="1">
      <c r="D32" s="1184" t="s">
        <v>237</v>
      </c>
      <c r="E32" s="802" t="s">
        <v>2329</v>
      </c>
      <c r="F32" s="1185" t="s">
        <v>1919</v>
      </c>
      <c r="L32" s="913" t="s">
        <v>301</v>
      </c>
      <c r="M32" s="915"/>
      <c r="Q32" s="55" t="s">
        <v>1943</v>
      </c>
      <c r="R32" s="55">
        <v>0</v>
      </c>
      <c r="U32" s="1071" t="s">
        <v>2364</v>
      </c>
      <c r="V32" s="1072">
        <v>1875294553</v>
      </c>
      <c r="W32" s="1072">
        <v>0</v>
      </c>
      <c r="X32" s="1072"/>
      <c r="Y32" s="1072">
        <v>0</v>
      </c>
      <c r="Z32" s="1073">
        <v>1875294553</v>
      </c>
    </row>
    <row r="33" spans="4:26" ht="17.600000000000001" outlineLevel="1">
      <c r="D33" s="1020" t="s">
        <v>1920</v>
      </c>
      <c r="E33" s="1178">
        <v>245552768</v>
      </c>
      <c r="F33" s="1179">
        <v>529156720</v>
      </c>
      <c r="G33" s="55" t="b">
        <f>D33=D7</f>
        <v>1</v>
      </c>
      <c r="L33" s="913" t="s">
        <v>22</v>
      </c>
      <c r="M33" s="915"/>
      <c r="Q33" s="55" t="s">
        <v>1944</v>
      </c>
      <c r="R33" s="55">
        <v>797260</v>
      </c>
      <c r="U33" s="1071" t="s">
        <v>2365</v>
      </c>
      <c r="V33" s="1072">
        <v>-82887417</v>
      </c>
      <c r="W33" s="1072">
        <v>0</v>
      </c>
      <c r="X33" s="1072"/>
      <c r="Y33" s="1072">
        <v>0</v>
      </c>
      <c r="Z33" s="1073">
        <v>-82887417</v>
      </c>
    </row>
    <row r="34" spans="4:26" ht="17.600000000000001" outlineLevel="1">
      <c r="D34" s="1020" t="s">
        <v>1921</v>
      </c>
      <c r="E34" s="1178">
        <v>523822780</v>
      </c>
      <c r="F34" s="1179">
        <v>707737777</v>
      </c>
      <c r="G34" s="55" t="b">
        <f t="shared" ref="G34:G45" si="2">D34=D8</f>
        <v>1</v>
      </c>
      <c r="L34" s="913" t="s">
        <v>206</v>
      </c>
      <c r="M34" s="915"/>
      <c r="Q34" s="55" t="s">
        <v>1945</v>
      </c>
      <c r="R34" s="55">
        <v>0</v>
      </c>
      <c r="U34" s="1071" t="s">
        <v>2366</v>
      </c>
      <c r="V34" s="1072">
        <v>16390898</v>
      </c>
      <c r="W34" s="1072">
        <v>41158627</v>
      </c>
      <c r="X34" s="1072">
        <v>1349400</v>
      </c>
      <c r="Y34" s="1072">
        <v>0</v>
      </c>
      <c r="Z34" s="1073">
        <v>58898925</v>
      </c>
    </row>
    <row r="35" spans="4:26" ht="17.600000000000001" outlineLevel="1">
      <c r="D35" s="1020" t="s">
        <v>299</v>
      </c>
      <c r="E35" s="1178">
        <v>1312686512</v>
      </c>
      <c r="F35" s="1179">
        <v>1244206365</v>
      </c>
      <c r="G35" s="55" t="b">
        <f t="shared" si="2"/>
        <v>1</v>
      </c>
      <c r="L35" s="913" t="s">
        <v>19</v>
      </c>
      <c r="M35" s="915"/>
      <c r="Q35" s="55" t="s">
        <v>1946</v>
      </c>
      <c r="R35" s="55">
        <v>9316242</v>
      </c>
      <c r="U35" s="1071" t="s">
        <v>2367</v>
      </c>
      <c r="V35" s="1072">
        <v>33162410</v>
      </c>
      <c r="W35" s="1072">
        <v>0</v>
      </c>
      <c r="X35" s="1072"/>
      <c r="Y35" s="1072">
        <v>0</v>
      </c>
      <c r="Z35" s="1073">
        <v>33162410</v>
      </c>
    </row>
    <row r="36" spans="4:26" ht="17.600000000000001" outlineLevel="1">
      <c r="D36" s="1020" t="s">
        <v>11</v>
      </c>
      <c r="E36" s="1178">
        <v>186852475</v>
      </c>
      <c r="F36" s="1179">
        <v>135188286</v>
      </c>
      <c r="G36" s="55" t="b">
        <f t="shared" si="2"/>
        <v>1</v>
      </c>
      <c r="L36" s="913" t="s">
        <v>23</v>
      </c>
      <c r="M36" s="915"/>
      <c r="Q36" s="55" t="s">
        <v>1947</v>
      </c>
      <c r="R36" s="55">
        <v>0</v>
      </c>
      <c r="U36" s="1071" t="s">
        <v>2368</v>
      </c>
      <c r="V36" s="1072">
        <v>96068802</v>
      </c>
      <c r="W36" s="1072">
        <v>0</v>
      </c>
      <c r="X36" s="1072"/>
      <c r="Y36" s="1072">
        <v>0</v>
      </c>
      <c r="Z36" s="1073">
        <v>96068802</v>
      </c>
    </row>
    <row r="37" spans="4:26" ht="17.600000000000001" outlineLevel="1">
      <c r="D37" s="1020" t="s">
        <v>12</v>
      </c>
      <c r="E37" s="1178">
        <v>173224648</v>
      </c>
      <c r="F37" s="1179">
        <v>146475173</v>
      </c>
      <c r="G37" s="55" t="b">
        <f t="shared" si="2"/>
        <v>1</v>
      </c>
      <c r="L37" s="913" t="s">
        <v>295</v>
      </c>
      <c r="M37" s="915"/>
      <c r="Q37" s="55" t="s">
        <v>1948</v>
      </c>
      <c r="R37" s="55">
        <v>0</v>
      </c>
      <c r="U37" s="1071" t="s">
        <v>2369</v>
      </c>
      <c r="V37" s="1072">
        <v>21529107</v>
      </c>
      <c r="W37" s="1072">
        <v>0</v>
      </c>
      <c r="X37" s="1072"/>
      <c r="Y37" s="1072">
        <v>0</v>
      </c>
      <c r="Z37" s="1073">
        <v>21529107</v>
      </c>
    </row>
    <row r="38" spans="4:26" ht="17.600000000000001" outlineLevel="1">
      <c r="D38" s="1020" t="s">
        <v>300</v>
      </c>
      <c r="E38" s="1178">
        <v>254148206</v>
      </c>
      <c r="F38" s="1179">
        <v>248615903</v>
      </c>
      <c r="G38" s="55" t="b">
        <f t="shared" si="2"/>
        <v>1</v>
      </c>
      <c r="L38" s="914" t="s">
        <v>302</v>
      </c>
      <c r="M38" s="916">
        <f>SUM(M26:M37)</f>
        <v>0</v>
      </c>
      <c r="Q38" s="55" t="s">
        <v>1949</v>
      </c>
      <c r="R38" s="55">
        <v>0</v>
      </c>
      <c r="U38" s="1071" t="s">
        <v>2370</v>
      </c>
      <c r="V38" s="1072">
        <v>1380000</v>
      </c>
      <c r="W38" s="1072">
        <v>0</v>
      </c>
      <c r="X38" s="1072"/>
      <c r="Y38" s="1072">
        <v>0</v>
      </c>
      <c r="Z38" s="1073">
        <v>1380000</v>
      </c>
    </row>
    <row r="39" spans="4:26" ht="17.600000000000001" outlineLevel="1">
      <c r="D39" s="1020" t="s">
        <v>301</v>
      </c>
      <c r="E39" s="1178">
        <v>78450096</v>
      </c>
      <c r="F39" s="1179">
        <v>63241920</v>
      </c>
      <c r="G39" s="55" t="b">
        <f t="shared" si="2"/>
        <v>1</v>
      </c>
      <c r="L39" s="265"/>
      <c r="M39" s="265"/>
      <c r="Q39" s="55" t="s">
        <v>1950</v>
      </c>
      <c r="R39" s="55">
        <v>10000</v>
      </c>
      <c r="U39" s="1075" t="s">
        <v>256</v>
      </c>
      <c r="V39" s="1073">
        <v>5378351282</v>
      </c>
      <c r="W39" s="1073">
        <v>2166152937</v>
      </c>
      <c r="X39" s="1076">
        <v>364625079</v>
      </c>
      <c r="Y39" s="1077"/>
      <c r="Z39" s="1073">
        <v>7909129298</v>
      </c>
    </row>
    <row r="40" spans="4:26" outlineLevel="1">
      <c r="D40" s="1020" t="s">
        <v>22</v>
      </c>
      <c r="E40" s="1178">
        <v>373207730</v>
      </c>
      <c r="F40" s="1179">
        <v>263614484</v>
      </c>
      <c r="G40" s="55" t="b">
        <f t="shared" si="2"/>
        <v>1</v>
      </c>
      <c r="L40" s="265"/>
      <c r="M40" s="265"/>
      <c r="Q40" s="55" t="s">
        <v>1951</v>
      </c>
      <c r="R40" s="55">
        <v>69061</v>
      </c>
    </row>
    <row r="41" spans="4:26" outlineLevel="1">
      <c r="D41" s="1020" t="s">
        <v>206</v>
      </c>
      <c r="E41" s="1178">
        <v>75270657</v>
      </c>
      <c r="F41" s="1179">
        <v>49698628</v>
      </c>
      <c r="G41" s="55" t="b">
        <f t="shared" si="2"/>
        <v>1</v>
      </c>
      <c r="Q41" s="55" t="s">
        <v>1952</v>
      </c>
      <c r="R41" s="55">
        <v>90000</v>
      </c>
    </row>
    <row r="42" spans="4:26" outlineLevel="1">
      <c r="D42" s="1020" t="s">
        <v>19</v>
      </c>
      <c r="E42" s="1178">
        <v>26168995</v>
      </c>
      <c r="F42" s="1179">
        <v>25294161</v>
      </c>
      <c r="G42" s="55" t="b">
        <f t="shared" si="2"/>
        <v>1</v>
      </c>
      <c r="Q42" s="55" t="s">
        <v>1953</v>
      </c>
      <c r="R42" s="55">
        <v>61000</v>
      </c>
    </row>
    <row r="43" spans="4:26" outlineLevel="1">
      <c r="D43" s="1020" t="s">
        <v>23</v>
      </c>
      <c r="E43" s="1178">
        <v>867070570</v>
      </c>
      <c r="F43" s="1179">
        <v>377711059</v>
      </c>
      <c r="G43" s="55" t="b">
        <f t="shared" si="2"/>
        <v>1</v>
      </c>
      <c r="Q43" s="55" t="s">
        <v>1954</v>
      </c>
      <c r="R43" s="55">
        <v>-688230</v>
      </c>
    </row>
    <row r="44" spans="4:26" outlineLevel="1">
      <c r="D44" s="1020" t="s">
        <v>295</v>
      </c>
      <c r="E44" s="1178">
        <v>244665703</v>
      </c>
      <c r="F44" s="1179">
        <v>206752052</v>
      </c>
      <c r="G44" s="55" t="b">
        <f t="shared" si="2"/>
        <v>1</v>
      </c>
      <c r="Q44" s="55" t="s">
        <v>1955</v>
      </c>
      <c r="R44" s="55">
        <v>26925752</v>
      </c>
    </row>
    <row r="45" spans="4:26" outlineLevel="1">
      <c r="D45" s="1181" t="s">
        <v>302</v>
      </c>
      <c r="E45" s="1182">
        <v>4361121140</v>
      </c>
      <c r="F45" s="1183">
        <v>3997692528</v>
      </c>
      <c r="G45" s="55" t="b">
        <f t="shared" si="2"/>
        <v>1</v>
      </c>
      <c r="Q45" s="55" t="s">
        <v>1956</v>
      </c>
      <c r="R45" s="55">
        <v>137209749</v>
      </c>
    </row>
    <row r="46" spans="4:26" outlineLevel="1">
      <c r="Q46" s="55" t="s">
        <v>1957</v>
      </c>
      <c r="R46" s="55">
        <v>1349400</v>
      </c>
    </row>
    <row r="47" spans="4:26" outlineLevel="1">
      <c r="R47" s="55" t="b">
        <f>SUM(R25:R46)=PL!E43</f>
        <v>1</v>
      </c>
    </row>
    <row r="48" spans="4:26" outlineLevel="1"/>
    <row r="49" outlineLevel="1"/>
  </sheetData>
  <mergeCells count="1">
    <mergeCell ref="D5:D6"/>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4257E40-17CD-40F6-B8BB-C13147023197}">
            <xm:f>NOT(ISERROR(SEARCH("FALSE",A1)))</xm:f>
            <xm:f>"FALSE"</xm:f>
            <x14:dxf>
              <fill>
                <patternFill>
                  <bgColor theme="5"/>
                </patternFill>
              </fill>
            </x14:dxf>
          </x14:cfRule>
          <x14:cfRule type="containsText" priority="2" operator="containsText" id="{D94A0A5F-6ECB-42D9-AFAC-4D39689E69BD}">
            <xm:f>NOT(ISERROR(SEARCH("TRUE",A1)))</xm:f>
            <xm:f>"TRUE"</xm:f>
            <x14:dxf>
              <fill>
                <patternFill>
                  <bgColor theme="9" tint="0.79998168889431442"/>
                </patternFill>
              </fill>
            </x14:dxf>
          </x14:cfRule>
          <xm:sqref>A1:XFD3 A4:C4 F4:XFD4 A5:E5 H5:XFD8 F5:G29 A6:C6 E6 A7:E31 H9:T23 U9:XFD1048576 H23:H25 N23:O40 J24:P24 R24 S24:T48 H25:K29 P25:R48 F30:K31 G32:K33 A32:C45 H34:K38 G34:G45 H39:M40 H41:K45 L41:O48 A46:K46 F46:K48 A47:E48 Q47:S48 A49:T1048576</xm:sqref>
        </x14:conditionalFormatting>
      </x14:conditionalFormatting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6"/>
  <dimension ref="B2:H10"/>
  <sheetViews>
    <sheetView showGridLines="0" workbookViewId="0">
      <selection activeCell="G8" sqref="G8:G10"/>
    </sheetView>
  </sheetViews>
  <sheetFormatPr defaultColWidth="8.5703125" defaultRowHeight="15"/>
  <cols>
    <col min="1" max="2" width="1.85546875" style="55" customWidth="1"/>
    <col min="3" max="3" width="1.5" style="55" customWidth="1"/>
    <col min="4" max="4" width="27.85546875" style="55" customWidth="1"/>
    <col min="5" max="5" width="12.5" style="55" bestFit="1" customWidth="1"/>
    <col min="6" max="6" width="16.140625" style="55" bestFit="1" customWidth="1"/>
    <col min="7" max="7" width="17.5703125" style="55" customWidth="1"/>
    <col min="8" max="8" width="13.92578125" style="55" customWidth="1"/>
    <col min="9" max="16384" width="8.5703125" style="55"/>
  </cols>
  <sheetData>
    <row r="2" spans="2:8">
      <c r="B2" s="54" t="s">
        <v>1818</v>
      </c>
    </row>
    <row r="4" spans="2:8">
      <c r="D4" s="62"/>
      <c r="E4" s="63"/>
      <c r="F4" s="63"/>
      <c r="G4" s="63"/>
      <c r="H4" s="63"/>
    </row>
    <row r="5" spans="2:8">
      <c r="D5" s="64"/>
      <c r="E5" s="63"/>
      <c r="F5" s="63"/>
      <c r="G5" s="63"/>
      <c r="H5" s="64" t="s">
        <v>236</v>
      </c>
    </row>
    <row r="6" spans="2:8">
      <c r="D6" s="1311" t="s">
        <v>1819</v>
      </c>
      <c r="E6" s="1313" t="s">
        <v>1820</v>
      </c>
      <c r="F6" s="1313" t="s">
        <v>1821</v>
      </c>
      <c r="G6" s="222" t="s">
        <v>1822</v>
      </c>
      <c r="H6" s="222"/>
    </row>
    <row r="7" spans="2:8">
      <c r="D7" s="1312"/>
      <c r="E7" s="1277"/>
      <c r="F7" s="1277"/>
      <c r="G7" s="135" t="str">
        <f>'29'!E5</f>
        <v>당반기</v>
      </c>
      <c r="H7" s="135" t="s">
        <v>1823</v>
      </c>
    </row>
    <row r="8" spans="2:8" ht="30">
      <c r="B8" s="54"/>
      <c r="D8" s="67" t="s">
        <v>1824</v>
      </c>
      <c r="E8" s="1314"/>
      <c r="F8" s="926" t="s">
        <v>1826</v>
      </c>
      <c r="G8" s="575">
        <v>101559730</v>
      </c>
      <c r="H8" s="143">
        <v>240771863</v>
      </c>
    </row>
    <row r="9" spans="2:8" ht="30">
      <c r="D9" s="67" t="s">
        <v>1825</v>
      </c>
      <c r="E9" s="1315"/>
      <c r="F9" s="926" t="s">
        <v>1827</v>
      </c>
      <c r="G9" s="575">
        <v>66163116</v>
      </c>
      <c r="H9" s="143">
        <v>232904533</v>
      </c>
    </row>
    <row r="10" spans="2:8">
      <c r="D10" s="1316" t="s">
        <v>256</v>
      </c>
      <c r="E10" s="1317"/>
      <c r="F10" s="1318"/>
      <c r="G10" s="72">
        <f>SUM(G8:G9)</f>
        <v>167722846</v>
      </c>
      <c r="H10" s="72">
        <f>SUM(H8:H9)</f>
        <v>473676396</v>
      </c>
    </row>
  </sheetData>
  <mergeCells count="5">
    <mergeCell ref="D6:D7"/>
    <mergeCell ref="E6:E7"/>
    <mergeCell ref="F6:F7"/>
    <mergeCell ref="E8:E9"/>
    <mergeCell ref="D10:F10"/>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3320223-B858-442A-8E58-EAF58A084F09}">
            <xm:f>NOT(ISERROR(SEARCH("FALSE",D4)))</xm:f>
            <xm:f>"FALSE"</xm:f>
            <x14:dxf>
              <fill>
                <patternFill>
                  <bgColor theme="5"/>
                </patternFill>
              </fill>
            </x14:dxf>
          </x14:cfRule>
          <x14:cfRule type="containsText" priority="2" operator="containsText" id="{72E41AC3-D443-4024-9EA8-184E052C13D6}">
            <xm:f>NOT(ISERROR(SEARCH("TRUE",D4)))</xm:f>
            <xm:f>"TRUE"</xm:f>
            <x14:dxf>
              <fill>
                <patternFill>
                  <bgColor theme="9" tint="0.79998168889431442"/>
                </patternFill>
              </fill>
            </x14:dxf>
          </x14:cfRule>
          <xm:sqref>D4:H6</xm:sqref>
        </x14:conditionalFormatting>
        <x14:conditionalFormatting xmlns:xm="http://schemas.microsoft.com/office/excel/2006/main">
          <x14:cfRule type="containsText" priority="7" operator="containsText" id="{21D0B861-0306-45AA-968D-29CCC156E17B}">
            <xm:f>NOT(ISERROR(SEARCH("FALSE",D8)))</xm:f>
            <xm:f>"FALSE"</xm:f>
            <x14:dxf>
              <fill>
                <patternFill>
                  <bgColor theme="5"/>
                </patternFill>
              </fill>
            </x14:dxf>
          </x14:cfRule>
          <x14:cfRule type="containsText" priority="8" operator="containsText" id="{E9098B39-140F-423F-B404-CA433796BBC3}">
            <xm:f>NOT(ISERROR(SEARCH("TRUE",D8)))</xm:f>
            <xm:f>"TRUE"</xm:f>
            <x14:dxf>
              <fill>
                <patternFill>
                  <bgColor theme="9" tint="0.79998168889431442"/>
                </patternFill>
              </fill>
            </x14:dxf>
          </x14:cfRule>
          <xm:sqref>F8:H9 D8:D10 G10:H10</xm:sqref>
        </x14:conditionalFormatting>
        <x14:conditionalFormatting xmlns:xm="http://schemas.microsoft.com/office/excel/2006/main">
          <x14:cfRule type="containsText" priority="3" operator="containsText" id="{40EC1C09-A109-41B9-9595-AF98D90E84B0}">
            <xm:f>NOT(ISERROR(SEARCH("FALSE",G7)))</xm:f>
            <xm:f>"FALSE"</xm:f>
            <x14:dxf>
              <fill>
                <patternFill>
                  <bgColor theme="5"/>
                </patternFill>
              </fill>
            </x14:dxf>
          </x14:cfRule>
          <x14:cfRule type="containsText" priority="4" operator="containsText" id="{E00A8C95-A769-4759-B3F5-8E1D967BCDD4}">
            <xm:f>NOT(ISERROR(SEARCH("TRUE",G7)))</xm:f>
            <xm:f>"TRUE"</xm:f>
            <x14:dxf>
              <fill>
                <patternFill>
                  <bgColor theme="9" tint="0.79998168889431442"/>
                </patternFill>
              </fill>
            </x14:dxf>
          </x14:cfRule>
          <xm:sqref>G7:H7</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7"/>
  <dimension ref="B2:K26"/>
  <sheetViews>
    <sheetView showGridLines="0" zoomScale="85" zoomScaleNormal="85" workbookViewId="0">
      <selection activeCell="F9" sqref="E9:F9"/>
    </sheetView>
  </sheetViews>
  <sheetFormatPr defaultColWidth="8.5703125" defaultRowHeight="15"/>
  <cols>
    <col min="1" max="2" width="1.85546875" style="55" customWidth="1"/>
    <col min="3" max="3" width="1.5" style="55" customWidth="1"/>
    <col min="4" max="4" width="32.0703125" style="55" customWidth="1"/>
    <col min="5" max="9" width="18.5703125" style="55" customWidth="1"/>
    <col min="10" max="16384" width="8.5703125" style="55"/>
  </cols>
  <sheetData>
    <row r="2" spans="2:11">
      <c r="B2" s="54" t="s">
        <v>1813</v>
      </c>
    </row>
    <row r="4" spans="2:11">
      <c r="D4" s="152" t="s">
        <v>324</v>
      </c>
      <c r="E4" s="152"/>
      <c r="F4" s="63"/>
      <c r="G4" s="63"/>
      <c r="H4" s="63"/>
    </row>
    <row r="5" spans="2:11">
      <c r="F5" s="63"/>
      <c r="G5" s="63"/>
      <c r="H5" s="64" t="s">
        <v>236</v>
      </c>
    </row>
    <row r="6" spans="2:11">
      <c r="D6" s="1311" t="s">
        <v>237</v>
      </c>
      <c r="E6" s="222" t="str">
        <f>'27'!E7</f>
        <v>당반기</v>
      </c>
      <c r="F6" s="307"/>
      <c r="G6" s="222" t="str">
        <f>'27'!G7</f>
        <v>전반기</v>
      </c>
      <c r="H6" s="222"/>
      <c r="K6" s="55" t="s">
        <v>2334</v>
      </c>
    </row>
    <row r="7" spans="2:11">
      <c r="D7" s="1312"/>
      <c r="E7" s="135" t="s">
        <v>1052</v>
      </c>
      <c r="F7" s="308" t="s">
        <v>1054</v>
      </c>
      <c r="G7" s="135" t="s">
        <v>1051</v>
      </c>
      <c r="H7" s="135" t="s">
        <v>1053</v>
      </c>
    </row>
    <row r="8" spans="2:11">
      <c r="C8" s="721" t="s">
        <v>1729</v>
      </c>
      <c r="D8" s="136" t="s">
        <v>1581</v>
      </c>
      <c r="E8" s="127">
        <f>F8-K8</f>
        <v>1500000</v>
      </c>
      <c r="F8" s="127">
        <f>VLOOKUP($C8,정산표!$B$113:$M$202,7,0)</f>
        <v>3000000</v>
      </c>
      <c r="G8" s="127">
        <v>1500000</v>
      </c>
      <c r="H8" s="127">
        <f>VLOOKUP($C8,정산표!$B$113:$M$202,12,0)</f>
        <v>3000000</v>
      </c>
      <c r="J8" s="55" t="s">
        <v>1581</v>
      </c>
      <c r="K8" s="55">
        <v>1500000</v>
      </c>
    </row>
    <row r="9" spans="2:11">
      <c r="C9" s="55" t="s">
        <v>899</v>
      </c>
      <c r="D9" s="136" t="s">
        <v>24</v>
      </c>
      <c r="E9" s="127">
        <f t="shared" ref="E9:E10" si="0">F9-K9</f>
        <v>182095</v>
      </c>
      <c r="F9" s="127">
        <f>VLOOKUP($C9,정산표!$B$113:$M$202,7,0)</f>
        <v>193864</v>
      </c>
      <c r="G9" s="127">
        <v>60214</v>
      </c>
      <c r="H9" s="127">
        <f>VLOOKUP($C9,정산표!$B$113:$M$202,12,0)</f>
        <v>3903022</v>
      </c>
      <c r="J9" s="55" t="s">
        <v>24</v>
      </c>
      <c r="K9" s="55">
        <v>11769</v>
      </c>
    </row>
    <row r="10" spans="2:11">
      <c r="C10" s="55" t="s">
        <v>1730</v>
      </c>
      <c r="D10" s="136" t="s">
        <v>1490</v>
      </c>
      <c r="E10" s="127">
        <f t="shared" si="0"/>
        <v>452135</v>
      </c>
      <c r="F10" s="127">
        <f>VLOOKUP($C10,정산표!$B$113:$M$202,7,0)</f>
        <v>1202135</v>
      </c>
      <c r="G10" s="127">
        <v>255000</v>
      </c>
      <c r="H10" s="127">
        <f>VLOOKUP($C10,정산표!$B$113:$M$202,12,0)</f>
        <v>1054000</v>
      </c>
      <c r="J10" s="55" t="s">
        <v>1490</v>
      </c>
      <c r="K10" s="55">
        <v>750000</v>
      </c>
    </row>
    <row r="11" spans="2:11">
      <c r="D11" s="314" t="s">
        <v>256</v>
      </c>
      <c r="E11" s="127">
        <f>SUM(E8:E10)</f>
        <v>2134230</v>
      </c>
      <c r="F11" s="127">
        <f>SUM(F8:F10)</f>
        <v>4395999</v>
      </c>
      <c r="G11" s="127">
        <f>SUM(G8:G10)</f>
        <v>1815214</v>
      </c>
      <c r="H11" s="127">
        <f>SUM(H8:H10)</f>
        <v>7957022</v>
      </c>
    </row>
    <row r="12" spans="2:11">
      <c r="D12" s="199"/>
      <c r="E12" s="63" t="b">
        <f>E11=Dart_PL!C10</f>
        <v>1</v>
      </c>
      <c r="F12" s="63" t="b">
        <f>F11=Dart_PL!D10</f>
        <v>1</v>
      </c>
      <c r="G12" s="63" t="b">
        <f>G11=Dart_PL!E10</f>
        <v>1</v>
      </c>
      <c r="H12" s="63" t="b">
        <f>H11=Dart_PL!F10</f>
        <v>1</v>
      </c>
    </row>
    <row r="13" spans="2:11">
      <c r="D13" s="199"/>
      <c r="E13" s="199"/>
      <c r="F13" s="63"/>
      <c r="G13" s="63"/>
      <c r="H13" s="63"/>
    </row>
    <row r="14" spans="2:11">
      <c r="D14" s="142" t="s">
        <v>1243</v>
      </c>
      <c r="E14" s="142"/>
      <c r="F14" s="63"/>
      <c r="G14" s="63"/>
      <c r="H14" s="63"/>
    </row>
    <row r="15" spans="2:11">
      <c r="F15" s="63"/>
      <c r="G15" s="63"/>
      <c r="H15" s="64" t="s">
        <v>236</v>
      </c>
    </row>
    <row r="16" spans="2:11">
      <c r="D16" s="1311" t="s">
        <v>237</v>
      </c>
      <c r="E16" s="222" t="str">
        <f>E6</f>
        <v>당반기</v>
      </c>
      <c r="F16" s="307"/>
      <c r="G16" s="222" t="str">
        <f>G6</f>
        <v>전반기</v>
      </c>
      <c r="H16" s="222"/>
    </row>
    <row r="17" spans="3:11">
      <c r="D17" s="1312"/>
      <c r="E17" s="135" t="s">
        <v>1052</v>
      </c>
      <c r="F17" s="308" t="s">
        <v>1054</v>
      </c>
      <c r="G17" s="135" t="s">
        <v>1051</v>
      </c>
      <c r="H17" s="135" t="s">
        <v>1053</v>
      </c>
      <c r="K17" s="55" t="s">
        <v>2334</v>
      </c>
    </row>
    <row r="18" spans="3:11">
      <c r="C18" s="55" t="s">
        <v>1656</v>
      </c>
      <c r="D18" s="136" t="s">
        <v>1662</v>
      </c>
      <c r="E18" s="127">
        <f>F18-K18</f>
        <v>0</v>
      </c>
      <c r="F18" s="127">
        <f>VLOOKUP($C18,정산표!$B$113:$M$202,7,0)</f>
        <v>0</v>
      </c>
      <c r="G18" s="127">
        <v>0</v>
      </c>
      <c r="H18" s="127">
        <f>VLOOKUP($C18,정산표!$B$113:$M$202,12,0)</f>
        <v>0</v>
      </c>
      <c r="J18" s="55" t="s">
        <v>2335</v>
      </c>
      <c r="K18" s="55">
        <v>0</v>
      </c>
    </row>
    <row r="19" spans="3:11">
      <c r="C19" s="55" t="s">
        <v>1438</v>
      </c>
      <c r="D19" s="136" t="s">
        <v>1546</v>
      </c>
      <c r="E19" s="127">
        <f t="shared" ref="E19:E24" si="1">F19-K19</f>
        <v>0</v>
      </c>
      <c r="F19" s="127">
        <f>VLOOKUP($C19,정산표!$B$113:$M$202,7,0)</f>
        <v>0</v>
      </c>
      <c r="G19" s="127">
        <v>0</v>
      </c>
      <c r="H19" s="127">
        <f>VLOOKUP($C19,정산표!$B$113:$M$202,12,0)</f>
        <v>0</v>
      </c>
      <c r="J19" s="55" t="s">
        <v>1436</v>
      </c>
      <c r="K19" s="55">
        <v>0</v>
      </c>
    </row>
    <row r="20" spans="3:11">
      <c r="C20" s="55" t="s">
        <v>961</v>
      </c>
      <c r="D20" s="136" t="s">
        <v>1245</v>
      </c>
      <c r="E20" s="127">
        <f t="shared" si="1"/>
        <v>4822402</v>
      </c>
      <c r="F20" s="127">
        <f>VLOOKUP($C20,정산표!$B$113:$M$202,7,0)</f>
        <v>4825402</v>
      </c>
      <c r="G20" s="127">
        <v>3098042</v>
      </c>
      <c r="H20" s="127">
        <f>VLOOKUP($C20,정산표!$B$113:$M$202,12,0)</f>
        <v>3098042</v>
      </c>
      <c r="J20" s="55" t="s">
        <v>1450</v>
      </c>
      <c r="K20" s="55">
        <v>3000</v>
      </c>
    </row>
    <row r="21" spans="3:11">
      <c r="C21" s="55" t="s">
        <v>901</v>
      </c>
      <c r="D21" s="574" t="s">
        <v>1244</v>
      </c>
      <c r="E21" s="127">
        <f t="shared" si="1"/>
        <v>0</v>
      </c>
      <c r="F21" s="127">
        <f>VLOOKUP($C21,정산표!$B$113:$M$202,7,0)</f>
        <v>0</v>
      </c>
      <c r="G21" s="127">
        <v>0</v>
      </c>
      <c r="H21" s="127">
        <f>VLOOKUP($C21,정산표!$B$113:$M$202,12,0)</f>
        <v>0</v>
      </c>
      <c r="J21" s="55" t="s">
        <v>1244</v>
      </c>
      <c r="K21" s="55">
        <v>0</v>
      </c>
    </row>
    <row r="22" spans="3:11">
      <c r="C22" s="55" t="s">
        <v>1349</v>
      </c>
      <c r="D22" s="136" t="s">
        <v>1529</v>
      </c>
      <c r="E22" s="127">
        <f t="shared" si="1"/>
        <v>0</v>
      </c>
      <c r="F22" s="127">
        <f>VLOOKUP($C22,정산표!$B$113:$M$202,7,0)</f>
        <v>0</v>
      </c>
      <c r="G22" s="127">
        <v>0</v>
      </c>
      <c r="H22" s="127">
        <f>VLOOKUP($C22,정산표!$B$113:$M$202,12,0)</f>
        <v>0</v>
      </c>
      <c r="J22" s="55" t="s">
        <v>2336</v>
      </c>
      <c r="K22" s="55">
        <v>0</v>
      </c>
    </row>
    <row r="23" spans="3:11">
      <c r="C23" s="55" t="s">
        <v>900</v>
      </c>
      <c r="D23" s="574" t="s">
        <v>1530</v>
      </c>
      <c r="E23" s="127">
        <f t="shared" si="1"/>
        <v>0</v>
      </c>
      <c r="F23" s="127">
        <f>VLOOKUP($C23,정산표!$B$113:$M$202,7,0)</f>
        <v>0</v>
      </c>
      <c r="G23" s="127">
        <v>0</v>
      </c>
      <c r="H23" s="127">
        <f>VLOOKUP($C23,정산표!$B$113:$M$202,12,0)</f>
        <v>0</v>
      </c>
      <c r="J23" s="55" t="s">
        <v>963</v>
      </c>
      <c r="K23" s="55">
        <v>0</v>
      </c>
    </row>
    <row r="24" spans="3:11">
      <c r="C24" s="55" t="s">
        <v>902</v>
      </c>
      <c r="D24" s="136" t="s">
        <v>26</v>
      </c>
      <c r="E24" s="127">
        <f t="shared" si="1"/>
        <v>1</v>
      </c>
      <c r="F24" s="127">
        <f>VLOOKUP($C24,정산표!$B$113:$M$202,7,0)</f>
        <v>210</v>
      </c>
      <c r="G24" s="127">
        <v>20258</v>
      </c>
      <c r="H24" s="127">
        <f>VLOOKUP($C24,정산표!$B$113:$M$202,12,0)</f>
        <v>59964</v>
      </c>
      <c r="J24" s="55" t="s">
        <v>26</v>
      </c>
      <c r="K24" s="55">
        <v>209</v>
      </c>
    </row>
    <row r="25" spans="3:11">
      <c r="D25" s="314" t="s">
        <v>256</v>
      </c>
      <c r="E25" s="127">
        <f>SUM(E18:E24)</f>
        <v>4822403</v>
      </c>
      <c r="F25" s="127">
        <f>SUM(F18:F24)</f>
        <v>4825612</v>
      </c>
      <c r="G25" s="127">
        <f>SUM(G18:G24)</f>
        <v>3118300</v>
      </c>
      <c r="H25" s="127">
        <f>SUM(H18:H24)</f>
        <v>3158006</v>
      </c>
    </row>
    <row r="26" spans="3:11">
      <c r="D26" s="63"/>
      <c r="E26" s="63" t="b">
        <f>E25=Dart_PL!C11</f>
        <v>1</v>
      </c>
      <c r="F26" s="63" t="b">
        <f>F25=Dart_PL!D11</f>
        <v>1</v>
      </c>
      <c r="G26" s="63" t="b">
        <f>G25=Dart_PL!E11</f>
        <v>1</v>
      </c>
      <c r="H26" s="63" t="b">
        <f>H25=Dart_PL!F11</f>
        <v>1</v>
      </c>
    </row>
  </sheetData>
  <mergeCells count="2">
    <mergeCell ref="D6:D7"/>
    <mergeCell ref="D16:D17"/>
  </mergeCells>
  <phoneticPr fontId="19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3" operator="containsText" id="{3095171A-2E09-44A3-A37B-1C43638CDC54}">
            <xm:f>NOT(ISERROR(SEARCH("FALSE",A1)))</xm:f>
            <xm:f>"FALSE"</xm:f>
            <x14:dxf>
              <fill>
                <patternFill>
                  <bgColor theme="5"/>
                </patternFill>
              </fill>
            </x14:dxf>
          </x14:cfRule>
          <x14:cfRule type="containsText" priority="14" operator="containsText" id="{A58580A2-756B-4851-9E51-539C94C64F99}">
            <xm:f>NOT(ISERROR(SEARCH("TRUE",A1)))</xm:f>
            <xm:f>"TRUE"</xm:f>
            <x14:dxf>
              <fill>
                <patternFill>
                  <bgColor theme="9" tint="0.79998168889431442"/>
                </patternFill>
              </fill>
            </x14:dxf>
          </x14:cfRule>
          <xm:sqref>A1:I4 J1:XFD20 A5:C5 F5:I5 A6:I6 A7:C7 B8:I14 A8:A1048576 F15:I15 B15:C18 D16 F21:XFD24 B25:XFD1048576</xm:sqref>
        </x14:conditionalFormatting>
        <x14:conditionalFormatting xmlns:xm="http://schemas.microsoft.com/office/excel/2006/main">
          <x14:cfRule type="containsText" priority="1" operator="containsText" id="{22DA0ADB-FBC1-4EF9-AFFC-4AC623230F27}">
            <xm:f>NOT(ISERROR(SEARCH("FALSE",B18)))</xm:f>
            <xm:f>"FALSE"</xm:f>
            <x14:dxf>
              <fill>
                <patternFill>
                  <bgColor theme="5"/>
                </patternFill>
              </fill>
            </x14:dxf>
          </x14:cfRule>
          <x14:cfRule type="containsText" priority="2" operator="containsText" id="{30770D1A-A34A-4298-A8D7-AE84EAF93AB4}">
            <xm:f>NOT(ISERROR(SEARCH("TRUE",B18)))</xm:f>
            <xm:f>"TRUE"</xm:f>
            <x14:dxf>
              <fill>
                <patternFill>
                  <bgColor theme="9" tint="0.79998168889431442"/>
                </patternFill>
              </fill>
            </x14:dxf>
          </x14:cfRule>
          <xm:sqref>D18:I18 F19:I20 B19:E24</xm:sqref>
        </x14:conditionalFormatting>
        <x14:conditionalFormatting xmlns:xm="http://schemas.microsoft.com/office/excel/2006/main">
          <x14:cfRule type="containsText" priority="11" operator="containsText" id="{FA8579DA-3CB2-4478-80B8-E7D9F55E4E31}">
            <xm:f>NOT(ISERROR(SEARCH("FALSE",E7)))</xm:f>
            <xm:f>"FALSE"</xm:f>
            <x14:dxf>
              <fill>
                <patternFill>
                  <bgColor theme="5"/>
                </patternFill>
              </fill>
            </x14:dxf>
          </x14:cfRule>
          <x14:cfRule type="containsText" priority="12" operator="containsText" id="{801FEF89-7833-4C41-BCA4-3F964CDF004F}">
            <xm:f>NOT(ISERROR(SEARCH("TRUE",E7)))</xm:f>
            <xm:f>"TRUE"</xm:f>
            <x14:dxf>
              <fill>
                <patternFill>
                  <bgColor theme="9" tint="0.79998168889431442"/>
                </patternFill>
              </fill>
            </x14:dxf>
          </x14:cfRule>
          <xm:sqref>E7:I7</xm:sqref>
        </x14:conditionalFormatting>
        <x14:conditionalFormatting xmlns:xm="http://schemas.microsoft.com/office/excel/2006/main">
          <x14:cfRule type="containsText" priority="7" operator="containsText" id="{D61FAED9-A785-45FB-B929-75418773856E}">
            <xm:f>NOT(ISERROR(SEARCH("FALSE",E16)))</xm:f>
            <xm:f>"FALSE"</xm:f>
            <x14:dxf>
              <fill>
                <patternFill>
                  <bgColor theme="5"/>
                </patternFill>
              </fill>
            </x14:dxf>
          </x14:cfRule>
          <x14:cfRule type="containsText" priority="8" operator="containsText" id="{B4BC2EAE-2354-4FAB-885E-92AE9DEC4C81}">
            <xm:f>NOT(ISERROR(SEARCH("TRUE",E16)))</xm:f>
            <xm:f>"TRUE"</xm:f>
            <x14:dxf>
              <fill>
                <patternFill>
                  <bgColor theme="9" tint="0.79998168889431442"/>
                </patternFill>
              </fill>
            </x14:dxf>
          </x14:cfRule>
          <xm:sqref>E16:I17</xm:sqref>
        </x14:conditionalFormatting>
      </x14:conditionalFormatting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8"/>
  <dimension ref="B2:K22"/>
  <sheetViews>
    <sheetView showGridLines="0" zoomScale="85" zoomScaleNormal="85" workbookViewId="0">
      <selection activeCell="E19" sqref="E19:F21"/>
    </sheetView>
  </sheetViews>
  <sheetFormatPr defaultColWidth="8.5703125" defaultRowHeight="15"/>
  <cols>
    <col min="1" max="2" width="1.85546875" style="55" customWidth="1"/>
    <col min="3" max="3" width="1.5" style="55" customWidth="1"/>
    <col min="4" max="4" width="32.0703125" style="55" customWidth="1"/>
    <col min="5" max="9" width="18.5703125" style="55" customWidth="1"/>
    <col min="10" max="10" width="8.5703125" style="55"/>
    <col min="11" max="11" width="9.28515625" style="55" bestFit="1" customWidth="1"/>
    <col min="12" max="16384" width="8.5703125" style="55"/>
  </cols>
  <sheetData>
    <row r="2" spans="2:11">
      <c r="B2" s="54" t="s">
        <v>1814</v>
      </c>
    </row>
    <row r="4" spans="2:11">
      <c r="D4" s="62" t="s">
        <v>325</v>
      </c>
      <c r="E4" s="63"/>
      <c r="F4" s="63"/>
      <c r="G4" s="63"/>
      <c r="H4" s="63"/>
    </row>
    <row r="5" spans="2:11">
      <c r="D5" s="64"/>
      <c r="E5" s="63"/>
      <c r="F5" s="63"/>
      <c r="G5" s="63"/>
      <c r="H5" s="64" t="s">
        <v>236</v>
      </c>
    </row>
    <row r="6" spans="2:11">
      <c r="D6" s="1311" t="s">
        <v>237</v>
      </c>
      <c r="E6" s="222" t="str">
        <f>'29'!E5</f>
        <v>당반기</v>
      </c>
      <c r="F6" s="222"/>
      <c r="G6" s="222" t="str">
        <f>'31'!G6</f>
        <v>전반기</v>
      </c>
      <c r="H6" s="222"/>
      <c r="K6" s="55" t="s">
        <v>2334</v>
      </c>
    </row>
    <row r="7" spans="2:11">
      <c r="D7" s="1312"/>
      <c r="E7" s="135" t="s">
        <v>1052</v>
      </c>
      <c r="F7" s="308" t="s">
        <v>1054</v>
      </c>
      <c r="G7" s="135" t="s">
        <v>1051</v>
      </c>
      <c r="H7" s="135" t="s">
        <v>1053</v>
      </c>
    </row>
    <row r="8" spans="2:11">
      <c r="D8" s="67" t="str">
        <f>PL!C76</f>
        <v>이자수익</v>
      </c>
      <c r="E8" s="68">
        <f>F8-K8</f>
        <v>10488686</v>
      </c>
      <c r="F8" s="575">
        <f>PL!E76</f>
        <v>22098561</v>
      </c>
      <c r="G8" s="575">
        <v>15761421</v>
      </c>
      <c r="H8" s="143">
        <f>PL!F76</f>
        <v>28008260</v>
      </c>
      <c r="J8" s="55" t="s">
        <v>208</v>
      </c>
      <c r="K8" s="55">
        <v>11609875</v>
      </c>
    </row>
    <row r="9" spans="2:11">
      <c r="D9" s="67" t="str">
        <f>PL!C77</f>
        <v>외환차익</v>
      </c>
      <c r="E9" s="68">
        <f t="shared" ref="E9:E10" si="0">F9-K9</f>
        <v>60632306</v>
      </c>
      <c r="F9" s="575">
        <f>PL!E77</f>
        <v>109841433</v>
      </c>
      <c r="G9" s="575">
        <v>5352044</v>
      </c>
      <c r="H9" s="143">
        <f>PL!F77</f>
        <v>20481765</v>
      </c>
      <c r="J9" s="55" t="s">
        <v>112</v>
      </c>
      <c r="K9" s="55">
        <v>49209127</v>
      </c>
    </row>
    <row r="10" spans="2:11">
      <c r="D10" s="67" t="str">
        <f>PL!C78</f>
        <v>외화환산이익</v>
      </c>
      <c r="E10" s="68">
        <f t="shared" si="0"/>
        <v>-482310</v>
      </c>
      <c r="F10" s="575">
        <f>PL!E78</f>
        <v>37603839</v>
      </c>
      <c r="G10" s="575">
        <v>-13407964</v>
      </c>
      <c r="H10" s="143">
        <f>PL!F78</f>
        <v>3042</v>
      </c>
      <c r="J10" s="55" t="s">
        <v>113</v>
      </c>
      <c r="K10" s="55">
        <v>38086149</v>
      </c>
    </row>
    <row r="11" spans="2:11">
      <c r="D11" s="71" t="s">
        <v>256</v>
      </c>
      <c r="E11" s="72">
        <f>SUM(E8:E10)</f>
        <v>70638682</v>
      </c>
      <c r="F11" s="72">
        <f>SUM(F8:F10)</f>
        <v>169543833</v>
      </c>
      <c r="G11" s="72">
        <f>SUM(G8:G10)</f>
        <v>7705501</v>
      </c>
      <c r="H11" s="72">
        <f>SUM(H8:H10)</f>
        <v>48493067</v>
      </c>
    </row>
    <row r="12" spans="2:11">
      <c r="D12" s="125"/>
      <c r="E12" s="63" t="b">
        <f>E11=Dart_PL!C12</f>
        <v>1</v>
      </c>
      <c r="F12" s="63" t="b">
        <f>F11=Dart_PL!D12</f>
        <v>1</v>
      </c>
      <c r="G12" s="63" t="b">
        <f>G11=Dart_PL!E12</f>
        <v>1</v>
      </c>
      <c r="H12" s="63" t="b">
        <f>H11=Dart_PL!F12</f>
        <v>1</v>
      </c>
    </row>
    <row r="13" spans="2:11">
      <c r="D13" s="152" t="s">
        <v>326</v>
      </c>
      <c r="E13" s="63"/>
      <c r="F13" s="63"/>
      <c r="G13" s="63"/>
      <c r="H13" s="63"/>
    </row>
    <row r="14" spans="2:11">
      <c r="D14" s="64"/>
      <c r="E14" s="63"/>
      <c r="F14" s="63"/>
      <c r="G14" s="63"/>
      <c r="H14" s="64" t="s">
        <v>236</v>
      </c>
    </row>
    <row r="15" spans="2:11">
      <c r="D15" s="1311" t="s">
        <v>237</v>
      </c>
      <c r="E15" s="222" t="str">
        <f>E6</f>
        <v>당반기</v>
      </c>
      <c r="F15" s="222"/>
      <c r="G15" s="222" t="str">
        <f>G6</f>
        <v>전반기</v>
      </c>
      <c r="H15" s="222"/>
      <c r="K15" s="55" t="s">
        <v>2333</v>
      </c>
    </row>
    <row r="16" spans="2:11">
      <c r="D16" s="1312"/>
      <c r="E16" s="135" t="s">
        <v>1052</v>
      </c>
      <c r="F16" s="308" t="s">
        <v>1054</v>
      </c>
      <c r="G16" s="135" t="s">
        <v>1051</v>
      </c>
      <c r="H16" s="135" t="s">
        <v>1053</v>
      </c>
    </row>
    <row r="17" spans="4:11">
      <c r="D17" s="67" t="str">
        <f>PL!C80</f>
        <v>이자비용</v>
      </c>
      <c r="E17" s="68">
        <f>F17-K17</f>
        <v>48478888</v>
      </c>
      <c r="F17" s="68">
        <f>PL!E80</f>
        <v>98954951</v>
      </c>
      <c r="G17" s="575">
        <v>23593351</v>
      </c>
      <c r="H17" s="143">
        <f>PL!F80</f>
        <v>43244353</v>
      </c>
      <c r="J17" s="55" t="s">
        <v>25</v>
      </c>
      <c r="K17" s="55">
        <v>50476063</v>
      </c>
    </row>
    <row r="18" spans="4:11">
      <c r="D18" s="67" t="str">
        <f>PL!C81</f>
        <v>당기손익-공정가치측정금융자산평가손실</v>
      </c>
      <c r="E18" s="68">
        <f t="shared" ref="E18:E20" si="1">F18-K18</f>
        <v>0</v>
      </c>
      <c r="F18" s="68">
        <f>PL!E81</f>
        <v>0</v>
      </c>
      <c r="G18" s="575"/>
      <c r="H18" s="1067">
        <v>0</v>
      </c>
      <c r="J18" s="55" t="s">
        <v>1985</v>
      </c>
      <c r="K18" s="55">
        <v>0</v>
      </c>
    </row>
    <row r="19" spans="4:11">
      <c r="D19" s="67" t="str">
        <f>PL!C82</f>
        <v>외환차손</v>
      </c>
      <c r="E19" s="68">
        <f t="shared" si="1"/>
        <v>164376653</v>
      </c>
      <c r="F19" s="68">
        <f>PL!E82</f>
        <v>172194962</v>
      </c>
      <c r="G19" s="575">
        <v>29760653</v>
      </c>
      <c r="H19" s="143">
        <f>PL!F82</f>
        <v>40925617</v>
      </c>
      <c r="J19" s="55" t="s">
        <v>115</v>
      </c>
      <c r="K19" s="55">
        <v>7818309</v>
      </c>
    </row>
    <row r="20" spans="4:11">
      <c r="D20" s="67" t="str">
        <f>PL!C83</f>
        <v>외화환산손실</v>
      </c>
      <c r="E20" s="68">
        <f t="shared" si="1"/>
        <v>0</v>
      </c>
      <c r="F20" s="68">
        <f>PL!E83</f>
        <v>0</v>
      </c>
      <c r="G20" s="575">
        <v>56555941</v>
      </c>
      <c r="H20" s="143">
        <f>PL!F83</f>
        <v>57204705</v>
      </c>
      <c r="J20" s="55" t="s">
        <v>116</v>
      </c>
      <c r="K20" s="55">
        <v>0</v>
      </c>
    </row>
    <row r="21" spans="4:11">
      <c r="D21" s="71" t="s">
        <v>256</v>
      </c>
      <c r="E21" s="72">
        <f>SUM(E17:E20)</f>
        <v>212855541</v>
      </c>
      <c r="F21" s="72">
        <f>SUM(F17:F20)</f>
        <v>271149913</v>
      </c>
      <c r="G21" s="72">
        <f>SUM(G17:G20)</f>
        <v>109909945</v>
      </c>
      <c r="H21" s="72">
        <f>SUM(H17:H20)</f>
        <v>141374675</v>
      </c>
    </row>
    <row r="22" spans="4:11">
      <c r="D22" s="63"/>
      <c r="E22" s="63" t="b">
        <f>E21=Dart_PL!C13</f>
        <v>1</v>
      </c>
      <c r="F22" s="63" t="b">
        <f>F21=Dart_PL!D13</f>
        <v>1</v>
      </c>
      <c r="G22" s="63" t="b">
        <f>G21=Dart_PL!E13</f>
        <v>1</v>
      </c>
      <c r="H22" s="63" t="b">
        <f>H21=Dart_PL!F13</f>
        <v>1</v>
      </c>
    </row>
  </sheetData>
  <mergeCells count="2">
    <mergeCell ref="D6:D7"/>
    <mergeCell ref="D15:D16"/>
  </mergeCells>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9E40F12-B1F7-4410-9DC7-D8CD15206246}">
            <xm:f>NOT(ISERROR(SEARCH("FALSE",A17)))</xm:f>
            <xm:f>"FALSE"</xm:f>
            <x14:dxf>
              <fill>
                <patternFill>
                  <bgColor theme="5"/>
                </patternFill>
              </fill>
            </x14:dxf>
          </x14:cfRule>
          <x14:cfRule type="containsText" priority="4" operator="containsText" id="{0A299AFA-3C4A-47FD-BB19-C242B1B1181E}">
            <xm:f>NOT(ISERROR(SEARCH("TRUE",A17)))</xm:f>
            <xm:f>"TRUE"</xm:f>
            <x14:dxf>
              <fill>
                <patternFill>
                  <bgColor theme="9" tint="0.79998168889431442"/>
                </patternFill>
              </fill>
            </x14:dxf>
          </x14:cfRule>
          <xm:sqref>A17:I21</xm:sqref>
        </x14:conditionalFormatting>
        <x14:conditionalFormatting xmlns:xm="http://schemas.microsoft.com/office/excel/2006/main">
          <x14:cfRule type="containsText" priority="17" operator="containsText" id="{5EA20D76-47F4-48A2-9DDC-8A215C787068}">
            <xm:f>NOT(ISERROR(SEARCH("FALSE",A1)))</xm:f>
            <xm:f>"FALSE"</xm:f>
            <x14:dxf>
              <fill>
                <patternFill>
                  <bgColor theme="5"/>
                </patternFill>
              </fill>
            </x14:dxf>
          </x14:cfRule>
          <x14:cfRule type="containsText" priority="18" operator="containsText" id="{F5EE8BE7-FC64-4AD3-AE9E-E1E339197B9E}">
            <xm:f>NOT(ISERROR(SEARCH("TRUE",A1)))</xm:f>
            <xm:f>"TRUE"</xm:f>
            <x14:dxf>
              <fill>
                <patternFill>
                  <bgColor theme="9" tint="0.79998168889431442"/>
                </patternFill>
              </fill>
            </x14:dxf>
          </x14:cfRule>
          <xm:sqref>A1:XFD5 A6:C7 J7:XFD11 A8:I11 A12:XFD14 A15:C16 J15:XFD21 A22:XFD1048576</xm:sqref>
        </x14:conditionalFormatting>
        <x14:conditionalFormatting xmlns:xm="http://schemas.microsoft.com/office/excel/2006/main">
          <x14:cfRule type="containsText" priority="13" operator="containsText" id="{243284F0-95BB-4020-80D3-78696E058684}">
            <xm:f>NOT(ISERROR(SEARCH("FALSE",D15)))</xm:f>
            <xm:f>"FALSE"</xm:f>
            <x14:dxf>
              <fill>
                <patternFill>
                  <bgColor theme="5"/>
                </patternFill>
              </fill>
            </x14:dxf>
          </x14:cfRule>
          <x14:cfRule type="containsText" priority="14" operator="containsText" id="{1CEE183C-CCF8-43F1-9C17-0C8E6A4D6C4F}">
            <xm:f>NOT(ISERROR(SEARCH("TRUE",D15)))</xm:f>
            <xm:f>"TRUE"</xm:f>
            <x14:dxf>
              <fill>
                <patternFill>
                  <bgColor theme="9" tint="0.79998168889431442"/>
                </patternFill>
              </fill>
            </x14:dxf>
          </x14:cfRule>
          <xm:sqref>D15:I15</xm:sqref>
        </x14:conditionalFormatting>
        <x14:conditionalFormatting xmlns:xm="http://schemas.microsoft.com/office/excel/2006/main">
          <x14:cfRule type="containsText" priority="1" operator="containsText" id="{016F1C4B-683D-420E-B3DD-4D8F76E169A5}">
            <xm:f>NOT(ISERROR(SEARCH("FALSE",D6)))</xm:f>
            <xm:f>"FALSE"</xm:f>
            <x14:dxf>
              <fill>
                <patternFill>
                  <bgColor theme="5"/>
                </patternFill>
              </fill>
            </x14:dxf>
          </x14:cfRule>
          <x14:cfRule type="containsText" priority="2" operator="containsText" id="{BEE29026-21EE-4C5A-8F4D-D1E0E0174EB8}">
            <xm:f>NOT(ISERROR(SEARCH("TRUE",D6)))</xm:f>
            <xm:f>"TRUE"</xm:f>
            <x14:dxf>
              <fill>
                <patternFill>
                  <bgColor theme="9" tint="0.79998168889431442"/>
                </patternFill>
              </fill>
            </x14:dxf>
          </x14:cfRule>
          <xm:sqref>D6:XFD6</xm:sqref>
        </x14:conditionalFormatting>
        <x14:conditionalFormatting xmlns:xm="http://schemas.microsoft.com/office/excel/2006/main">
          <x14:cfRule type="containsText" priority="11" operator="containsText" id="{6639803F-46B0-4424-A014-FD00594F384C}">
            <xm:f>NOT(ISERROR(SEARCH("FALSE",E7)))</xm:f>
            <xm:f>"FALSE"</xm:f>
            <x14:dxf>
              <fill>
                <patternFill>
                  <bgColor theme="5"/>
                </patternFill>
              </fill>
            </x14:dxf>
          </x14:cfRule>
          <x14:cfRule type="containsText" priority="12" operator="containsText" id="{6962CDE5-2788-49AF-A6F0-DE2F907B5014}">
            <xm:f>NOT(ISERROR(SEARCH("TRUE",E7)))</xm:f>
            <xm:f>"TRUE"</xm:f>
            <x14:dxf>
              <fill>
                <patternFill>
                  <bgColor theme="9" tint="0.79998168889431442"/>
                </patternFill>
              </fill>
            </x14:dxf>
          </x14:cfRule>
          <xm:sqref>E7:I7</xm:sqref>
        </x14:conditionalFormatting>
        <x14:conditionalFormatting xmlns:xm="http://schemas.microsoft.com/office/excel/2006/main">
          <x14:cfRule type="containsText" priority="9" operator="containsText" id="{33104641-BEC4-42C8-9D22-5BEF699A3337}">
            <xm:f>NOT(ISERROR(SEARCH("FALSE",E16)))</xm:f>
            <xm:f>"FALSE"</xm:f>
            <x14:dxf>
              <fill>
                <patternFill>
                  <bgColor theme="5"/>
                </patternFill>
              </fill>
            </x14:dxf>
          </x14:cfRule>
          <x14:cfRule type="containsText" priority="10" operator="containsText" id="{198A6724-96CF-4694-9F1D-3B05A7308CD2}">
            <xm:f>NOT(ISERROR(SEARCH("TRUE",E16)))</xm:f>
            <xm:f>"TRUE"</xm:f>
            <x14:dxf>
              <fill>
                <patternFill>
                  <bgColor theme="9" tint="0.79998168889431442"/>
                </patternFill>
              </fill>
            </x14:dxf>
          </x14:cfRule>
          <xm:sqref>E16:I16</xm:sqref>
        </x14:conditionalFormatting>
      </x14:conditionalFormatting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9"/>
  <dimension ref="B2:R256"/>
  <sheetViews>
    <sheetView showGridLines="0" topLeftCell="A61" zoomScale="70" zoomScaleNormal="70" workbookViewId="0">
      <selection activeCell="E86" sqref="E86:F86"/>
    </sheetView>
  </sheetViews>
  <sheetFormatPr defaultColWidth="8.5703125" defaultRowHeight="15" outlineLevelRow="1"/>
  <cols>
    <col min="1" max="2" width="1.85546875" style="55" customWidth="1"/>
    <col min="3" max="3" width="1.5" style="55" customWidth="1"/>
    <col min="4" max="4" width="32.0703125" style="55" customWidth="1"/>
    <col min="5" max="18" width="18.5703125" style="55" customWidth="1"/>
    <col min="19" max="16384" width="8.5703125" style="55"/>
  </cols>
  <sheetData>
    <row r="2" spans="2:15">
      <c r="B2" s="54" t="s">
        <v>1815</v>
      </c>
    </row>
    <row r="4" spans="2:15">
      <c r="D4" s="62" t="s">
        <v>306</v>
      </c>
      <c r="E4" s="63"/>
      <c r="F4" s="63"/>
      <c r="G4" s="63"/>
      <c r="H4" s="63"/>
      <c r="I4" s="63"/>
      <c r="J4" s="63"/>
      <c r="K4" s="63"/>
      <c r="L4" s="63"/>
      <c r="M4" s="63"/>
      <c r="N4" s="63"/>
      <c r="O4" s="63"/>
    </row>
    <row r="5" spans="2:15">
      <c r="D5" s="63"/>
      <c r="E5" s="63"/>
      <c r="F5" s="63"/>
      <c r="G5" s="63"/>
      <c r="H5" s="63"/>
      <c r="I5" s="63"/>
      <c r="J5" s="63"/>
      <c r="K5" s="63"/>
      <c r="L5" s="63"/>
    </row>
    <row r="6" spans="2:15">
      <c r="D6" s="1206" t="s">
        <v>1873</v>
      </c>
      <c r="E6" s="1206"/>
      <c r="F6" s="1206"/>
      <c r="G6" s="63"/>
      <c r="H6" s="63"/>
      <c r="I6" s="63"/>
      <c r="J6" s="63"/>
      <c r="K6" s="63"/>
      <c r="L6" s="63"/>
    </row>
    <row r="7" spans="2:15">
      <c r="F7" s="63"/>
      <c r="G7" s="63"/>
      <c r="H7" s="64" t="s">
        <v>307</v>
      </c>
      <c r="I7" s="63"/>
      <c r="J7" s="63"/>
      <c r="K7" s="63"/>
      <c r="L7" s="63"/>
    </row>
    <row r="8" spans="2:15">
      <c r="D8" s="1207" t="s">
        <v>237</v>
      </c>
      <c r="E8" s="201" t="str">
        <f>'32'!E6</f>
        <v>당반기</v>
      </c>
      <c r="F8" s="201"/>
      <c r="G8" s="201" t="str">
        <f>'32'!G6</f>
        <v>전반기</v>
      </c>
      <c r="H8" s="201"/>
      <c r="I8" s="63"/>
      <c r="J8" s="63"/>
      <c r="K8" s="63"/>
      <c r="L8" s="63"/>
    </row>
    <row r="9" spans="2:15">
      <c r="D9" s="1208"/>
      <c r="E9" s="200" t="s">
        <v>1051</v>
      </c>
      <c r="F9" s="200" t="s">
        <v>1053</v>
      </c>
      <c r="G9" s="200" t="s">
        <v>1051</v>
      </c>
      <c r="H9" s="200" t="s">
        <v>1053</v>
      </c>
      <c r="I9" s="63"/>
      <c r="J9" s="63"/>
      <c r="K9" s="63"/>
      <c r="L9" s="63"/>
    </row>
    <row r="10" spans="2:15">
      <c r="D10" s="121" t="s">
        <v>1083</v>
      </c>
      <c r="E10" s="338">
        <f>Dart_PL!C16</f>
        <v>-512399994</v>
      </c>
      <c r="F10" s="338">
        <f>Dart_PL!D16</f>
        <v>-788849810</v>
      </c>
      <c r="G10" s="338">
        <f>Dart_PL!E16</f>
        <v>450990874</v>
      </c>
      <c r="H10" s="338">
        <f>Dart_PL!F16</f>
        <v>1323632141</v>
      </c>
      <c r="I10" s="63"/>
      <c r="J10" s="63"/>
      <c r="K10" s="63"/>
      <c r="L10" s="63"/>
    </row>
    <row r="11" spans="2:15">
      <c r="D11" s="121" t="s">
        <v>1084</v>
      </c>
      <c r="E11" s="1195">
        <f>I27</f>
        <v>11382383</v>
      </c>
      <c r="F11" s="127">
        <f>I41</f>
        <v>11382383</v>
      </c>
      <c r="G11" s="127">
        <v>6285888</v>
      </c>
      <c r="H11" s="127">
        <v>6270678</v>
      </c>
      <c r="I11" s="63" t="s">
        <v>1960</v>
      </c>
      <c r="J11" s="63"/>
      <c r="K11" s="63"/>
      <c r="L11" s="63"/>
    </row>
    <row r="12" spans="2:15">
      <c r="D12" s="121" t="s">
        <v>1085</v>
      </c>
      <c r="E12" s="127">
        <f>ROUND(E10/E11,)</f>
        <v>-45</v>
      </c>
      <c r="F12" s="127">
        <f>ROUND(F10/F11,)</f>
        <v>-69</v>
      </c>
      <c r="G12" s="127">
        <f>ROUND(G10/G11,)</f>
        <v>72</v>
      </c>
      <c r="H12" s="127">
        <f>ROUND(H10/H11,)</f>
        <v>211</v>
      </c>
      <c r="I12" s="63"/>
      <c r="J12" s="63"/>
      <c r="K12" s="63"/>
      <c r="L12" s="63"/>
    </row>
    <row r="13" spans="2:15">
      <c r="D13" s="53"/>
      <c r="E13" s="53"/>
      <c r="F13" s="63"/>
      <c r="G13" s="63"/>
      <c r="H13" s="63"/>
      <c r="I13" s="63"/>
      <c r="J13" s="63"/>
      <c r="K13" s="63"/>
      <c r="L13" s="63"/>
    </row>
    <row r="14" spans="2:15" outlineLevel="1">
      <c r="D14" s="53"/>
      <c r="E14" s="63"/>
      <c r="F14" s="63"/>
      <c r="G14" s="63"/>
      <c r="H14" s="63"/>
      <c r="I14" s="63"/>
      <c r="J14" s="63"/>
      <c r="K14" s="63"/>
      <c r="L14" s="63"/>
    </row>
    <row r="15" spans="2:15" outlineLevel="1">
      <c r="D15" s="53"/>
      <c r="E15" s="63"/>
      <c r="F15" s="63"/>
      <c r="G15" s="63"/>
      <c r="H15" s="63"/>
      <c r="I15" s="63"/>
      <c r="J15" s="63"/>
      <c r="K15" s="63"/>
      <c r="L15" s="63"/>
      <c r="M15" s="63"/>
      <c r="N15" s="63"/>
      <c r="O15" s="63"/>
    </row>
    <row r="16" spans="2:15" outlineLevel="1">
      <c r="D16" s="53"/>
      <c r="E16" s="63"/>
      <c r="F16" s="63"/>
      <c r="G16" s="63"/>
      <c r="H16" s="63"/>
      <c r="I16" s="63"/>
      <c r="J16" s="63"/>
      <c r="K16" s="63"/>
      <c r="L16" s="63"/>
      <c r="M16" s="63"/>
      <c r="N16" s="63"/>
      <c r="O16" s="63"/>
    </row>
    <row r="17" spans="4:15" outlineLevel="1">
      <c r="D17" s="53"/>
      <c r="E17" s="63"/>
      <c r="F17" s="63"/>
      <c r="G17" s="63"/>
      <c r="H17" s="63"/>
      <c r="I17" s="63"/>
      <c r="J17" s="63"/>
      <c r="K17" s="63"/>
      <c r="L17" s="63"/>
      <c r="M17" s="63"/>
      <c r="N17" s="63"/>
      <c r="O17" s="63"/>
    </row>
    <row r="18" spans="4:15" outlineLevel="1">
      <c r="D18" s="53"/>
      <c r="E18" s="63"/>
      <c r="F18" s="63"/>
      <c r="G18" s="63"/>
      <c r="H18" s="63"/>
      <c r="I18" s="63"/>
      <c r="J18" s="63"/>
      <c r="K18" s="63"/>
      <c r="L18" s="63"/>
      <c r="M18" s="63"/>
      <c r="N18" s="63"/>
      <c r="O18" s="63"/>
    </row>
    <row r="19" spans="4:15" outlineLevel="1">
      <c r="D19" s="330" t="s">
        <v>1249</v>
      </c>
      <c r="E19" s="331" t="s">
        <v>1066</v>
      </c>
      <c r="F19" s="332"/>
      <c r="G19" s="332"/>
      <c r="H19" s="333">
        <v>46113</v>
      </c>
      <c r="I19" s="333">
        <v>46203</v>
      </c>
      <c r="J19" s="63"/>
      <c r="K19" s="63"/>
      <c r="L19" s="63"/>
      <c r="M19" s="63"/>
      <c r="N19" s="63"/>
      <c r="O19" s="63"/>
    </row>
    <row r="20" spans="4:15" outlineLevel="1">
      <c r="D20" s="334" t="s">
        <v>1067</v>
      </c>
      <c r="E20" s="334" t="s">
        <v>1068</v>
      </c>
      <c r="F20" s="334" t="s">
        <v>1069</v>
      </c>
      <c r="G20" s="334" t="s">
        <v>1070</v>
      </c>
      <c r="H20" s="334" t="s">
        <v>1071</v>
      </c>
      <c r="I20" s="334" t="s">
        <v>1072</v>
      </c>
      <c r="J20" s="63"/>
      <c r="K20" s="63"/>
      <c r="L20" s="63"/>
      <c r="M20" s="63"/>
      <c r="N20" s="63"/>
      <c r="O20" s="63"/>
    </row>
    <row r="21" spans="4:15" outlineLevel="1">
      <c r="D21" s="335" t="s">
        <v>341</v>
      </c>
      <c r="E21" s="336">
        <f>H19</f>
        <v>46113</v>
      </c>
      <c r="F21" s="336">
        <f>$I$19</f>
        <v>46203</v>
      </c>
      <c r="G21" s="337">
        <f>F21-E21+1</f>
        <v>91</v>
      </c>
      <c r="H21" s="338">
        <f>H35</f>
        <v>11382383</v>
      </c>
      <c r="I21" s="338">
        <f>H21*G21</f>
        <v>1035796853</v>
      </c>
      <c r="J21" s="63"/>
      <c r="K21" s="63"/>
      <c r="L21" s="63"/>
      <c r="M21" s="63"/>
      <c r="N21" s="63"/>
      <c r="O21" s="63"/>
    </row>
    <row r="22" spans="4:15" outlineLevel="1">
      <c r="D22" s="335"/>
      <c r="E22" s="336"/>
      <c r="F22" s="336"/>
      <c r="G22" s="337"/>
      <c r="H22" s="338">
        <f>H36</f>
        <v>0</v>
      </c>
      <c r="I22" s="338">
        <f t="shared" ref="I22" si="0">H22*G22</f>
        <v>0</v>
      </c>
      <c r="J22" s="63"/>
      <c r="K22" s="63"/>
      <c r="L22" s="63"/>
      <c r="M22" s="63"/>
      <c r="N22" s="63"/>
      <c r="O22" s="63"/>
    </row>
    <row r="23" spans="4:15" outlineLevel="1">
      <c r="D23" s="335"/>
      <c r="E23" s="336"/>
      <c r="F23" s="336"/>
      <c r="G23" s="337"/>
      <c r="H23" s="338">
        <f>H37</f>
        <v>0</v>
      </c>
      <c r="I23" s="338">
        <f t="shared" ref="I23" si="1">H23*G23</f>
        <v>0</v>
      </c>
      <c r="J23" s="63"/>
      <c r="K23" s="63"/>
      <c r="L23" s="63"/>
      <c r="M23" s="63"/>
      <c r="N23" s="63"/>
      <c r="O23" s="63"/>
    </row>
    <row r="24" spans="4:15" outlineLevel="1">
      <c r="D24" s="335"/>
      <c r="E24" s="336"/>
      <c r="F24" s="336"/>
      <c r="G24" s="337"/>
      <c r="H24" s="338"/>
      <c r="I24" s="338"/>
      <c r="J24" s="63"/>
      <c r="K24" s="63"/>
      <c r="L24" s="63"/>
      <c r="M24" s="63"/>
      <c r="N24" s="63"/>
      <c r="O24" s="63"/>
    </row>
    <row r="25" spans="4:15" outlineLevel="1">
      <c r="D25" s="335"/>
      <c r="E25" s="336"/>
      <c r="F25" s="336"/>
      <c r="G25" s="337"/>
      <c r="H25" s="338"/>
      <c r="I25" s="338"/>
      <c r="J25" s="63"/>
      <c r="K25" s="63"/>
      <c r="L25" s="63"/>
      <c r="M25" s="63"/>
      <c r="N25" s="63"/>
      <c r="O25" s="63"/>
    </row>
    <row r="26" spans="4:15" outlineLevel="1">
      <c r="D26" s="1319" t="s">
        <v>691</v>
      </c>
      <c r="E26" s="1320"/>
      <c r="F26" s="1321"/>
      <c r="G26" s="337">
        <f>I19-H19+1</f>
        <v>91</v>
      </c>
      <c r="H26" s="338">
        <f>SUM(H21:H25)</f>
        <v>11382383</v>
      </c>
      <c r="I26" s="338">
        <f>SUM(I21:I25)</f>
        <v>1035796853</v>
      </c>
      <c r="J26" s="63"/>
      <c r="K26" s="63"/>
      <c r="L26" s="63"/>
      <c r="M26" s="63"/>
      <c r="N26" s="63"/>
      <c r="O26" s="63"/>
    </row>
    <row r="27" spans="4:15" outlineLevel="1">
      <c r="D27" s="1322" t="s">
        <v>308</v>
      </c>
      <c r="E27" s="1323"/>
      <c r="F27" s="1324"/>
      <c r="G27" s="339"/>
      <c r="H27" s="339" t="s">
        <v>1073</v>
      </c>
      <c r="I27" s="340">
        <f>ROUND(I26/G26,)</f>
        <v>11382383</v>
      </c>
      <c r="J27" s="63"/>
      <c r="K27" s="63"/>
      <c r="L27" s="63"/>
      <c r="M27" s="63"/>
      <c r="N27" s="63"/>
      <c r="O27" s="63"/>
    </row>
    <row r="28" spans="4:15">
      <c r="D28" s="53"/>
      <c r="E28" s="63"/>
      <c r="F28" s="63"/>
      <c r="G28" s="63"/>
      <c r="H28" s="63"/>
      <c r="I28" s="63"/>
      <c r="J28" s="63"/>
      <c r="K28" s="63"/>
      <c r="L28" s="63"/>
      <c r="M28" s="63"/>
      <c r="N28" s="63"/>
      <c r="O28" s="63"/>
    </row>
    <row r="29" spans="4:15">
      <c r="D29" s="53"/>
      <c r="E29" s="63"/>
      <c r="F29" s="63"/>
      <c r="G29" s="63"/>
      <c r="H29" s="63"/>
      <c r="I29" s="63"/>
      <c r="J29" s="63"/>
      <c r="K29" s="63"/>
      <c r="L29" s="63"/>
      <c r="M29" s="63"/>
      <c r="N29" s="63"/>
      <c r="O29" s="63"/>
    </row>
    <row r="30" spans="4:15">
      <c r="D30" s="53"/>
      <c r="E30" s="63"/>
      <c r="F30" s="63"/>
      <c r="G30" s="63"/>
      <c r="H30" s="63"/>
      <c r="I30" s="63"/>
      <c r="J30" s="63"/>
      <c r="K30" s="63"/>
      <c r="L30" s="63"/>
      <c r="M30" s="63"/>
      <c r="N30" s="63"/>
      <c r="O30" s="63"/>
    </row>
    <row r="31" spans="4:15">
      <c r="D31" s="53"/>
      <c r="E31" s="63"/>
      <c r="F31" s="63"/>
      <c r="G31" s="63"/>
      <c r="H31" s="63"/>
      <c r="I31" s="63"/>
      <c r="J31" s="63"/>
      <c r="K31" s="63"/>
      <c r="L31" s="63"/>
      <c r="M31" s="63"/>
      <c r="N31" s="63"/>
      <c r="O31" s="63"/>
    </row>
    <row r="32" spans="4:15">
      <c r="D32" s="53"/>
      <c r="E32" s="63"/>
      <c r="F32" s="63"/>
      <c r="G32" s="63"/>
      <c r="H32" s="63"/>
      <c r="I32" s="63"/>
      <c r="J32" s="63"/>
      <c r="K32" s="63"/>
      <c r="L32" s="63"/>
      <c r="M32" s="63"/>
      <c r="N32" s="63"/>
      <c r="O32" s="63"/>
    </row>
    <row r="33" spans="4:15">
      <c r="D33" s="330" t="s">
        <v>1250</v>
      </c>
      <c r="E33" s="331" t="s">
        <v>1066</v>
      </c>
      <c r="F33" s="332"/>
      <c r="G33" s="332"/>
      <c r="H33" s="333">
        <v>46023</v>
      </c>
      <c r="I33" s="333">
        <f>I19</f>
        <v>46203</v>
      </c>
      <c r="J33" s="63"/>
      <c r="K33" s="63"/>
      <c r="L33" s="63"/>
      <c r="M33" s="63"/>
      <c r="N33" s="63"/>
      <c r="O33" s="63"/>
    </row>
    <row r="34" spans="4:15">
      <c r="D34" s="334" t="s">
        <v>1067</v>
      </c>
      <c r="E34" s="334" t="s">
        <v>1068</v>
      </c>
      <c r="F34" s="334" t="s">
        <v>1069</v>
      </c>
      <c r="G34" s="334" t="s">
        <v>1070</v>
      </c>
      <c r="H34" s="334" t="s">
        <v>1071</v>
      </c>
      <c r="I34" s="334" t="s">
        <v>1072</v>
      </c>
      <c r="J34" s="63"/>
      <c r="K34" s="63"/>
      <c r="L34" s="63"/>
      <c r="M34" s="63"/>
      <c r="N34" s="63"/>
      <c r="O34" s="63"/>
    </row>
    <row r="35" spans="4:15">
      <c r="D35" s="335" t="s">
        <v>341</v>
      </c>
      <c r="E35" s="336">
        <f>H33</f>
        <v>46023</v>
      </c>
      <c r="F35" s="336">
        <f>$I$33</f>
        <v>46203</v>
      </c>
      <c r="G35" s="337">
        <f>F35-E35+1</f>
        <v>181</v>
      </c>
      <c r="H35" s="338">
        <v>11382383</v>
      </c>
      <c r="I35" s="338">
        <f>H35*G35</f>
        <v>2060211323</v>
      </c>
      <c r="J35" s="63"/>
      <c r="K35" s="63"/>
      <c r="L35" s="63"/>
      <c r="M35" s="63"/>
      <c r="N35" s="63"/>
      <c r="O35" s="63"/>
    </row>
    <row r="36" spans="4:15">
      <c r="D36" s="335"/>
      <c r="E36" s="336"/>
      <c r="F36" s="336"/>
      <c r="G36" s="337"/>
      <c r="H36" s="338"/>
      <c r="I36" s="338">
        <f t="shared" ref="I36:I38" si="2">H36*G36</f>
        <v>0</v>
      </c>
      <c r="J36" s="63"/>
      <c r="K36" s="63"/>
      <c r="L36" s="63"/>
      <c r="M36" s="63"/>
      <c r="N36" s="63"/>
      <c r="O36" s="63"/>
    </row>
    <row r="37" spans="4:15">
      <c r="D37" s="335"/>
      <c r="E37" s="336"/>
      <c r="F37" s="336"/>
      <c r="G37" s="337"/>
      <c r="H37" s="338"/>
      <c r="I37" s="338">
        <f t="shared" si="2"/>
        <v>0</v>
      </c>
      <c r="J37" s="63"/>
      <c r="K37" s="63"/>
      <c r="L37" s="63"/>
      <c r="M37" s="63"/>
      <c r="N37" s="63"/>
      <c r="O37" s="63"/>
    </row>
    <row r="38" spans="4:15">
      <c r="D38" s="335"/>
      <c r="E38" s="336"/>
      <c r="F38" s="336"/>
      <c r="G38" s="337"/>
      <c r="H38" s="338"/>
      <c r="I38" s="338">
        <f t="shared" si="2"/>
        <v>0</v>
      </c>
      <c r="J38" s="63"/>
      <c r="K38" s="63"/>
      <c r="L38" s="63"/>
      <c r="M38" s="63"/>
      <c r="N38" s="63"/>
      <c r="O38" s="63"/>
    </row>
    <row r="39" spans="4:15">
      <c r="D39" s="335"/>
      <c r="E39" s="336"/>
      <c r="F39" s="336"/>
      <c r="G39" s="337"/>
      <c r="H39" s="338"/>
      <c r="I39" s="338"/>
      <c r="J39" s="63"/>
      <c r="K39" s="63"/>
      <c r="L39" s="63"/>
      <c r="M39" s="63"/>
      <c r="N39" s="63"/>
      <c r="O39" s="63"/>
    </row>
    <row r="40" spans="4:15">
      <c r="D40" s="1319" t="s">
        <v>691</v>
      </c>
      <c r="E40" s="1320"/>
      <c r="F40" s="1321"/>
      <c r="G40" s="337">
        <f>I33-H33+1</f>
        <v>181</v>
      </c>
      <c r="H40" s="338">
        <f>SUM(H35:H39)</f>
        <v>11382383</v>
      </c>
      <c r="I40" s="338">
        <f>SUM(I35:I39)</f>
        <v>2060211323</v>
      </c>
      <c r="J40" s="63" t="b">
        <f>H40='1'!E14</f>
        <v>1</v>
      </c>
      <c r="K40" s="63"/>
      <c r="L40" s="63"/>
      <c r="M40" s="63"/>
      <c r="N40" s="63"/>
      <c r="O40" s="63"/>
    </row>
    <row r="41" spans="4:15">
      <c r="D41" s="1322" t="s">
        <v>308</v>
      </c>
      <c r="E41" s="1323"/>
      <c r="F41" s="1324"/>
      <c r="G41" s="339"/>
      <c r="H41" s="339" t="s">
        <v>1073</v>
      </c>
      <c r="I41" s="340">
        <f>ROUND(I40/G40,)</f>
        <v>11382383</v>
      </c>
      <c r="J41" s="63"/>
      <c r="K41" s="63"/>
      <c r="L41" s="63"/>
      <c r="M41" s="63"/>
      <c r="N41" s="63"/>
      <c r="O41" s="63"/>
    </row>
    <row r="42" spans="4:15">
      <c r="D42" s="53"/>
      <c r="E42" s="63"/>
      <c r="F42" s="63"/>
      <c r="G42" s="63"/>
      <c r="H42" s="63"/>
      <c r="I42" s="63"/>
      <c r="J42" s="63"/>
      <c r="K42" s="63"/>
      <c r="L42" s="63"/>
      <c r="M42" s="63"/>
      <c r="N42" s="63"/>
      <c r="O42" s="63"/>
    </row>
    <row r="43" spans="4:15">
      <c r="D43" s="53"/>
      <c r="E43" s="63"/>
      <c r="F43" s="63"/>
      <c r="G43" s="63"/>
      <c r="H43" s="63"/>
      <c r="I43" s="63"/>
      <c r="J43" s="63"/>
      <c r="K43" s="63"/>
      <c r="L43" s="63"/>
      <c r="M43" s="63"/>
      <c r="N43" s="63"/>
      <c r="O43" s="63"/>
    </row>
    <row r="44" spans="4:15" outlineLevel="1">
      <c r="D44" s="330" t="s">
        <v>1877</v>
      </c>
      <c r="E44" s="331" t="s">
        <v>1066</v>
      </c>
      <c r="F44" s="332"/>
      <c r="G44" s="332"/>
      <c r="H44" s="333">
        <v>45748</v>
      </c>
      <c r="I44" s="333">
        <v>45838</v>
      </c>
      <c r="J44" s="63"/>
      <c r="K44" s="63"/>
      <c r="L44" s="63"/>
      <c r="M44" s="63"/>
      <c r="N44" s="63"/>
      <c r="O44" s="63"/>
    </row>
    <row r="45" spans="4:15" outlineLevel="1">
      <c r="D45" s="334" t="s">
        <v>1067</v>
      </c>
      <c r="E45" s="334" t="s">
        <v>1068</v>
      </c>
      <c r="F45" s="334" t="s">
        <v>1069</v>
      </c>
      <c r="G45" s="334" t="s">
        <v>1070</v>
      </c>
      <c r="H45" s="334" t="s">
        <v>1071</v>
      </c>
      <c r="I45" s="334" t="s">
        <v>1072</v>
      </c>
      <c r="J45" s="63"/>
      <c r="K45" s="63"/>
      <c r="L45" s="63"/>
      <c r="M45" s="63"/>
      <c r="N45" s="63"/>
      <c r="O45" s="63"/>
    </row>
    <row r="46" spans="4:15" outlineLevel="1">
      <c r="D46" s="335" t="s">
        <v>341</v>
      </c>
      <c r="E46" s="336">
        <f>$H$44</f>
        <v>45748</v>
      </c>
      <c r="F46" s="336">
        <f>$I$44</f>
        <v>45838</v>
      </c>
      <c r="G46" s="337">
        <f>F46-E46+1</f>
        <v>91</v>
      </c>
      <c r="H46" s="338">
        <v>6246559</v>
      </c>
      <c r="I46" s="338">
        <v>568436869</v>
      </c>
      <c r="J46" s="63"/>
      <c r="K46" s="63"/>
      <c r="L46" s="63"/>
      <c r="M46" s="63"/>
      <c r="N46" s="63"/>
      <c r="O46" s="63"/>
    </row>
    <row r="47" spans="4:15" outlineLevel="1">
      <c r="D47" s="335" t="s">
        <v>1074</v>
      </c>
      <c r="E47" s="336">
        <f>$H$44</f>
        <v>45748</v>
      </c>
      <c r="F47" s="336">
        <f>$I$44</f>
        <v>45838</v>
      </c>
      <c r="G47" s="337">
        <f>F47-E47+1</f>
        <v>91</v>
      </c>
      <c r="H47" s="338">
        <v>39329</v>
      </c>
      <c r="I47" s="338">
        <v>3578939</v>
      </c>
      <c r="J47" s="63"/>
      <c r="K47" s="63"/>
      <c r="L47" s="63"/>
      <c r="M47" s="63"/>
      <c r="N47" s="63"/>
      <c r="O47" s="63"/>
    </row>
    <row r="48" spans="4:15" outlineLevel="1">
      <c r="D48" s="335"/>
      <c r="E48" s="336"/>
      <c r="F48" s="336"/>
      <c r="G48" s="337"/>
      <c r="H48" s="338"/>
      <c r="I48" s="338"/>
      <c r="J48" s="63"/>
      <c r="K48" s="63"/>
      <c r="L48" s="63"/>
      <c r="M48" s="63"/>
      <c r="N48" s="63"/>
      <c r="O48" s="63"/>
    </row>
    <row r="49" spans="4:15" outlineLevel="1">
      <c r="D49" s="335"/>
      <c r="E49" s="336"/>
      <c r="F49" s="336"/>
      <c r="G49" s="337"/>
      <c r="H49" s="338"/>
      <c r="I49" s="338"/>
      <c r="J49" s="63"/>
      <c r="K49" s="63"/>
      <c r="L49" s="63"/>
      <c r="M49" s="63"/>
      <c r="N49" s="63"/>
      <c r="O49" s="63"/>
    </row>
    <row r="50" spans="4:15" outlineLevel="1">
      <c r="D50" s="335"/>
      <c r="E50" s="336"/>
      <c r="F50" s="336"/>
      <c r="G50" s="337"/>
      <c r="H50" s="338"/>
      <c r="I50" s="338"/>
      <c r="J50" s="63"/>
      <c r="K50" s="63"/>
      <c r="L50" s="63"/>
      <c r="M50" s="63"/>
      <c r="N50" s="63"/>
      <c r="O50" s="63"/>
    </row>
    <row r="51" spans="4:15" outlineLevel="1">
      <c r="D51" s="1319" t="s">
        <v>691</v>
      </c>
      <c r="E51" s="1320"/>
      <c r="F51" s="1321"/>
      <c r="G51" s="337">
        <f>I44-H44+1</f>
        <v>91</v>
      </c>
      <c r="H51" s="338">
        <f>SUM(H46:H50)</f>
        <v>6285888</v>
      </c>
      <c r="I51" s="338">
        <f>SUM(I46:I50)</f>
        <v>572015808</v>
      </c>
      <c r="J51" s="63"/>
      <c r="K51" s="63"/>
      <c r="L51" s="63"/>
      <c r="M51" s="63"/>
      <c r="N51" s="63"/>
      <c r="O51" s="63"/>
    </row>
    <row r="52" spans="4:15" outlineLevel="1">
      <c r="D52" s="1322" t="s">
        <v>308</v>
      </c>
      <c r="E52" s="1323"/>
      <c r="F52" s="1324"/>
      <c r="G52" s="339"/>
      <c r="H52" s="339" t="s">
        <v>1073</v>
      </c>
      <c r="I52" s="340">
        <f>ROUND(I51/G51,)</f>
        <v>6285888</v>
      </c>
      <c r="J52" s="63" t="b">
        <f>I52=G11</f>
        <v>1</v>
      </c>
      <c r="K52" s="63"/>
      <c r="L52" s="63"/>
      <c r="M52" s="63"/>
      <c r="N52" s="63"/>
      <c r="O52" s="63"/>
    </row>
    <row r="53" spans="4:15">
      <c r="D53" s="53"/>
      <c r="E53" s="63"/>
      <c r="F53" s="63"/>
      <c r="G53" s="63"/>
      <c r="H53" s="63"/>
      <c r="I53" s="63"/>
      <c r="J53" s="63"/>
      <c r="K53" s="63"/>
      <c r="L53" s="63"/>
      <c r="M53" s="63"/>
      <c r="N53" s="63"/>
      <c r="O53" s="63"/>
    </row>
    <row r="54" spans="4:15">
      <c r="D54" s="53"/>
      <c r="E54" s="63"/>
      <c r="F54" s="63"/>
      <c r="G54" s="63"/>
      <c r="H54" s="63"/>
      <c r="I54" s="63"/>
      <c r="J54" s="63"/>
      <c r="K54" s="63"/>
      <c r="L54" s="63"/>
      <c r="M54" s="63"/>
      <c r="N54" s="63"/>
      <c r="O54" s="63"/>
    </row>
    <row r="55" spans="4:15">
      <c r="D55" s="53"/>
      <c r="E55" s="63"/>
      <c r="F55" s="63"/>
      <c r="G55" s="63"/>
      <c r="H55" s="63"/>
      <c r="I55" s="63"/>
      <c r="J55" s="63"/>
      <c r="K55" s="63"/>
      <c r="L55" s="63"/>
      <c r="M55" s="63"/>
      <c r="N55" s="63"/>
      <c r="O55" s="63"/>
    </row>
    <row r="56" spans="4:15">
      <c r="D56" s="330" t="s">
        <v>1878</v>
      </c>
      <c r="E56" s="331" t="s">
        <v>1066</v>
      </c>
      <c r="F56" s="332"/>
      <c r="G56" s="332"/>
      <c r="H56" s="333">
        <v>45658</v>
      </c>
      <c r="I56" s="333">
        <v>45838</v>
      </c>
      <c r="J56" s="63"/>
      <c r="K56" s="63"/>
      <c r="L56" s="63"/>
      <c r="M56" s="63"/>
      <c r="N56" s="63"/>
      <c r="O56" s="63"/>
    </row>
    <row r="57" spans="4:15">
      <c r="D57" s="334" t="s">
        <v>1067</v>
      </c>
      <c r="E57" s="334" t="s">
        <v>1068</v>
      </c>
      <c r="F57" s="334" t="s">
        <v>1069</v>
      </c>
      <c r="G57" s="334" t="s">
        <v>1070</v>
      </c>
      <c r="H57" s="334" t="s">
        <v>1071</v>
      </c>
      <c r="I57" s="334" t="s">
        <v>1072</v>
      </c>
      <c r="J57" s="63"/>
      <c r="K57" s="63"/>
      <c r="L57" s="63"/>
      <c r="M57" s="63"/>
      <c r="N57" s="63"/>
      <c r="O57" s="63"/>
    </row>
    <row r="58" spans="4:15">
      <c r="D58" s="335" t="s">
        <v>341</v>
      </c>
      <c r="E58" s="336">
        <v>45658</v>
      </c>
      <c r="F58" s="336">
        <f>$I$56</f>
        <v>45838</v>
      </c>
      <c r="G58" s="337">
        <f>F58-E58+1</f>
        <v>181</v>
      </c>
      <c r="H58" s="338">
        <v>6246559</v>
      </c>
      <c r="I58" s="338">
        <f>H58*G58</f>
        <v>1130627179</v>
      </c>
      <c r="J58" s="63"/>
      <c r="K58" s="63"/>
      <c r="L58" s="63"/>
      <c r="M58" s="63"/>
      <c r="N58" s="63"/>
      <c r="O58" s="63"/>
    </row>
    <row r="59" spans="4:15">
      <c r="D59" s="335" t="s">
        <v>1879</v>
      </c>
      <c r="E59" s="336">
        <v>45728</v>
      </c>
      <c r="F59" s="336">
        <f>$I$56</f>
        <v>45838</v>
      </c>
      <c r="G59" s="337">
        <f>F59-E59+1</f>
        <v>111</v>
      </c>
      <c r="H59" s="338">
        <v>39329</v>
      </c>
      <c r="I59" s="338">
        <f t="shared" ref="I59" si="3">H59*G59</f>
        <v>4365519</v>
      </c>
      <c r="J59" s="63"/>
      <c r="K59" s="63"/>
      <c r="L59" s="63"/>
      <c r="M59" s="63"/>
      <c r="N59" s="63"/>
      <c r="O59" s="63"/>
    </row>
    <row r="60" spans="4:15">
      <c r="D60" s="335"/>
      <c r="E60" s="336"/>
      <c r="F60" s="336"/>
      <c r="G60" s="337"/>
      <c r="H60" s="338"/>
      <c r="I60" s="338"/>
      <c r="J60" s="63"/>
      <c r="K60" s="63"/>
      <c r="L60" s="63"/>
      <c r="M60" s="63"/>
      <c r="N60" s="63"/>
      <c r="O60" s="63"/>
    </row>
    <row r="61" spans="4:15">
      <c r="D61" s="335"/>
      <c r="E61" s="336"/>
      <c r="F61" s="336"/>
      <c r="G61" s="337"/>
      <c r="H61" s="338"/>
      <c r="I61" s="338"/>
      <c r="J61" s="63"/>
      <c r="K61" s="63"/>
      <c r="L61" s="63"/>
      <c r="M61" s="63"/>
      <c r="N61" s="63"/>
      <c r="O61" s="63"/>
    </row>
    <row r="62" spans="4:15">
      <c r="D62" s="335"/>
      <c r="E62" s="336"/>
      <c r="F62" s="336"/>
      <c r="G62" s="337"/>
      <c r="H62" s="338"/>
      <c r="I62" s="338"/>
      <c r="J62" s="63"/>
      <c r="K62" s="63"/>
      <c r="L62" s="63"/>
      <c r="M62" s="63"/>
      <c r="N62" s="63"/>
      <c r="O62" s="63"/>
    </row>
    <row r="63" spans="4:15">
      <c r="D63" s="1319" t="s">
        <v>691</v>
      </c>
      <c r="E63" s="1320"/>
      <c r="F63" s="1321"/>
      <c r="G63" s="337">
        <f>I56-H56+1</f>
        <v>181</v>
      </c>
      <c r="H63" s="338">
        <f>SUM(H58:H62)</f>
        <v>6285888</v>
      </c>
      <c r="I63" s="338">
        <f>SUM(I58:I62)</f>
        <v>1134992698</v>
      </c>
      <c r="J63" s="63"/>
      <c r="K63" s="63"/>
      <c r="L63" s="63"/>
      <c r="M63" s="63"/>
      <c r="N63" s="63"/>
      <c r="O63" s="63"/>
    </row>
    <row r="64" spans="4:15">
      <c r="D64" s="1322" t="s">
        <v>308</v>
      </c>
      <c r="E64" s="1323"/>
      <c r="F64" s="1324"/>
      <c r="G64" s="339"/>
      <c r="H64" s="339" t="s">
        <v>1073</v>
      </c>
      <c r="I64" s="340">
        <f>ROUND(I63/G63,)</f>
        <v>6270678</v>
      </c>
      <c r="J64" s="63" t="b">
        <f>I64=H11</f>
        <v>1</v>
      </c>
      <c r="K64" s="63"/>
      <c r="L64" s="63"/>
      <c r="M64" s="63"/>
      <c r="N64" s="63"/>
      <c r="O64" s="63"/>
    </row>
    <row r="65" spans="4:15">
      <c r="D65" s="53"/>
      <c r="E65" s="63"/>
      <c r="F65" s="63"/>
      <c r="G65" s="63"/>
      <c r="H65" s="63"/>
      <c r="I65" s="63"/>
      <c r="J65" s="63"/>
      <c r="K65" s="63"/>
      <c r="L65" s="63"/>
      <c r="M65" s="63"/>
      <c r="N65" s="63"/>
      <c r="O65" s="63"/>
    </row>
    <row r="66" spans="4:15">
      <c r="D66" s="53"/>
      <c r="E66" s="63"/>
      <c r="F66" s="63"/>
      <c r="G66" s="63"/>
      <c r="H66" s="63"/>
      <c r="I66" s="63"/>
      <c r="J66" s="63"/>
      <c r="K66" s="63"/>
      <c r="L66" s="63"/>
      <c r="M66" s="63"/>
      <c r="N66" s="63"/>
      <c r="O66" s="63"/>
    </row>
    <row r="67" spans="4:15">
      <c r="D67" s="53"/>
      <c r="E67" s="63"/>
      <c r="F67" s="63"/>
      <c r="G67" s="63"/>
      <c r="H67" s="63"/>
      <c r="I67" s="63"/>
      <c r="J67" s="63"/>
      <c r="K67" s="63"/>
      <c r="L67" s="63"/>
      <c r="M67" s="63"/>
      <c r="N67" s="63"/>
      <c r="O67" s="63"/>
    </row>
    <row r="68" spans="4:15">
      <c r="D68" s="53" t="s">
        <v>1082</v>
      </c>
      <c r="E68" s="63"/>
      <c r="F68" s="63"/>
      <c r="G68" s="63"/>
      <c r="H68" s="63"/>
      <c r="I68" s="63"/>
      <c r="J68" s="63"/>
      <c r="K68" s="63"/>
      <c r="L68" s="63"/>
      <c r="M68" s="63"/>
      <c r="N68" s="63"/>
      <c r="O68" s="63"/>
    </row>
    <row r="69" spans="4:15">
      <c r="D69" s="53"/>
      <c r="E69" s="63"/>
      <c r="F69" s="63"/>
      <c r="G69" s="63"/>
      <c r="H69" s="63"/>
      <c r="I69" s="63"/>
      <c r="J69" s="780" t="s">
        <v>402</v>
      </c>
      <c r="K69" s="945" t="str">
        <f>E70</f>
        <v>당반기</v>
      </c>
      <c r="L69" s="945" t="str">
        <f>G70</f>
        <v>전반기</v>
      </c>
      <c r="M69" s="63"/>
      <c r="N69" s="63"/>
      <c r="O69" s="63"/>
    </row>
    <row r="70" spans="4:15">
      <c r="D70" s="1207" t="s">
        <v>237</v>
      </c>
      <c r="E70" s="201" t="str">
        <f>E8</f>
        <v>당반기</v>
      </c>
      <c r="F70" s="201"/>
      <c r="G70" s="201" t="str">
        <f>G8</f>
        <v>전반기</v>
      </c>
      <c r="H70" s="201"/>
      <c r="I70" s="63"/>
      <c r="J70" s="406" t="s">
        <v>1650</v>
      </c>
      <c r="K70" s="407"/>
      <c r="L70" s="407"/>
      <c r="M70" s="63"/>
      <c r="N70" s="63"/>
      <c r="O70" s="63"/>
    </row>
    <row r="71" spans="4:15">
      <c r="D71" s="1208"/>
      <c r="E71" s="200" t="s">
        <v>1051</v>
      </c>
      <c r="F71" s="200" t="s">
        <v>1053</v>
      </c>
      <c r="G71" s="200" t="s">
        <v>1051</v>
      </c>
      <c r="H71" s="200" t="s">
        <v>1053</v>
      </c>
      <c r="I71" s="63"/>
      <c r="J71" s="406" t="s">
        <v>1651</v>
      </c>
      <c r="K71" s="127">
        <f>F10</f>
        <v>-788849810</v>
      </c>
      <c r="L71" s="409">
        <f>H72</f>
        <v>1323632141</v>
      </c>
      <c r="M71" s="63"/>
      <c r="N71" s="63"/>
      <c r="O71" s="63"/>
    </row>
    <row r="72" spans="4:15">
      <c r="D72" s="121" t="s">
        <v>1083</v>
      </c>
      <c r="E72" s="338">
        <f>E82</f>
        <v>-512399994</v>
      </c>
      <c r="F72" s="338">
        <f>F82</f>
        <v>-788849810</v>
      </c>
      <c r="G72" s="338">
        <f>G82</f>
        <v>450990874</v>
      </c>
      <c r="H72" s="338">
        <f>H82</f>
        <v>1323632141</v>
      </c>
      <c r="I72" s="63"/>
      <c r="J72" s="406" t="s">
        <v>308</v>
      </c>
      <c r="K72" s="127">
        <f>F11</f>
        <v>11382383</v>
      </c>
      <c r="L72" s="409">
        <f>H11</f>
        <v>6270678</v>
      </c>
      <c r="M72" s="63"/>
      <c r="N72" s="63"/>
      <c r="O72" s="63"/>
    </row>
    <row r="73" spans="4:15">
      <c r="D73" s="121" t="s">
        <v>1084</v>
      </c>
      <c r="E73" s="349">
        <f>IF(E88="반희석",E83,E85)</f>
        <v>11382383</v>
      </c>
      <c r="F73" s="349">
        <f>IF(F88="반희석",F83,F85)</f>
        <v>11382383</v>
      </c>
      <c r="G73" s="349">
        <f>IF(G88="반희석",G83,G85)</f>
        <v>6331684</v>
      </c>
      <c r="H73" s="349">
        <f>IF(H88="반희석",H83,H85)</f>
        <v>6325824.6077348068</v>
      </c>
      <c r="I73" s="63"/>
      <c r="J73" s="406" t="s">
        <v>1652</v>
      </c>
      <c r="K73" s="127">
        <f>F84</f>
        <v>0</v>
      </c>
      <c r="L73" s="1120">
        <f>H84</f>
        <v>55146.607734806632</v>
      </c>
      <c r="M73" s="63" t="s">
        <v>2290</v>
      </c>
      <c r="N73" s="63"/>
      <c r="O73" s="63"/>
    </row>
    <row r="74" spans="4:15">
      <c r="D74" s="121" t="s">
        <v>1085</v>
      </c>
      <c r="E74" s="127">
        <f>E86</f>
        <v>-45</v>
      </c>
      <c r="F74" s="127">
        <f>F86</f>
        <v>-69.304451449226406</v>
      </c>
      <c r="G74" s="127">
        <f>G86</f>
        <v>71</v>
      </c>
      <c r="H74" s="127">
        <f>H86</f>
        <v>209</v>
      </c>
      <c r="I74" s="63"/>
      <c r="J74" s="406" t="s">
        <v>308</v>
      </c>
      <c r="K74" s="127">
        <f>SUM(K72:K73)</f>
        <v>11382383</v>
      </c>
      <c r="L74" s="409">
        <f>SUM(L72:L73)</f>
        <v>6325824.6077348068</v>
      </c>
      <c r="M74" s="63"/>
      <c r="N74" s="63"/>
      <c r="O74" s="63"/>
    </row>
    <row r="75" spans="4:15">
      <c r="D75" s="53"/>
      <c r="E75" s="63"/>
      <c r="F75" s="63"/>
      <c r="G75" s="63"/>
      <c r="H75" s="63"/>
      <c r="I75" s="63"/>
      <c r="J75" s="406" t="s">
        <v>1653</v>
      </c>
      <c r="K75" s="127"/>
      <c r="L75" s="407"/>
      <c r="M75" s="63"/>
      <c r="N75" s="63"/>
      <c r="O75" s="63"/>
    </row>
    <row r="76" spans="4:15">
      <c r="D76" s="53"/>
      <c r="E76" s="63"/>
      <c r="F76" s="63"/>
      <c r="G76" s="63"/>
      <c r="H76" s="63"/>
      <c r="I76" s="63"/>
      <c r="J76" s="620" t="s">
        <v>1654</v>
      </c>
      <c r="K76" s="127">
        <f>K71/K74</f>
        <v>-69.304451449226406</v>
      </c>
      <c r="L76" s="782">
        <f>ROUND(L71/L74,)</f>
        <v>209</v>
      </c>
      <c r="M76" s="63"/>
      <c r="N76" s="63"/>
      <c r="O76" s="63"/>
    </row>
    <row r="77" spans="4:15">
      <c r="D77" s="53"/>
      <c r="E77" s="63"/>
      <c r="F77" s="63"/>
      <c r="G77" s="63"/>
      <c r="H77" s="63"/>
      <c r="I77" s="63"/>
      <c r="J77" s="63"/>
      <c r="K77" s="63" t="b">
        <f>K76=F74</f>
        <v>1</v>
      </c>
      <c r="L77" s="63" t="b">
        <f>L76=H74</f>
        <v>1</v>
      </c>
      <c r="M77" s="63"/>
      <c r="N77" s="63"/>
      <c r="O77" s="63"/>
    </row>
    <row r="78" spans="4:15">
      <c r="D78" s="332"/>
      <c r="E78" s="1325" t="str">
        <f>E8</f>
        <v>당반기</v>
      </c>
      <c r="F78" s="1326"/>
      <c r="G78" s="1325" t="str">
        <f>G8</f>
        <v>전반기</v>
      </c>
      <c r="H78" s="1326"/>
      <c r="I78" s="63"/>
      <c r="J78" s="63"/>
      <c r="K78" s="63" t="b">
        <f>K74=F73</f>
        <v>1</v>
      </c>
      <c r="L78" s="63" t="b">
        <f>L74=H73</f>
        <v>1</v>
      </c>
      <c r="M78" s="63"/>
      <c r="N78" s="63"/>
      <c r="O78" s="63"/>
    </row>
    <row r="79" spans="4:15">
      <c r="D79" s="348" t="s">
        <v>1075</v>
      </c>
      <c r="E79" s="99" t="s">
        <v>1052</v>
      </c>
      <c r="F79" s="99" t="s">
        <v>1054</v>
      </c>
      <c r="G79" s="99" t="s">
        <v>1052</v>
      </c>
      <c r="H79" s="99" t="s">
        <v>1054</v>
      </c>
      <c r="I79" s="63"/>
      <c r="J79" s="63"/>
      <c r="K79" s="63"/>
      <c r="L79" s="63"/>
      <c r="M79" s="63"/>
      <c r="N79" s="63"/>
      <c r="O79" s="63"/>
    </row>
    <row r="80" spans="4:15">
      <c r="D80" s="341" t="s">
        <v>30</v>
      </c>
      <c r="E80" s="338">
        <f>E10</f>
        <v>-512399994</v>
      </c>
      <c r="F80" s="338">
        <f>F10</f>
        <v>-788849810</v>
      </c>
      <c r="G80" s="338">
        <f>G10</f>
        <v>450990874</v>
      </c>
      <c r="H80" s="338">
        <f>H10</f>
        <v>1323632141</v>
      </c>
      <c r="I80" s="63"/>
      <c r="J80" s="63"/>
      <c r="K80" s="63"/>
      <c r="L80" s="63"/>
      <c r="M80" s="63"/>
      <c r="N80" s="63"/>
      <c r="O80" s="63"/>
    </row>
    <row r="81" spans="4:15">
      <c r="D81" s="341" t="s">
        <v>1076</v>
      </c>
      <c r="E81" s="338"/>
      <c r="F81" s="338"/>
      <c r="G81" s="338"/>
      <c r="H81" s="338"/>
      <c r="I81" s="63"/>
      <c r="J81" s="63"/>
      <c r="K81" s="63"/>
      <c r="L81" s="63"/>
      <c r="M81" s="63"/>
      <c r="N81" s="63"/>
      <c r="O81" s="63"/>
    </row>
    <row r="82" spans="4:15">
      <c r="D82" s="341" t="s">
        <v>1077</v>
      </c>
      <c r="E82" s="338">
        <f>SUM(E80:E81)</f>
        <v>-512399994</v>
      </c>
      <c r="F82" s="338">
        <f>SUM(F80:F81)</f>
        <v>-788849810</v>
      </c>
      <c r="G82" s="338">
        <f>SUM(G80:G81)</f>
        <v>450990874</v>
      </c>
      <c r="H82" s="338">
        <f>SUM(H80:H81)</f>
        <v>1323632141</v>
      </c>
      <c r="I82" s="63"/>
      <c r="J82" s="63"/>
      <c r="K82" s="63"/>
      <c r="L82" s="63"/>
      <c r="M82" s="63"/>
      <c r="N82" s="63"/>
      <c r="O82" s="63"/>
    </row>
    <row r="83" spans="4:15">
      <c r="D83" s="341" t="s">
        <v>308</v>
      </c>
      <c r="E83" s="342">
        <f>E11</f>
        <v>11382383</v>
      </c>
      <c r="F83" s="342">
        <f>F11</f>
        <v>11382383</v>
      </c>
      <c r="G83" s="342">
        <f>G11</f>
        <v>6285888</v>
      </c>
      <c r="H83" s="342">
        <f>H11</f>
        <v>6270678</v>
      </c>
      <c r="I83" s="63"/>
      <c r="K83" s="357">
        <f>K85-F83</f>
        <v>-5078878</v>
      </c>
      <c r="L83" s="63"/>
      <c r="M83" s="63"/>
      <c r="N83" s="63"/>
      <c r="O83" s="63"/>
    </row>
    <row r="84" spans="4:15">
      <c r="D84" s="341" t="s">
        <v>1078</v>
      </c>
      <c r="E84" s="342">
        <f>M116</f>
        <v>0</v>
      </c>
      <c r="F84" s="342">
        <f>E116</f>
        <v>0</v>
      </c>
      <c r="G84" s="342">
        <f>M253</f>
        <v>45796</v>
      </c>
      <c r="H84" s="342">
        <f>E253</f>
        <v>55146.607734806632</v>
      </c>
      <c r="I84" s="63"/>
      <c r="K84" s="357"/>
      <c r="L84" s="63"/>
      <c r="M84" s="63"/>
      <c r="N84" s="63"/>
      <c r="O84" s="63"/>
    </row>
    <row r="85" spans="4:15">
      <c r="D85" s="341" t="s">
        <v>1079</v>
      </c>
      <c r="E85" s="342">
        <f>SUM(E83:E84)</f>
        <v>11382383</v>
      </c>
      <c r="F85" s="342">
        <f>SUM(F83:F84)</f>
        <v>11382383</v>
      </c>
      <c r="G85" s="342">
        <f>SUM(G83:G84)</f>
        <v>6331684</v>
      </c>
      <c r="H85" s="342">
        <f>SUM(H83:H84)</f>
        <v>6325824.6077348068</v>
      </c>
      <c r="I85" s="63"/>
      <c r="J85" s="55">
        <v>6309478</v>
      </c>
      <c r="K85" s="357">
        <v>6303505</v>
      </c>
      <c r="L85" s="63">
        <f>K85-H85</f>
        <v>-22319.607734806836</v>
      </c>
      <c r="M85" s="63"/>
      <c r="N85" s="63"/>
      <c r="O85" s="63"/>
    </row>
    <row r="86" spans="4:15">
      <c r="D86" s="343" t="s">
        <v>1080</v>
      </c>
      <c r="E86" s="338">
        <f>ROUND(E82/E85,)</f>
        <v>-45</v>
      </c>
      <c r="F86" s="338">
        <f>F82/F85</f>
        <v>-69.304451449226406</v>
      </c>
      <c r="G86" s="338">
        <f>ROUND(G82/G85,)</f>
        <v>71</v>
      </c>
      <c r="H86" s="338">
        <f>ROUND(H82/H85,)</f>
        <v>209</v>
      </c>
      <c r="I86" s="118"/>
      <c r="J86" s="55">
        <f>G85-J85</f>
        <v>22206</v>
      </c>
      <c r="K86" s="63">
        <f>H85-K85</f>
        <v>22319.607734806836</v>
      </c>
      <c r="L86" s="63"/>
      <c r="M86" s="118"/>
      <c r="N86" s="63"/>
      <c r="O86" s="63"/>
    </row>
    <row r="87" spans="4:15" ht="15.45" thickBot="1">
      <c r="D87" s="332"/>
      <c r="E87" s="332"/>
      <c r="F87" s="344"/>
      <c r="G87" s="332"/>
      <c r="H87" s="332"/>
      <c r="I87" s="118"/>
      <c r="J87" s="63"/>
      <c r="K87" s="63"/>
      <c r="L87" s="63"/>
      <c r="M87" s="63"/>
      <c r="N87" s="63"/>
      <c r="O87" s="63"/>
    </row>
    <row r="88" spans="4:15" ht="15.45" thickBot="1">
      <c r="D88" s="345" t="s">
        <v>1081</v>
      </c>
      <c r="E88" s="346" t="str">
        <f>IF(E86&lt;E12,"ok","반희석")</f>
        <v>반희석</v>
      </c>
      <c r="F88" s="346" t="str">
        <f>IF(F86&lt;F12,"ok","반희석")</f>
        <v>ok</v>
      </c>
      <c r="G88" s="346" t="str">
        <f>IF(G86&lt;G12,"ok","반희석")</f>
        <v>ok</v>
      </c>
      <c r="H88" s="347" t="str">
        <f>IF(H86&lt;H12,"ok","반희석")</f>
        <v>ok</v>
      </c>
      <c r="I88" s="63"/>
      <c r="J88" s="63"/>
      <c r="K88" s="63"/>
      <c r="L88" s="63"/>
      <c r="M88" s="63"/>
      <c r="N88" s="63"/>
      <c r="O88" s="63"/>
    </row>
    <row r="89" spans="4:15">
      <c r="D89" s="332"/>
      <c r="E89" s="350"/>
      <c r="F89" s="350"/>
      <c r="G89" s="350"/>
      <c r="H89" s="350"/>
      <c r="I89" s="63"/>
      <c r="J89" s="63"/>
      <c r="K89" s="118"/>
      <c r="L89" s="63"/>
      <c r="M89" s="118"/>
      <c r="N89" s="63"/>
      <c r="O89" s="63"/>
    </row>
    <row r="90" spans="4:15">
      <c r="D90" s="332"/>
      <c r="E90" s="350"/>
      <c r="F90" s="350"/>
      <c r="G90" s="350"/>
      <c r="H90" s="350"/>
      <c r="I90" s="63"/>
      <c r="J90" s="63"/>
      <c r="K90" s="118"/>
      <c r="L90" s="63"/>
      <c r="M90" s="118"/>
      <c r="N90" s="63"/>
      <c r="O90" s="63"/>
    </row>
    <row r="91" spans="4:15">
      <c r="D91" s="1050" t="str">
        <f>E78</f>
        <v>당반기</v>
      </c>
      <c r="E91" s="919"/>
      <c r="F91" s="350"/>
      <c r="G91" s="350"/>
      <c r="H91" s="350"/>
      <c r="I91" s="63"/>
      <c r="J91" s="63"/>
      <c r="K91" s="118"/>
      <c r="L91" s="63"/>
      <c r="M91" s="118"/>
      <c r="N91" s="63"/>
      <c r="O91" s="63"/>
    </row>
    <row r="92" spans="4:15">
      <c r="D92" s="332"/>
      <c r="E92" s="351" t="s">
        <v>1086</v>
      </c>
      <c r="F92" s="351"/>
      <c r="G92" s="375"/>
      <c r="H92" s="375"/>
      <c r="I92" s="376"/>
      <c r="J92" s="375"/>
      <c r="K92" s="376"/>
      <c r="L92" s="63"/>
      <c r="M92" s="63"/>
    </row>
    <row r="93" spans="4:15" ht="15.45" thickBot="1">
      <c r="D93" s="332"/>
      <c r="E93" s="354" t="s">
        <v>1094</v>
      </c>
      <c r="F93" s="354" t="s">
        <v>1095</v>
      </c>
      <c r="G93" s="355" t="s">
        <v>1096</v>
      </c>
      <c r="H93" s="355" t="s">
        <v>1097</v>
      </c>
      <c r="I93" s="356" t="s">
        <v>1098</v>
      </c>
      <c r="J93" s="355" t="s">
        <v>1099</v>
      </c>
      <c r="K93" s="356" t="s">
        <v>1100</v>
      </c>
      <c r="L93" s="63"/>
      <c r="M93" s="63"/>
    </row>
    <row r="94" spans="4:15" ht="15.45" thickBot="1">
      <c r="D94" s="332" t="s">
        <v>1087</v>
      </c>
      <c r="E94" s="352">
        <v>0</v>
      </c>
      <c r="F94" s="352">
        <v>0</v>
      </c>
      <c r="G94" s="352">
        <v>0</v>
      </c>
      <c r="H94" s="352">
        <v>147000</v>
      </c>
      <c r="I94" s="352">
        <v>0</v>
      </c>
      <c r="J94" s="352">
        <v>67000</v>
      </c>
      <c r="K94" s="352">
        <v>50000</v>
      </c>
      <c r="L94" s="141">
        <f>SUM(E94:K94)</f>
        <v>264000</v>
      </c>
      <c r="M94" s="55" t="b">
        <f>L94='25'!E11</f>
        <v>1</v>
      </c>
    </row>
    <row r="95" spans="4:15">
      <c r="D95" s="332" t="s">
        <v>1088</v>
      </c>
      <c r="E95" s="352">
        <v>2346</v>
      </c>
      <c r="F95" s="352">
        <v>2346</v>
      </c>
      <c r="G95" s="352">
        <v>2346</v>
      </c>
      <c r="H95" s="352">
        <v>6500</v>
      </c>
      <c r="I95" s="352">
        <v>8000</v>
      </c>
      <c r="J95" s="352">
        <v>8500</v>
      </c>
      <c r="K95" s="352">
        <v>6500</v>
      </c>
      <c r="L95" s="63"/>
      <c r="M95" s="63"/>
    </row>
    <row r="96" spans="4:15">
      <c r="D96" s="332" t="s">
        <v>1089</v>
      </c>
      <c r="E96" s="352">
        <v>0</v>
      </c>
      <c r="F96" s="352">
        <v>0</v>
      </c>
      <c r="G96" s="352">
        <v>0</v>
      </c>
      <c r="H96" s="352">
        <v>0</v>
      </c>
      <c r="I96" s="352">
        <v>0</v>
      </c>
      <c r="J96" s="352">
        <v>0</v>
      </c>
      <c r="K96" s="352">
        <v>0</v>
      </c>
      <c r="L96" s="63"/>
      <c r="M96" s="63"/>
    </row>
    <row r="97" spans="4:18" ht="15.45" thickBot="1">
      <c r="D97" s="332" t="s">
        <v>1090</v>
      </c>
      <c r="E97" s="352">
        <f t="shared" ref="E97:K97" si="4">SUM(E95:E96)</f>
        <v>2346</v>
      </c>
      <c r="F97" s="352">
        <f t="shared" si="4"/>
        <v>2346</v>
      </c>
      <c r="G97" s="352">
        <f t="shared" si="4"/>
        <v>2346</v>
      </c>
      <c r="H97" s="352">
        <f t="shared" si="4"/>
        <v>6500</v>
      </c>
      <c r="I97" s="352">
        <f t="shared" si="4"/>
        <v>8000</v>
      </c>
      <c r="J97" s="352">
        <f t="shared" si="4"/>
        <v>8500</v>
      </c>
      <c r="K97" s="352">
        <f t="shared" si="4"/>
        <v>6500</v>
      </c>
      <c r="L97" s="63"/>
      <c r="M97" s="63"/>
    </row>
    <row r="98" spans="4:18" ht="15.45" thickBot="1">
      <c r="D98" s="332" t="s">
        <v>1112</v>
      </c>
      <c r="E98" s="353">
        <f t="shared" ref="E98:K98" si="5">$L$98</f>
        <v>6062.8</v>
      </c>
      <c r="F98" s="353">
        <f t="shared" si="5"/>
        <v>6062.8</v>
      </c>
      <c r="G98" s="353">
        <f t="shared" si="5"/>
        <v>6062.8</v>
      </c>
      <c r="H98" s="353">
        <f t="shared" si="5"/>
        <v>6062.8</v>
      </c>
      <c r="I98" s="353">
        <f t="shared" si="5"/>
        <v>6062.8</v>
      </c>
      <c r="J98" s="353">
        <f t="shared" si="5"/>
        <v>6062.8</v>
      </c>
      <c r="K98" s="353">
        <f t="shared" si="5"/>
        <v>6062.8</v>
      </c>
      <c r="L98" s="141">
        <f>G120</f>
        <v>6062.8</v>
      </c>
      <c r="M98" s="63"/>
    </row>
    <row r="99" spans="4:18">
      <c r="D99" s="332" t="s">
        <v>1091</v>
      </c>
      <c r="E99" s="352">
        <f t="shared" ref="E99:K99" si="6">E94*E97</f>
        <v>0</v>
      </c>
      <c r="F99" s="352">
        <f t="shared" si="6"/>
        <v>0</v>
      </c>
      <c r="G99" s="352">
        <f t="shared" si="6"/>
        <v>0</v>
      </c>
      <c r="H99" s="352">
        <f t="shared" si="6"/>
        <v>955500000</v>
      </c>
      <c r="I99" s="352">
        <f t="shared" si="6"/>
        <v>0</v>
      </c>
      <c r="J99" s="352">
        <f t="shared" si="6"/>
        <v>569500000</v>
      </c>
      <c r="K99" s="352">
        <f t="shared" si="6"/>
        <v>325000000</v>
      </c>
      <c r="L99" s="63"/>
      <c r="M99" s="63"/>
    </row>
    <row r="100" spans="4:18" ht="15.45" thickBot="1">
      <c r="D100" s="332" t="s">
        <v>1092</v>
      </c>
      <c r="E100" s="352">
        <f t="shared" ref="E100:K100" si="7">ROUND(E99/E98,)</f>
        <v>0</v>
      </c>
      <c r="F100" s="352">
        <f t="shared" si="7"/>
        <v>0</v>
      </c>
      <c r="G100" s="352">
        <f t="shared" si="7"/>
        <v>0</v>
      </c>
      <c r="H100" s="352">
        <f t="shared" si="7"/>
        <v>157600</v>
      </c>
      <c r="I100" s="352">
        <f t="shared" si="7"/>
        <v>0</v>
      </c>
      <c r="J100" s="352">
        <f t="shared" si="7"/>
        <v>93933</v>
      </c>
      <c r="K100" s="352">
        <f t="shared" si="7"/>
        <v>53606</v>
      </c>
      <c r="L100" s="63"/>
      <c r="M100" s="63"/>
    </row>
    <row r="101" spans="4:18" ht="15.45" thickBot="1">
      <c r="D101" s="332" t="s">
        <v>1093</v>
      </c>
      <c r="E101" s="352">
        <f>E94-E100</f>
        <v>0</v>
      </c>
      <c r="F101" s="352">
        <f t="shared" ref="F101:K101" si="8">F94-F100</f>
        <v>0</v>
      </c>
      <c r="G101" s="352">
        <f t="shared" si="8"/>
        <v>0</v>
      </c>
      <c r="H101" s="352">
        <f t="shared" si="8"/>
        <v>-10600</v>
      </c>
      <c r="I101" s="352">
        <f t="shared" si="8"/>
        <v>0</v>
      </c>
      <c r="J101" s="352">
        <f t="shared" si="8"/>
        <v>-26933</v>
      </c>
      <c r="K101" s="352">
        <f t="shared" si="8"/>
        <v>-3606</v>
      </c>
      <c r="L101" s="141">
        <f>SUMIFS($E$101:$K$101,$E$102:$K$102,"ㅇ")</f>
        <v>0</v>
      </c>
      <c r="M101" s="568">
        <v>94668.021978021599</v>
      </c>
      <c r="N101" s="55">
        <f>M101-L101</f>
        <v>94668.021978021599</v>
      </c>
    </row>
    <row r="102" spans="4:18" ht="15.45" thickBot="1">
      <c r="D102" s="332"/>
      <c r="E102" s="366" t="str">
        <f>IF(E101&gt;0,"ㅇ","x")</f>
        <v>x</v>
      </c>
      <c r="F102" s="346" t="str">
        <f t="shared" ref="F102:K102" si="9">IF(F101&gt;0,"ㅇ","x")</f>
        <v>x</v>
      </c>
      <c r="G102" s="346" t="str">
        <f>IF(G101&gt;0,"ㅇ","x")</f>
        <v>x</v>
      </c>
      <c r="H102" s="346" t="str">
        <f t="shared" si="9"/>
        <v>x</v>
      </c>
      <c r="I102" s="346" t="str">
        <f t="shared" si="9"/>
        <v>x</v>
      </c>
      <c r="J102" s="346" t="str">
        <f t="shared" si="9"/>
        <v>x</v>
      </c>
      <c r="K102" s="347" t="str">
        <f t="shared" si="9"/>
        <v>x</v>
      </c>
      <c r="L102" s="63"/>
      <c r="M102" s="63"/>
    </row>
    <row r="103" spans="4:18">
      <c r="D103" s="332"/>
      <c r="F103" s="350"/>
      <c r="G103" s="63"/>
      <c r="H103" s="63"/>
      <c r="I103" s="118"/>
      <c r="J103" s="63"/>
      <c r="K103" s="118"/>
      <c r="L103" s="63"/>
      <c r="M103" s="63"/>
    </row>
    <row r="104" spans="4:18">
      <c r="D104" s="332" t="s">
        <v>1120</v>
      </c>
      <c r="E104" s="365">
        <f>H36</f>
        <v>0</v>
      </c>
      <c r="F104" s="365">
        <f>H23</f>
        <v>0</v>
      </c>
      <c r="G104" s="63"/>
      <c r="H104" s="63"/>
      <c r="I104" s="118"/>
      <c r="J104" s="63"/>
      <c r="K104" s="118"/>
      <c r="L104" s="63"/>
      <c r="M104" s="63"/>
    </row>
    <row r="105" spans="4:18">
      <c r="D105" s="332" t="s">
        <v>1091</v>
      </c>
      <c r="E105" s="365">
        <f>E104*E95</f>
        <v>0</v>
      </c>
      <c r="F105" s="365">
        <f>F104*E95</f>
        <v>0</v>
      </c>
      <c r="G105" s="63"/>
      <c r="H105" s="63"/>
      <c r="I105" s="118"/>
      <c r="J105" s="63"/>
      <c r="K105" s="118"/>
      <c r="L105" s="63"/>
      <c r="M105" s="63"/>
    </row>
    <row r="106" spans="4:18">
      <c r="D106" s="332" t="s">
        <v>1092</v>
      </c>
      <c r="E106" s="576">
        <f>ROUND(E105/E98,)</f>
        <v>0</v>
      </c>
      <c r="F106" s="576">
        <f>ROUND(F105/F98,)</f>
        <v>0</v>
      </c>
      <c r="G106" s="63"/>
      <c r="H106" s="63"/>
      <c r="I106" s="118"/>
      <c r="J106" s="63"/>
      <c r="K106" s="118"/>
      <c r="L106" s="63"/>
      <c r="M106" s="63"/>
    </row>
    <row r="107" spans="4:18">
      <c r="D107" s="332"/>
      <c r="E107" s="365"/>
      <c r="F107" s="350"/>
      <c r="G107" s="63"/>
      <c r="H107" s="63"/>
      <c r="I107" s="118"/>
      <c r="J107" s="63"/>
      <c r="K107" s="118"/>
      <c r="L107" s="63"/>
      <c r="M107" s="63"/>
    </row>
    <row r="108" spans="4:18">
      <c r="D108" s="332"/>
      <c r="E108" s="350"/>
      <c r="F108" s="350"/>
      <c r="G108" s="63"/>
      <c r="H108" s="63"/>
      <c r="I108" s="118"/>
      <c r="J108" s="63"/>
      <c r="K108" s="118"/>
      <c r="L108" s="63"/>
      <c r="M108" s="63"/>
    </row>
    <row r="109" spans="4:18">
      <c r="D109" s="332" t="s">
        <v>1251</v>
      </c>
      <c r="E109" s="350"/>
      <c r="F109" s="350"/>
      <c r="G109" s="63"/>
      <c r="H109" s="63"/>
      <c r="I109" s="118"/>
      <c r="J109" s="63"/>
      <c r="K109" s="118"/>
      <c r="L109" s="917" t="s">
        <v>1871</v>
      </c>
      <c r="M109" s="350"/>
      <c r="N109" s="350"/>
      <c r="O109" s="63"/>
      <c r="P109" s="63"/>
      <c r="Q109" s="118"/>
      <c r="R109" s="63"/>
    </row>
    <row r="110" spans="4:18">
      <c r="D110" s="369" t="s">
        <v>1028</v>
      </c>
      <c r="E110" s="370" t="s">
        <v>1114</v>
      </c>
      <c r="F110" s="370" t="s">
        <v>1114</v>
      </c>
      <c r="G110" s="370" t="s">
        <v>1115</v>
      </c>
      <c r="H110" s="371" t="s">
        <v>1116</v>
      </c>
      <c r="I110" s="371" t="s">
        <v>1072</v>
      </c>
      <c r="J110" s="371" t="s">
        <v>1117</v>
      </c>
      <c r="K110" s="118"/>
      <c r="L110" s="369" t="s">
        <v>1028</v>
      </c>
      <c r="M110" s="370" t="s">
        <v>1114</v>
      </c>
      <c r="N110" s="370" t="s">
        <v>1114</v>
      </c>
      <c r="O110" s="370" t="s">
        <v>1115</v>
      </c>
      <c r="P110" s="371" t="s">
        <v>1116</v>
      </c>
      <c r="Q110" s="371" t="s">
        <v>1072</v>
      </c>
      <c r="R110" s="371" t="s">
        <v>1117</v>
      </c>
    </row>
    <row r="111" spans="4:18">
      <c r="D111" s="358" t="s">
        <v>1113</v>
      </c>
      <c r="E111" s="359"/>
      <c r="F111" s="359"/>
      <c r="G111" s="360"/>
      <c r="H111" s="361"/>
      <c r="I111" s="361"/>
      <c r="J111" s="367"/>
      <c r="K111" s="118"/>
      <c r="L111" s="358" t="s">
        <v>1113</v>
      </c>
      <c r="M111" s="359"/>
      <c r="N111" s="359"/>
      <c r="O111" s="360"/>
      <c r="P111" s="361">
        <f>N111-M111</f>
        <v>0</v>
      </c>
      <c r="Q111" s="361"/>
      <c r="R111" s="367"/>
    </row>
    <row r="112" spans="4:18">
      <c r="D112" s="358" t="s">
        <v>1113</v>
      </c>
      <c r="E112" s="359"/>
      <c r="F112" s="359"/>
      <c r="G112" s="360"/>
      <c r="H112" s="361"/>
      <c r="I112" s="361"/>
      <c r="J112" s="367"/>
      <c r="K112" s="118"/>
      <c r="L112" s="358"/>
      <c r="M112" s="359"/>
      <c r="N112" s="359"/>
      <c r="O112" s="360"/>
      <c r="P112" s="361"/>
      <c r="Q112" s="361"/>
      <c r="R112" s="367"/>
    </row>
    <row r="113" spans="4:18">
      <c r="D113" s="358" t="s">
        <v>1118</v>
      </c>
      <c r="E113" s="359">
        <v>46023</v>
      </c>
      <c r="F113" s="377">
        <v>46203</v>
      </c>
      <c r="G113" s="360">
        <f>E101</f>
        <v>0</v>
      </c>
      <c r="H113" s="361">
        <f>F113-E113+1</f>
        <v>181</v>
      </c>
      <c r="I113" s="361">
        <f>G113*H113</f>
        <v>0</v>
      </c>
      <c r="J113" s="372">
        <f>I113/H113</f>
        <v>0</v>
      </c>
      <c r="K113" s="118"/>
      <c r="L113" s="358" t="s">
        <v>1118</v>
      </c>
      <c r="M113" s="359">
        <v>46113</v>
      </c>
      <c r="N113" s="377">
        <v>46203</v>
      </c>
      <c r="O113" s="360">
        <f>G113</f>
        <v>0</v>
      </c>
      <c r="P113" s="361">
        <f>N113-M113+1</f>
        <v>91</v>
      </c>
      <c r="Q113" s="361">
        <f>O113*P113</f>
        <v>0</v>
      </c>
      <c r="R113" s="372">
        <f>Q113/P113</f>
        <v>0</v>
      </c>
    </row>
    <row r="114" spans="4:18" ht="15.45" thickBot="1">
      <c r="D114" s="362" t="s">
        <v>1119</v>
      </c>
      <c r="E114" s="363"/>
      <c r="F114" s="363"/>
      <c r="G114" s="364">
        <f>SUM(G111:G113)</f>
        <v>0</v>
      </c>
      <c r="H114" s="364">
        <f>SUM(H111:H113)</f>
        <v>181</v>
      </c>
      <c r="I114" s="364">
        <f>SUM(I111:I113)</f>
        <v>0</v>
      </c>
      <c r="J114" s="374">
        <f>SUM(J111:J113)</f>
        <v>0</v>
      </c>
      <c r="K114" s="118"/>
      <c r="L114" s="362" t="s">
        <v>1119</v>
      </c>
      <c r="M114" s="363"/>
      <c r="N114" s="363"/>
      <c r="O114" s="364">
        <f>SUM(O111:O113)</f>
        <v>0</v>
      </c>
      <c r="P114" s="364">
        <f>SUM(P111:P113)</f>
        <v>91</v>
      </c>
      <c r="Q114" s="364">
        <f>SUM(Q111:Q113)</f>
        <v>0</v>
      </c>
      <c r="R114" s="374">
        <f>SUM(R111:R113)</f>
        <v>0</v>
      </c>
    </row>
    <row r="115" spans="4:18" ht="15.9" thickTop="1" thickBot="1">
      <c r="D115" s="332"/>
      <c r="E115" s="1053">
        <v>45658</v>
      </c>
      <c r="F115" s="1053">
        <v>46022</v>
      </c>
      <c r="G115" s="63"/>
      <c r="H115" s="63">
        <f>F113-E113+1</f>
        <v>181</v>
      </c>
      <c r="I115" s="118"/>
      <c r="J115" s="63"/>
      <c r="K115" s="118"/>
      <c r="L115" s="63"/>
      <c r="M115" s="63"/>
    </row>
    <row r="116" spans="4:18" ht="15.45" thickBot="1">
      <c r="D116" s="368" t="s">
        <v>1121</v>
      </c>
      <c r="E116" s="373">
        <f>J114</f>
        <v>0</v>
      </c>
      <c r="F116" s="350"/>
      <c r="G116" s="63"/>
      <c r="H116" s="63"/>
      <c r="I116" s="118"/>
      <c r="J116" s="63"/>
      <c r="K116" s="118"/>
      <c r="L116" s="368" t="s">
        <v>1121</v>
      </c>
      <c r="M116" s="373">
        <f>R114</f>
        <v>0</v>
      </c>
    </row>
    <row r="117" spans="4:18">
      <c r="D117" s="332"/>
      <c r="E117" s="350"/>
      <c r="F117" s="350"/>
      <c r="G117" s="63"/>
      <c r="H117" s="63"/>
      <c r="I117" s="118"/>
      <c r="J117" s="63"/>
      <c r="K117" s="118"/>
      <c r="L117" s="63"/>
      <c r="M117" s="63"/>
    </row>
    <row r="118" spans="4:18">
      <c r="D118" s="332"/>
      <c r="E118" s="350"/>
      <c r="F118" s="350"/>
      <c r="G118" s="63"/>
      <c r="H118" s="63"/>
      <c r="I118" s="118"/>
      <c r="J118" s="63"/>
      <c r="K118" s="118"/>
      <c r="L118" s="63"/>
      <c r="M118" s="63"/>
    </row>
    <row r="119" spans="4:18" ht="15.45" thickBot="1">
      <c r="D119" s="332"/>
      <c r="E119" s="350"/>
      <c r="F119" s="350"/>
      <c r="G119" s="63"/>
      <c r="H119" s="63"/>
      <c r="I119" s="118"/>
      <c r="J119" s="63"/>
      <c r="K119" s="118"/>
      <c r="L119" s="63"/>
      <c r="M119" s="63"/>
    </row>
    <row r="120" spans="4:18" s="383" customFormat="1" ht="15.45" thickBot="1">
      <c r="D120" s="378"/>
      <c r="E120" s="379"/>
      <c r="F120" s="379"/>
      <c r="G120" s="141">
        <f>AVERAGE(G122:G225)</f>
        <v>6062.8</v>
      </c>
      <c r="H120" s="379"/>
      <c r="I120" s="380"/>
      <c r="J120" s="381" t="s">
        <v>1122</v>
      </c>
      <c r="K120" s="382"/>
    </row>
    <row r="121" spans="4:18" ht="30">
      <c r="D121" s="722" t="s">
        <v>1101</v>
      </c>
      <c r="E121" s="722" t="s">
        <v>1102</v>
      </c>
      <c r="F121" s="722" t="s">
        <v>1103</v>
      </c>
      <c r="G121" s="722" t="s">
        <v>1104</v>
      </c>
      <c r="H121" s="722" t="s">
        <v>1105</v>
      </c>
      <c r="I121" s="722" t="s">
        <v>1106</v>
      </c>
      <c r="J121" s="722" t="s">
        <v>1107</v>
      </c>
      <c r="K121" s="118"/>
    </row>
    <row r="122" spans="4:18">
      <c r="D122" s="723" t="s">
        <v>1108</v>
      </c>
      <c r="E122" s="723" t="s">
        <v>1109</v>
      </c>
      <c r="F122" s="723" t="s">
        <v>2378</v>
      </c>
      <c r="G122" s="724">
        <v>6000</v>
      </c>
      <c r="H122" s="724">
        <v>1</v>
      </c>
      <c r="I122" s="723" t="s">
        <v>2379</v>
      </c>
      <c r="J122" s="1051"/>
      <c r="K122" s="118"/>
    </row>
    <row r="123" spans="4:18">
      <c r="D123" s="1196" t="s">
        <v>1108</v>
      </c>
      <c r="E123" s="1196" t="s">
        <v>1109</v>
      </c>
      <c r="F123" s="1196" t="s">
        <v>2380</v>
      </c>
      <c r="G123" s="1197">
        <v>5000</v>
      </c>
      <c r="H123" s="1197">
        <v>2000</v>
      </c>
      <c r="I123" s="1196" t="s">
        <v>2379</v>
      </c>
      <c r="J123" s="1196"/>
      <c r="K123" s="118"/>
    </row>
    <row r="124" spans="4:18">
      <c r="D124" s="1196" t="s">
        <v>1108</v>
      </c>
      <c r="E124" s="1196" t="s">
        <v>1109</v>
      </c>
      <c r="F124" s="1196" t="s">
        <v>2381</v>
      </c>
      <c r="G124" s="1197">
        <v>6000</v>
      </c>
      <c r="H124" s="1197">
        <v>200</v>
      </c>
      <c r="I124" s="1196" t="s">
        <v>2379</v>
      </c>
      <c r="J124" s="1196"/>
      <c r="K124" s="118"/>
    </row>
    <row r="125" spans="4:18">
      <c r="D125" s="1196" t="s">
        <v>1108</v>
      </c>
      <c r="E125" s="1196" t="s">
        <v>1109</v>
      </c>
      <c r="F125" s="1196" t="s">
        <v>2239</v>
      </c>
      <c r="G125" s="1197">
        <v>6500</v>
      </c>
      <c r="H125" s="1197">
        <v>2000</v>
      </c>
      <c r="I125" s="1196" t="s">
        <v>1110</v>
      </c>
      <c r="J125" s="1196"/>
      <c r="K125" s="118"/>
    </row>
    <row r="126" spans="4:18">
      <c r="D126" s="1051" t="s">
        <v>1108</v>
      </c>
      <c r="E126" s="1051" t="s">
        <v>1109</v>
      </c>
      <c r="F126" s="1051" t="s">
        <v>2240</v>
      </c>
      <c r="G126" s="1052">
        <v>6500</v>
      </c>
      <c r="H126" s="1052">
        <v>1</v>
      </c>
      <c r="I126" s="1051" t="s">
        <v>1110</v>
      </c>
      <c r="J126" s="1051"/>
      <c r="K126" s="118"/>
    </row>
    <row r="127" spans="4:18">
      <c r="D127" s="1051" t="s">
        <v>1108</v>
      </c>
      <c r="E127" s="1051" t="s">
        <v>1109</v>
      </c>
      <c r="F127" s="1051" t="s">
        <v>2241</v>
      </c>
      <c r="G127" s="1052">
        <v>5000</v>
      </c>
      <c r="H127" s="1052">
        <v>2001</v>
      </c>
      <c r="I127" s="1051" t="s">
        <v>1110</v>
      </c>
      <c r="J127" s="1051"/>
      <c r="K127" s="118"/>
    </row>
    <row r="128" spans="4:18">
      <c r="D128" s="1051" t="s">
        <v>1108</v>
      </c>
      <c r="E128" s="1051" t="s">
        <v>1109</v>
      </c>
      <c r="F128" s="1051" t="s">
        <v>2242</v>
      </c>
      <c r="G128" s="1052">
        <v>5000</v>
      </c>
      <c r="H128" s="1052">
        <v>1</v>
      </c>
      <c r="I128" s="1051" t="s">
        <v>1110</v>
      </c>
      <c r="J128" s="1051"/>
      <c r="K128" s="118"/>
    </row>
    <row r="129" spans="4:11">
      <c r="D129" s="1051" t="s">
        <v>1108</v>
      </c>
      <c r="E129" s="1051" t="s">
        <v>1109</v>
      </c>
      <c r="F129" s="1051" t="s">
        <v>2243</v>
      </c>
      <c r="G129" s="1052">
        <v>6950</v>
      </c>
      <c r="H129" s="1052">
        <v>1000</v>
      </c>
      <c r="I129" s="1051" t="s">
        <v>1110</v>
      </c>
      <c r="J129" s="1051"/>
      <c r="K129" s="118"/>
    </row>
    <row r="130" spans="4:11">
      <c r="D130" s="1051" t="s">
        <v>1108</v>
      </c>
      <c r="E130" s="1051" t="s">
        <v>1109</v>
      </c>
      <c r="F130" s="1051" t="s">
        <v>2244</v>
      </c>
      <c r="G130" s="1052">
        <v>6832</v>
      </c>
      <c r="H130" s="1052">
        <v>4200</v>
      </c>
      <c r="I130" s="1051" t="s">
        <v>1110</v>
      </c>
      <c r="J130" s="1051"/>
      <c r="K130" s="118"/>
    </row>
    <row r="131" spans="4:11">
      <c r="D131" s="1051" t="s">
        <v>1108</v>
      </c>
      <c r="E131" s="1051" t="s">
        <v>1109</v>
      </c>
      <c r="F131" s="1051" t="s">
        <v>2245</v>
      </c>
      <c r="G131" s="1052">
        <v>6700</v>
      </c>
      <c r="H131" s="1052">
        <v>200</v>
      </c>
      <c r="I131" s="1051" t="s">
        <v>1110</v>
      </c>
      <c r="J131" s="1051"/>
      <c r="K131" s="118"/>
    </row>
    <row r="132" spans="4:11">
      <c r="D132" s="1051" t="s">
        <v>1108</v>
      </c>
      <c r="E132" s="1051" t="s">
        <v>1109</v>
      </c>
      <c r="F132" s="1051" t="s">
        <v>2246</v>
      </c>
      <c r="G132" s="1052">
        <v>6560</v>
      </c>
      <c r="H132" s="1052">
        <v>559</v>
      </c>
      <c r="I132" s="1051" t="s">
        <v>1110</v>
      </c>
      <c r="J132" s="1051"/>
      <c r="K132" s="118"/>
    </row>
    <row r="133" spans="4:11">
      <c r="D133" s="1051" t="s">
        <v>1108</v>
      </c>
      <c r="E133" s="1051" t="s">
        <v>1109</v>
      </c>
      <c r="F133" s="1051" t="s">
        <v>2247</v>
      </c>
      <c r="G133" s="1052">
        <v>6500</v>
      </c>
      <c r="H133" s="1052">
        <v>2190</v>
      </c>
      <c r="I133" s="1051" t="s">
        <v>1110</v>
      </c>
      <c r="J133" s="1051"/>
      <c r="K133" s="118"/>
    </row>
    <row r="134" spans="4:11">
      <c r="D134" s="1051" t="s">
        <v>1108</v>
      </c>
      <c r="E134" s="1051" t="s">
        <v>1109</v>
      </c>
      <c r="F134" s="1051" t="s">
        <v>2248</v>
      </c>
      <c r="G134" s="1052">
        <v>6500</v>
      </c>
      <c r="H134" s="1052">
        <v>300</v>
      </c>
      <c r="I134" s="1051" t="s">
        <v>1110</v>
      </c>
      <c r="J134" s="1051"/>
      <c r="K134" s="118"/>
    </row>
    <row r="135" spans="4:11">
      <c r="D135" s="723" t="s">
        <v>1108</v>
      </c>
      <c r="E135" s="723" t="s">
        <v>1109</v>
      </c>
      <c r="F135" s="723" t="s">
        <v>2249</v>
      </c>
      <c r="G135" s="724">
        <v>6500</v>
      </c>
      <c r="H135" s="724">
        <v>100</v>
      </c>
      <c r="I135" s="723" t="s">
        <v>1110</v>
      </c>
      <c r="J135" s="1051"/>
      <c r="K135" s="118"/>
    </row>
    <row r="136" spans="4:11">
      <c r="D136" s="723" t="s">
        <v>1108</v>
      </c>
      <c r="E136" s="723" t="s">
        <v>1109</v>
      </c>
      <c r="F136" s="723" t="s">
        <v>2250</v>
      </c>
      <c r="G136" s="724">
        <v>6500</v>
      </c>
      <c r="H136" s="724">
        <v>150</v>
      </c>
      <c r="I136" s="723" t="s">
        <v>1110</v>
      </c>
      <c r="J136" s="1051"/>
      <c r="K136" s="118"/>
    </row>
    <row r="137" spans="4:11">
      <c r="D137" s="1051" t="s">
        <v>1108</v>
      </c>
      <c r="E137" s="1051" t="s">
        <v>1109</v>
      </c>
      <c r="F137" s="1051" t="s">
        <v>2251</v>
      </c>
      <c r="G137" s="1052">
        <v>6500</v>
      </c>
      <c r="H137" s="1052">
        <v>652</v>
      </c>
      <c r="I137" s="1051" t="s">
        <v>1110</v>
      </c>
      <c r="J137" s="1051"/>
      <c r="K137" s="118"/>
    </row>
    <row r="138" spans="4:11">
      <c r="D138" s="1051" t="s">
        <v>1108</v>
      </c>
      <c r="E138" s="1051" t="s">
        <v>1109</v>
      </c>
      <c r="F138" s="1051" t="s">
        <v>2252</v>
      </c>
      <c r="G138" s="1052">
        <v>6551</v>
      </c>
      <c r="H138" s="1052">
        <v>1653</v>
      </c>
      <c r="I138" s="1051" t="s">
        <v>1110</v>
      </c>
      <c r="J138" s="1051"/>
      <c r="K138" s="118"/>
    </row>
    <row r="139" spans="4:11">
      <c r="D139" s="1051" t="s">
        <v>1108</v>
      </c>
      <c r="E139" s="1051" t="s">
        <v>1109</v>
      </c>
      <c r="F139" s="1051" t="s">
        <v>2253</v>
      </c>
      <c r="G139" s="1052">
        <v>5968</v>
      </c>
      <c r="H139" s="1052">
        <v>2570</v>
      </c>
      <c r="I139" s="1051" t="s">
        <v>1110</v>
      </c>
      <c r="J139" s="1051"/>
      <c r="K139" s="118"/>
    </row>
    <row r="140" spans="4:11">
      <c r="D140" s="1051" t="s">
        <v>1108</v>
      </c>
      <c r="E140" s="1051" t="s">
        <v>1109</v>
      </c>
      <c r="F140" s="1051" t="s">
        <v>2254</v>
      </c>
      <c r="G140" s="1052">
        <v>5700</v>
      </c>
      <c r="H140" s="1052">
        <v>900</v>
      </c>
      <c r="I140" s="1051" t="s">
        <v>1110</v>
      </c>
      <c r="J140" s="1051"/>
      <c r="K140" s="118"/>
    </row>
    <row r="141" spans="4:11">
      <c r="D141" s="1051" t="s">
        <v>1108</v>
      </c>
      <c r="E141" s="1051" t="s">
        <v>1109</v>
      </c>
      <c r="F141" s="1051" t="s">
        <v>2255</v>
      </c>
      <c r="G141" s="1052">
        <v>5599</v>
      </c>
      <c r="H141" s="1052">
        <v>501</v>
      </c>
      <c r="I141" s="1051" t="s">
        <v>1110</v>
      </c>
      <c r="J141" s="1051"/>
      <c r="K141" s="118"/>
    </row>
    <row r="142" spans="4:11">
      <c r="D142" s="1051" t="s">
        <v>1108</v>
      </c>
      <c r="E142" s="1051" t="s">
        <v>1109</v>
      </c>
      <c r="F142" s="1051" t="s">
        <v>2256</v>
      </c>
      <c r="G142" s="1052">
        <v>5550</v>
      </c>
      <c r="H142" s="1052">
        <v>499</v>
      </c>
      <c r="I142" s="1051" t="s">
        <v>1110</v>
      </c>
      <c r="J142" s="1051"/>
      <c r="K142" s="118"/>
    </row>
    <row r="143" spans="4:11">
      <c r="D143" s="1051" t="s">
        <v>1108</v>
      </c>
      <c r="E143" s="1051" t="s">
        <v>1109</v>
      </c>
      <c r="F143" s="1051" t="s">
        <v>2257</v>
      </c>
      <c r="G143" s="1052">
        <v>5550</v>
      </c>
      <c r="H143" s="1052">
        <v>101</v>
      </c>
      <c r="I143" s="1051" t="s">
        <v>1110</v>
      </c>
      <c r="J143" s="1051"/>
      <c r="K143" s="118"/>
    </row>
    <row r="144" spans="4:11">
      <c r="D144" s="723" t="s">
        <v>1108</v>
      </c>
      <c r="E144" s="723" t="s">
        <v>1109</v>
      </c>
      <c r="F144" s="723" t="s">
        <v>2258</v>
      </c>
      <c r="G144" s="724">
        <v>5610</v>
      </c>
      <c r="H144" s="724">
        <v>1000</v>
      </c>
      <c r="I144" s="723" t="s">
        <v>1110</v>
      </c>
      <c r="J144" s="723"/>
      <c r="K144" s="118"/>
    </row>
    <row r="145" spans="4:11">
      <c r="D145" s="1051" t="s">
        <v>1108</v>
      </c>
      <c r="E145" s="1051" t="s">
        <v>1109</v>
      </c>
      <c r="F145" s="1051" t="s">
        <v>2259</v>
      </c>
      <c r="G145" s="1052">
        <v>5800</v>
      </c>
      <c r="H145" s="1052">
        <v>1</v>
      </c>
      <c r="I145" s="1051" t="s">
        <v>1110</v>
      </c>
      <c r="J145" s="1051"/>
      <c r="K145" s="118"/>
    </row>
    <row r="146" spans="4:11">
      <c r="D146" s="1051" t="s">
        <v>1108</v>
      </c>
      <c r="E146" s="1051" t="s">
        <v>1109</v>
      </c>
      <c r="F146" s="1051" t="s">
        <v>2260</v>
      </c>
      <c r="G146" s="1052">
        <v>5700</v>
      </c>
      <c r="H146" s="1052">
        <v>300</v>
      </c>
      <c r="I146" s="1051" t="s">
        <v>1110</v>
      </c>
      <c r="J146" s="1051"/>
      <c r="K146" s="118"/>
    </row>
    <row r="147" spans="4:11">
      <c r="D147" s="1051"/>
      <c r="E147" s="1051"/>
      <c r="F147" s="1051"/>
      <c r="G147" s="1052"/>
      <c r="H147" s="1052"/>
      <c r="I147" s="1051"/>
      <c r="J147" s="1051"/>
      <c r="K147" s="118"/>
    </row>
    <row r="148" spans="4:11">
      <c r="D148" s="1051"/>
      <c r="E148" s="1051"/>
      <c r="F148" s="1051"/>
      <c r="G148" s="1052"/>
      <c r="H148" s="1052"/>
      <c r="I148" s="1051"/>
      <c r="J148" s="1051"/>
      <c r="K148" s="118"/>
    </row>
    <row r="149" spans="4:11">
      <c r="D149" s="1051"/>
      <c r="E149" s="1051"/>
      <c r="F149" s="1051"/>
      <c r="G149" s="1052"/>
      <c r="H149" s="1052"/>
      <c r="I149" s="1051"/>
      <c r="J149" s="1051"/>
      <c r="K149" s="118"/>
    </row>
    <row r="150" spans="4:11">
      <c r="D150" s="1051"/>
      <c r="E150" s="1051"/>
      <c r="F150" s="1051"/>
      <c r="G150" s="1052"/>
      <c r="H150" s="1052"/>
      <c r="I150" s="1051"/>
      <c r="J150" s="1051"/>
      <c r="K150" s="118"/>
    </row>
    <row r="151" spans="4:11">
      <c r="D151" s="1051"/>
      <c r="E151" s="1051"/>
      <c r="F151" s="1051"/>
      <c r="G151" s="1052"/>
      <c r="H151" s="1052"/>
      <c r="I151" s="1051"/>
      <c r="J151" s="1051"/>
      <c r="K151" s="118"/>
    </row>
    <row r="152" spans="4:11">
      <c r="D152" s="1051"/>
      <c r="E152" s="1051"/>
      <c r="F152" s="1051"/>
      <c r="G152" s="1052"/>
      <c r="H152" s="1052"/>
      <c r="I152" s="1051"/>
      <c r="J152" s="1051"/>
      <c r="K152" s="118"/>
    </row>
    <row r="153" spans="4:11">
      <c r="D153" s="1051"/>
      <c r="E153" s="1051"/>
      <c r="F153" s="1051"/>
      <c r="G153" s="1052"/>
      <c r="H153" s="1052"/>
      <c r="I153" s="1051"/>
      <c r="J153" s="1051"/>
      <c r="K153" s="118"/>
    </row>
    <row r="154" spans="4:11">
      <c r="D154" s="723"/>
      <c r="E154" s="723"/>
      <c r="F154" s="723"/>
      <c r="G154" s="724"/>
      <c r="H154" s="724"/>
      <c r="I154" s="723"/>
      <c r="J154" s="723"/>
      <c r="K154" s="118"/>
    </row>
    <row r="155" spans="4:11">
      <c r="D155" s="723"/>
      <c r="E155" s="723"/>
      <c r="F155" s="723"/>
      <c r="G155" s="724"/>
      <c r="H155" s="724"/>
      <c r="I155" s="723"/>
      <c r="J155" s="723"/>
      <c r="K155" s="118"/>
    </row>
    <row r="156" spans="4:11">
      <c r="D156" s="723"/>
      <c r="E156" s="723"/>
      <c r="F156" s="723"/>
      <c r="G156" s="724"/>
      <c r="H156" s="724"/>
      <c r="I156" s="723"/>
      <c r="J156" s="723"/>
      <c r="K156" s="118"/>
    </row>
    <row r="157" spans="4:11">
      <c r="D157" s="723"/>
      <c r="E157" s="723"/>
      <c r="F157" s="723"/>
      <c r="G157" s="724"/>
      <c r="H157" s="724"/>
      <c r="I157" s="723"/>
      <c r="J157" s="723"/>
      <c r="K157" s="118"/>
    </row>
    <row r="158" spans="4:11">
      <c r="D158" s="723"/>
      <c r="E158" s="723"/>
      <c r="F158" s="723"/>
      <c r="G158" s="724"/>
      <c r="H158" s="724"/>
      <c r="I158" s="723"/>
      <c r="J158" s="723"/>
      <c r="K158" s="118"/>
    </row>
    <row r="159" spans="4:11">
      <c r="D159" s="723"/>
      <c r="E159" s="723"/>
      <c r="F159" s="723"/>
      <c r="G159" s="724"/>
      <c r="H159" s="724"/>
      <c r="I159" s="723"/>
      <c r="J159" s="723"/>
      <c r="K159" s="118"/>
    </row>
    <row r="160" spans="4:11">
      <c r="D160" s="723"/>
      <c r="E160" s="723"/>
      <c r="F160" s="723"/>
      <c r="G160" s="724"/>
      <c r="H160" s="724"/>
      <c r="I160" s="723"/>
      <c r="J160" s="723"/>
      <c r="K160" s="118"/>
    </row>
    <row r="161" spans="4:11">
      <c r="D161" s="723"/>
      <c r="E161" s="723"/>
      <c r="F161" s="723"/>
      <c r="G161" s="724"/>
      <c r="H161" s="724"/>
      <c r="I161" s="723"/>
      <c r="J161" s="723"/>
      <c r="K161" s="118"/>
    </row>
    <row r="162" spans="4:11">
      <c r="D162" s="723"/>
      <c r="E162" s="723"/>
      <c r="F162" s="723"/>
      <c r="G162" s="724"/>
      <c r="H162" s="724"/>
      <c r="I162" s="723"/>
      <c r="J162" s="723"/>
      <c r="K162" s="118"/>
    </row>
    <row r="163" spans="4:11">
      <c r="D163" s="723"/>
      <c r="E163" s="723"/>
      <c r="F163" s="723"/>
      <c r="G163" s="724"/>
      <c r="H163" s="724"/>
      <c r="I163" s="723"/>
      <c r="J163" s="723"/>
      <c r="K163" s="118"/>
    </row>
    <row r="164" spans="4:11">
      <c r="D164" s="920"/>
      <c r="E164" s="920"/>
      <c r="F164" s="920"/>
      <c r="G164" s="921"/>
      <c r="H164" s="921"/>
      <c r="I164" s="920"/>
      <c r="J164" s="920"/>
      <c r="K164" s="118"/>
    </row>
    <row r="165" spans="4:11">
      <c r="D165" s="920"/>
      <c r="E165" s="920"/>
      <c r="F165" s="920"/>
      <c r="G165" s="921"/>
      <c r="H165" s="921"/>
      <c r="I165" s="920"/>
      <c r="J165" s="920"/>
      <c r="K165" s="118"/>
    </row>
    <row r="166" spans="4:11">
      <c r="D166" s="920"/>
      <c r="E166" s="920"/>
      <c r="F166" s="920"/>
      <c r="G166" s="921"/>
      <c r="H166" s="921"/>
      <c r="I166" s="920"/>
      <c r="J166" s="920"/>
      <c r="K166" s="118"/>
    </row>
    <row r="167" spans="4:11">
      <c r="D167" s="920"/>
      <c r="E167" s="920"/>
      <c r="F167" s="920"/>
      <c r="G167" s="921"/>
      <c r="H167" s="921"/>
      <c r="I167" s="920"/>
      <c r="J167" s="920"/>
      <c r="K167" s="118"/>
    </row>
    <row r="168" spans="4:11">
      <c r="D168" s="920"/>
      <c r="E168" s="920"/>
      <c r="F168" s="920"/>
      <c r="G168" s="921"/>
      <c r="H168" s="921"/>
      <c r="I168" s="920"/>
      <c r="J168" s="920"/>
      <c r="K168" s="118"/>
    </row>
    <row r="169" spans="4:11">
      <c r="D169" s="920"/>
      <c r="E169" s="920"/>
      <c r="F169" s="920"/>
      <c r="G169" s="921"/>
      <c r="H169" s="921"/>
      <c r="I169" s="920"/>
      <c r="J169" s="920"/>
      <c r="K169" s="118"/>
    </row>
    <row r="170" spans="4:11">
      <c r="D170" s="920"/>
      <c r="E170" s="920"/>
      <c r="F170" s="920"/>
      <c r="G170" s="921"/>
      <c r="H170" s="921"/>
      <c r="I170" s="920"/>
      <c r="J170" s="920"/>
      <c r="K170" s="118"/>
    </row>
    <row r="171" spans="4:11">
      <c r="D171" s="920"/>
      <c r="E171" s="920"/>
      <c r="F171" s="920"/>
      <c r="G171" s="921"/>
      <c r="H171" s="921"/>
      <c r="I171" s="920"/>
      <c r="J171" s="920"/>
      <c r="K171" s="118"/>
    </row>
    <row r="172" spans="4:11">
      <c r="D172" s="920"/>
      <c r="E172" s="920"/>
      <c r="F172" s="920"/>
      <c r="G172" s="921"/>
      <c r="H172" s="921"/>
      <c r="I172" s="920"/>
      <c r="J172" s="920"/>
      <c r="K172" s="118"/>
    </row>
    <row r="173" spans="4:11">
      <c r="D173" s="920"/>
      <c r="E173" s="920"/>
      <c r="F173" s="920"/>
      <c r="G173" s="921"/>
      <c r="H173" s="921"/>
      <c r="I173" s="920"/>
      <c r="J173" s="920"/>
      <c r="K173" s="118"/>
    </row>
    <row r="174" spans="4:11">
      <c r="D174" s="920"/>
      <c r="E174" s="920"/>
      <c r="F174" s="920"/>
      <c r="G174" s="921"/>
      <c r="H174" s="921"/>
      <c r="I174" s="920"/>
      <c r="J174" s="920"/>
      <c r="K174" s="118"/>
    </row>
    <row r="175" spans="4:11">
      <c r="D175" s="920"/>
      <c r="E175" s="920"/>
      <c r="F175" s="920"/>
      <c r="G175" s="921"/>
      <c r="H175" s="921"/>
      <c r="I175" s="920"/>
      <c r="J175" s="920"/>
      <c r="K175" s="118"/>
    </row>
    <row r="176" spans="4:11">
      <c r="D176" s="920"/>
      <c r="E176" s="920"/>
      <c r="F176" s="920"/>
      <c r="G176" s="921"/>
      <c r="H176" s="921"/>
      <c r="I176" s="920"/>
      <c r="J176" s="920"/>
      <c r="K176" s="118"/>
    </row>
    <row r="177" spans="4:11">
      <c r="D177" s="920"/>
      <c r="E177" s="920"/>
      <c r="F177" s="920"/>
      <c r="G177" s="921"/>
      <c r="H177" s="921"/>
      <c r="I177" s="920"/>
      <c r="J177" s="920"/>
      <c r="K177" s="118"/>
    </row>
    <row r="178" spans="4:11">
      <c r="D178" s="920"/>
      <c r="E178" s="920"/>
      <c r="F178" s="920"/>
      <c r="G178" s="921"/>
      <c r="H178" s="921"/>
      <c r="I178" s="920"/>
      <c r="J178" s="920"/>
      <c r="K178" s="118"/>
    </row>
    <row r="179" spans="4:11">
      <c r="D179" s="920"/>
      <c r="E179" s="920"/>
      <c r="F179" s="920"/>
      <c r="G179" s="921"/>
      <c r="H179" s="921"/>
      <c r="I179" s="920"/>
      <c r="J179" s="920"/>
      <c r="K179" s="118"/>
    </row>
    <row r="180" spans="4:11">
      <c r="D180" s="920"/>
      <c r="E180" s="920"/>
      <c r="F180" s="920"/>
      <c r="G180" s="921"/>
      <c r="H180" s="921"/>
      <c r="I180" s="920"/>
      <c r="J180" s="920"/>
      <c r="K180" s="118"/>
    </row>
    <row r="181" spans="4:11">
      <c r="D181" s="920"/>
      <c r="E181" s="920"/>
      <c r="F181" s="920"/>
      <c r="G181" s="921"/>
      <c r="H181" s="921"/>
      <c r="I181" s="920"/>
      <c r="J181" s="920"/>
      <c r="K181" s="118"/>
    </row>
    <row r="182" spans="4:11">
      <c r="D182" s="920"/>
      <c r="E182" s="920"/>
      <c r="F182" s="920"/>
      <c r="G182" s="921"/>
      <c r="H182" s="921"/>
      <c r="I182" s="920"/>
      <c r="J182" s="920"/>
      <c r="K182" s="118"/>
    </row>
    <row r="183" spans="4:11">
      <c r="D183" s="920"/>
      <c r="E183" s="920"/>
      <c r="F183" s="920"/>
      <c r="G183" s="921"/>
      <c r="H183" s="921"/>
      <c r="I183" s="920"/>
      <c r="J183" s="920"/>
      <c r="K183" s="118"/>
    </row>
    <row r="184" spans="4:11">
      <c r="D184" s="920"/>
      <c r="E184" s="920"/>
      <c r="F184" s="920"/>
      <c r="G184" s="921"/>
      <c r="H184" s="921"/>
      <c r="I184" s="920"/>
      <c r="J184" s="920"/>
      <c r="K184" s="118"/>
    </row>
    <row r="185" spans="4:11">
      <c r="D185" s="920"/>
      <c r="E185" s="920"/>
      <c r="F185" s="920"/>
      <c r="G185" s="921"/>
      <c r="H185" s="921"/>
      <c r="I185" s="920"/>
      <c r="J185" s="920"/>
      <c r="K185" s="118"/>
    </row>
    <row r="186" spans="4:11">
      <c r="D186" s="920"/>
      <c r="E186" s="920"/>
      <c r="F186" s="920"/>
      <c r="G186" s="921"/>
      <c r="H186" s="921"/>
      <c r="I186" s="920"/>
      <c r="J186" s="920"/>
      <c r="K186" s="118"/>
    </row>
    <row r="187" spans="4:11">
      <c r="D187" s="920"/>
      <c r="E187" s="920"/>
      <c r="F187" s="920"/>
      <c r="G187" s="921"/>
      <c r="H187" s="921"/>
      <c r="I187" s="920"/>
      <c r="J187" s="920"/>
      <c r="K187" s="118"/>
    </row>
    <row r="188" spans="4:11">
      <c r="D188" s="920"/>
      <c r="E188" s="920"/>
      <c r="F188" s="920"/>
      <c r="G188" s="921"/>
      <c r="H188" s="921"/>
      <c r="I188" s="920"/>
      <c r="J188" s="920"/>
      <c r="K188" s="118"/>
    </row>
    <row r="189" spans="4:11">
      <c r="D189" s="920"/>
      <c r="E189" s="920"/>
      <c r="F189" s="920"/>
      <c r="G189" s="921"/>
      <c r="H189" s="921"/>
      <c r="I189" s="920"/>
      <c r="J189" s="920"/>
      <c r="K189" s="118"/>
    </row>
    <row r="190" spans="4:11">
      <c r="D190" s="723"/>
      <c r="E190" s="723"/>
      <c r="F190" s="723"/>
      <c r="G190" s="724"/>
      <c r="H190" s="724"/>
      <c r="I190" s="723"/>
      <c r="J190" s="723"/>
      <c r="K190" s="118"/>
    </row>
    <row r="191" spans="4:11">
      <c r="D191" s="723"/>
      <c r="E191" s="723"/>
      <c r="F191" s="723"/>
      <c r="G191" s="724"/>
      <c r="H191" s="724"/>
      <c r="I191" s="723"/>
      <c r="J191" s="723"/>
      <c r="K191" s="118"/>
    </row>
    <row r="192" spans="4:11">
      <c r="D192" s="723"/>
      <c r="E192" s="723"/>
      <c r="F192" s="723"/>
      <c r="G192" s="724"/>
      <c r="H192" s="724"/>
      <c r="I192" s="723"/>
      <c r="J192" s="723"/>
      <c r="K192" s="118"/>
    </row>
    <row r="193" spans="4:11">
      <c r="D193" s="723"/>
      <c r="E193" s="723"/>
      <c r="F193" s="723"/>
      <c r="G193" s="724"/>
      <c r="H193" s="724"/>
      <c r="I193" s="723"/>
      <c r="J193" s="723"/>
      <c r="K193" s="118"/>
    </row>
    <row r="194" spans="4:11">
      <c r="D194" s="920"/>
      <c r="E194" s="920"/>
      <c r="F194" s="920"/>
      <c r="G194" s="921"/>
      <c r="H194" s="921"/>
      <c r="I194" s="920"/>
      <c r="J194" s="920"/>
      <c r="K194" s="118"/>
    </row>
    <row r="195" spans="4:11">
      <c r="D195" s="920"/>
      <c r="E195" s="920"/>
      <c r="F195" s="920"/>
      <c r="G195" s="921"/>
      <c r="H195" s="921"/>
      <c r="I195" s="920"/>
      <c r="J195" s="920"/>
      <c r="K195" s="118"/>
    </row>
    <row r="196" spans="4:11">
      <c r="D196" s="920"/>
      <c r="E196" s="920"/>
      <c r="F196" s="920"/>
      <c r="G196" s="921"/>
      <c r="H196" s="921"/>
      <c r="I196" s="920"/>
      <c r="J196" s="920"/>
      <c r="K196" s="118"/>
    </row>
    <row r="197" spans="4:11">
      <c r="D197" s="920"/>
      <c r="E197" s="920"/>
      <c r="F197" s="920"/>
      <c r="G197" s="921"/>
      <c r="H197" s="921"/>
      <c r="I197" s="920"/>
      <c r="J197" s="920"/>
      <c r="K197" s="118"/>
    </row>
    <row r="198" spans="4:11">
      <c r="D198" s="920"/>
      <c r="E198" s="920"/>
      <c r="F198" s="920"/>
      <c r="G198" s="921"/>
      <c r="H198" s="921"/>
      <c r="I198" s="920"/>
      <c r="J198" s="920"/>
      <c r="K198" s="118"/>
    </row>
    <row r="199" spans="4:11">
      <c r="D199" s="920"/>
      <c r="E199" s="920"/>
      <c r="F199" s="920"/>
      <c r="G199" s="921"/>
      <c r="H199" s="921"/>
      <c r="I199" s="920"/>
      <c r="J199" s="920"/>
      <c r="K199" s="118"/>
    </row>
    <row r="200" spans="4:11">
      <c r="D200" s="920"/>
      <c r="E200" s="920"/>
      <c r="F200" s="920"/>
      <c r="G200" s="921"/>
      <c r="H200" s="921"/>
      <c r="I200" s="920"/>
      <c r="J200" s="920"/>
      <c r="K200" s="118"/>
    </row>
    <row r="201" spans="4:11">
      <c r="D201" s="920"/>
      <c r="E201" s="920"/>
      <c r="F201" s="920"/>
      <c r="G201" s="921"/>
      <c r="H201" s="921"/>
      <c r="I201" s="920"/>
      <c r="J201" s="920"/>
      <c r="K201" s="118"/>
    </row>
    <row r="202" spans="4:11">
      <c r="D202" s="920"/>
      <c r="E202" s="920"/>
      <c r="F202" s="920"/>
      <c r="G202" s="921"/>
      <c r="H202" s="921"/>
      <c r="I202" s="920"/>
      <c r="J202" s="920"/>
      <c r="K202" s="118"/>
    </row>
    <row r="203" spans="4:11">
      <c r="D203" s="920"/>
      <c r="E203" s="920"/>
      <c r="F203" s="920"/>
      <c r="G203" s="921"/>
      <c r="H203" s="921"/>
      <c r="I203" s="920"/>
      <c r="J203" s="920"/>
      <c r="K203" s="118"/>
    </row>
    <row r="204" spans="4:11">
      <c r="D204" s="920"/>
      <c r="E204" s="920"/>
      <c r="F204" s="920"/>
      <c r="G204" s="921"/>
      <c r="H204" s="921"/>
      <c r="I204" s="920"/>
      <c r="J204" s="920"/>
      <c r="K204" s="118"/>
    </row>
    <row r="205" spans="4:11">
      <c r="D205" s="920"/>
      <c r="E205" s="920"/>
      <c r="F205" s="920"/>
      <c r="G205" s="921"/>
      <c r="H205" s="921"/>
      <c r="I205" s="920"/>
      <c r="J205" s="920"/>
      <c r="K205" s="118"/>
    </row>
    <row r="206" spans="4:11">
      <c r="D206" s="920"/>
      <c r="E206" s="920"/>
      <c r="F206" s="920"/>
      <c r="G206" s="921"/>
      <c r="H206" s="921"/>
      <c r="I206" s="920"/>
      <c r="J206" s="920"/>
      <c r="K206" s="118"/>
    </row>
    <row r="207" spans="4:11">
      <c r="D207" s="920"/>
      <c r="E207" s="920"/>
      <c r="F207" s="920"/>
      <c r="G207" s="921"/>
      <c r="H207" s="921"/>
      <c r="I207" s="920"/>
      <c r="J207" s="920"/>
      <c r="K207" s="118"/>
    </row>
    <row r="208" spans="4:11">
      <c r="D208" s="920"/>
      <c r="E208" s="920"/>
      <c r="F208" s="920"/>
      <c r="G208" s="921"/>
      <c r="H208" s="921"/>
      <c r="I208" s="920"/>
      <c r="J208" s="920"/>
      <c r="K208" s="118"/>
    </row>
    <row r="209" spans="4:11">
      <c r="D209" s="723"/>
      <c r="E209" s="723"/>
      <c r="F209" s="723"/>
      <c r="G209" s="724"/>
      <c r="H209" s="724"/>
      <c r="I209" s="723"/>
      <c r="J209" s="723"/>
      <c r="K209" s="118"/>
    </row>
    <row r="210" spans="4:11">
      <c r="D210" s="723"/>
      <c r="E210" s="723"/>
      <c r="F210" s="723"/>
      <c r="G210" s="724"/>
      <c r="H210" s="724"/>
      <c r="I210" s="723"/>
      <c r="J210" s="723"/>
      <c r="K210" s="118"/>
    </row>
    <row r="211" spans="4:11">
      <c r="D211" s="723"/>
      <c r="E211" s="723"/>
      <c r="F211" s="723"/>
      <c r="G211" s="724"/>
      <c r="H211" s="724"/>
      <c r="I211" s="723"/>
      <c r="J211" s="723"/>
      <c r="K211" s="118"/>
    </row>
    <row r="212" spans="4:11">
      <c r="D212" s="723"/>
      <c r="E212" s="723"/>
      <c r="F212" s="723"/>
      <c r="G212" s="724"/>
      <c r="H212" s="724"/>
      <c r="I212" s="723"/>
      <c r="J212" s="723"/>
      <c r="K212" s="118"/>
    </row>
    <row r="213" spans="4:11">
      <c r="D213" s="723"/>
      <c r="E213" s="723"/>
      <c r="F213" s="723"/>
      <c r="G213" s="724"/>
      <c r="H213" s="724"/>
      <c r="I213" s="723"/>
      <c r="J213" s="723"/>
      <c r="K213" s="118"/>
    </row>
    <row r="214" spans="4:11">
      <c r="D214" s="723"/>
      <c r="E214" s="723"/>
      <c r="F214" s="723"/>
      <c r="G214" s="724"/>
      <c r="H214" s="724"/>
      <c r="I214" s="723"/>
      <c r="J214" s="723"/>
      <c r="K214" s="118"/>
    </row>
    <row r="215" spans="4:11">
      <c r="D215" s="723"/>
      <c r="E215" s="723"/>
      <c r="F215" s="723"/>
      <c r="G215" s="724"/>
      <c r="H215" s="724"/>
      <c r="I215" s="723"/>
      <c r="J215" s="723"/>
      <c r="K215" s="118"/>
    </row>
    <row r="216" spans="4:11">
      <c r="D216" s="723"/>
      <c r="E216" s="723"/>
      <c r="F216" s="723"/>
      <c r="G216" s="724"/>
      <c r="H216" s="724"/>
      <c r="I216" s="723"/>
      <c r="J216" s="723"/>
      <c r="K216" s="118"/>
    </row>
    <row r="217" spans="4:11">
      <c r="D217" s="723"/>
      <c r="E217" s="723"/>
      <c r="F217" s="723"/>
      <c r="G217" s="724"/>
      <c r="H217" s="724"/>
      <c r="I217" s="723"/>
      <c r="J217" s="723"/>
      <c r="K217" s="118"/>
    </row>
    <row r="218" spans="4:11">
      <c r="D218" s="723"/>
      <c r="E218" s="723"/>
      <c r="F218" s="723"/>
      <c r="G218" s="724"/>
      <c r="H218" s="724"/>
      <c r="I218" s="723"/>
      <c r="J218" s="723"/>
      <c r="K218" s="118"/>
    </row>
    <row r="219" spans="4:11">
      <c r="D219" s="723"/>
      <c r="E219" s="723"/>
      <c r="F219" s="723"/>
      <c r="G219" s="724"/>
      <c r="H219" s="724"/>
      <c r="I219" s="723"/>
      <c r="J219" s="723"/>
      <c r="K219" s="118"/>
    </row>
    <row r="220" spans="4:11">
      <c r="D220" s="723"/>
      <c r="E220" s="723"/>
      <c r="F220" s="723"/>
      <c r="G220" s="724"/>
      <c r="H220" s="724"/>
      <c r="I220" s="723"/>
      <c r="J220" s="723"/>
      <c r="K220" s="118"/>
    </row>
    <row r="221" spans="4:11">
      <c r="D221" s="723"/>
      <c r="E221" s="723"/>
      <c r="F221" s="723"/>
      <c r="G221" s="724"/>
      <c r="H221" s="724"/>
      <c r="I221" s="723"/>
      <c r="J221" s="723"/>
      <c r="K221" s="118"/>
    </row>
    <row r="222" spans="4:11">
      <c r="D222" s="723"/>
      <c r="E222" s="723"/>
      <c r="F222" s="723"/>
      <c r="G222" s="724"/>
      <c r="H222" s="724"/>
      <c r="I222" s="723"/>
      <c r="J222" s="723"/>
      <c r="K222" s="118"/>
    </row>
    <row r="223" spans="4:11">
      <c r="D223" s="723"/>
      <c r="E223" s="723"/>
      <c r="F223" s="723"/>
      <c r="G223" s="724"/>
      <c r="H223" s="724"/>
      <c r="I223" s="723"/>
      <c r="J223" s="723"/>
      <c r="K223" s="118"/>
    </row>
    <row r="224" spans="4:11">
      <c r="D224" s="723"/>
      <c r="E224" s="723"/>
      <c r="F224" s="723"/>
      <c r="G224" s="724"/>
      <c r="H224" s="724"/>
      <c r="I224" s="723"/>
      <c r="J224" s="723"/>
      <c r="K224" s="118"/>
    </row>
    <row r="225" spans="4:15">
      <c r="D225" s="723"/>
      <c r="E225" s="723"/>
      <c r="F225" s="723"/>
      <c r="G225" s="724"/>
      <c r="H225" s="724"/>
      <c r="I225" s="723"/>
      <c r="J225" s="723"/>
      <c r="K225" s="118"/>
    </row>
    <row r="226" spans="4:15">
      <c r="D226" s="922"/>
      <c r="E226" s="922"/>
      <c r="F226" s="922"/>
      <c r="G226" s="923"/>
      <c r="H226" s="923"/>
      <c r="I226" s="922"/>
      <c r="J226" s="922"/>
      <c r="K226" s="118"/>
    </row>
    <row r="229" spans="4:15">
      <c r="D229" s="918" t="s">
        <v>1870</v>
      </c>
      <c r="E229" s="919"/>
      <c r="F229" s="350"/>
      <c r="G229" s="350"/>
      <c r="H229" s="350"/>
      <c r="I229" s="63"/>
      <c r="J229" s="63"/>
      <c r="K229" s="118"/>
      <c r="L229" s="63"/>
      <c r="M229" s="118"/>
      <c r="N229" s="63"/>
      <c r="O229" s="63"/>
    </row>
    <row r="230" spans="4:15">
      <c r="D230" s="332"/>
      <c r="E230" s="351" t="s">
        <v>1086</v>
      </c>
      <c r="F230" s="351"/>
      <c r="G230" s="375"/>
      <c r="H230" s="375"/>
      <c r="I230" s="376"/>
      <c r="J230" s="375"/>
      <c r="K230" s="376"/>
      <c r="L230" s="63"/>
      <c r="M230" s="63"/>
    </row>
    <row r="231" spans="4:15" ht="15.45" thickBot="1">
      <c r="D231" s="332"/>
      <c r="E231" s="354" t="s">
        <v>1094</v>
      </c>
      <c r="F231" s="354" t="s">
        <v>1095</v>
      </c>
      <c r="G231" s="355" t="s">
        <v>1096</v>
      </c>
      <c r="H231" s="355" t="s">
        <v>1097</v>
      </c>
      <c r="I231" s="356" t="s">
        <v>1098</v>
      </c>
      <c r="J231" s="355" t="s">
        <v>1099</v>
      </c>
      <c r="K231" s="356" t="s">
        <v>1100</v>
      </c>
      <c r="L231" s="63"/>
      <c r="M231" s="63"/>
    </row>
    <row r="232" spans="4:15" ht="15.45" thickBot="1">
      <c r="D232" s="332" t="s">
        <v>1087</v>
      </c>
      <c r="E232" s="352">
        <v>74495</v>
      </c>
      <c r="F232" s="352">
        <v>0</v>
      </c>
      <c r="G232" s="352">
        <v>0</v>
      </c>
      <c r="H232" s="352">
        <v>147000</v>
      </c>
      <c r="I232" s="352">
        <v>35000</v>
      </c>
      <c r="J232" s="352">
        <v>67000</v>
      </c>
      <c r="K232" s="352">
        <v>50000</v>
      </c>
      <c r="L232" s="141">
        <f>SUM(E232:K232)</f>
        <v>373495</v>
      </c>
      <c r="M232" s="55" t="b">
        <f>L232=N232</f>
        <v>1</v>
      </c>
      <c r="N232" s="55">
        <v>373495</v>
      </c>
    </row>
    <row r="233" spans="4:15">
      <c r="D233" s="332" t="s">
        <v>1088</v>
      </c>
      <c r="E233" s="352">
        <v>2346</v>
      </c>
      <c r="F233" s="352">
        <v>2346</v>
      </c>
      <c r="G233" s="352">
        <v>2346</v>
      </c>
      <c r="H233" s="352">
        <v>6500</v>
      </c>
      <c r="I233" s="352">
        <v>8000</v>
      </c>
      <c r="J233" s="352">
        <v>8500</v>
      </c>
      <c r="K233" s="352">
        <v>6500</v>
      </c>
      <c r="L233" s="63"/>
      <c r="M233" s="63"/>
    </row>
    <row r="234" spans="4:15">
      <c r="D234" s="332" t="s">
        <v>1089</v>
      </c>
      <c r="E234" s="352">
        <v>0</v>
      </c>
      <c r="F234" s="352">
        <v>0</v>
      </c>
      <c r="G234" s="352">
        <v>0</v>
      </c>
      <c r="H234" s="352">
        <v>0</v>
      </c>
      <c r="I234" s="352">
        <v>0</v>
      </c>
      <c r="J234" s="352">
        <v>0</v>
      </c>
      <c r="K234" s="352">
        <v>0</v>
      </c>
      <c r="L234" s="63"/>
      <c r="M234" s="63"/>
    </row>
    <row r="235" spans="4:15" ht="15.45" thickBot="1">
      <c r="D235" s="332" t="s">
        <v>1090</v>
      </c>
      <c r="E235" s="352">
        <f t="shared" ref="E235:K235" si="10">SUM(E233:E234)</f>
        <v>2346</v>
      </c>
      <c r="F235" s="352">
        <f t="shared" si="10"/>
        <v>2346</v>
      </c>
      <c r="G235" s="352">
        <f t="shared" si="10"/>
        <v>2346</v>
      </c>
      <c r="H235" s="352">
        <f t="shared" si="10"/>
        <v>6500</v>
      </c>
      <c r="I235" s="352">
        <f t="shared" si="10"/>
        <v>8000</v>
      </c>
      <c r="J235" s="352">
        <f t="shared" si="10"/>
        <v>8500</v>
      </c>
      <c r="K235" s="352">
        <f t="shared" si="10"/>
        <v>6500</v>
      </c>
      <c r="L235" s="63"/>
      <c r="M235" s="63"/>
    </row>
    <row r="236" spans="4:15" ht="15.45" thickBot="1">
      <c r="D236" s="332" t="s">
        <v>1112</v>
      </c>
      <c r="E236" s="353">
        <f t="shared" ref="E236:K236" si="11">$L$236</f>
        <v>6089.5714285714284</v>
      </c>
      <c r="F236" s="353">
        <f t="shared" si="11"/>
        <v>6089.5714285714284</v>
      </c>
      <c r="G236" s="353">
        <f t="shared" si="11"/>
        <v>6089.5714285714284</v>
      </c>
      <c r="H236" s="353">
        <f t="shared" si="11"/>
        <v>6089.5714285714284</v>
      </c>
      <c r="I236" s="353">
        <f t="shared" si="11"/>
        <v>6089.5714285714284</v>
      </c>
      <c r="J236" s="353">
        <f t="shared" si="11"/>
        <v>6089.5714285714284</v>
      </c>
      <c r="K236" s="353">
        <f t="shared" si="11"/>
        <v>6089.5714285714284</v>
      </c>
      <c r="L236" s="141">
        <v>6089.5714285714284</v>
      </c>
      <c r="M236" s="63"/>
    </row>
    <row r="237" spans="4:15">
      <c r="D237" s="332" t="s">
        <v>1091</v>
      </c>
      <c r="E237" s="352">
        <f t="shared" ref="E237:K237" si="12">E232*E235</f>
        <v>174765270</v>
      </c>
      <c r="F237" s="352">
        <f t="shared" si="12"/>
        <v>0</v>
      </c>
      <c r="G237" s="352">
        <f t="shared" si="12"/>
        <v>0</v>
      </c>
      <c r="H237" s="352">
        <f t="shared" si="12"/>
        <v>955500000</v>
      </c>
      <c r="I237" s="352">
        <f t="shared" si="12"/>
        <v>280000000</v>
      </c>
      <c r="J237" s="352">
        <f t="shared" si="12"/>
        <v>569500000</v>
      </c>
      <c r="K237" s="352">
        <f t="shared" si="12"/>
        <v>325000000</v>
      </c>
      <c r="L237" s="63"/>
      <c r="M237" s="63"/>
    </row>
    <row r="238" spans="4:15" ht="15.45" thickBot="1">
      <c r="D238" s="332" t="s">
        <v>1092</v>
      </c>
      <c r="E238" s="352">
        <f t="shared" ref="E238:K238" si="13">ROUND(E237/E236,)</f>
        <v>28699</v>
      </c>
      <c r="F238" s="352">
        <f t="shared" si="13"/>
        <v>0</v>
      </c>
      <c r="G238" s="352">
        <f t="shared" si="13"/>
        <v>0</v>
      </c>
      <c r="H238" s="352">
        <f t="shared" si="13"/>
        <v>156908</v>
      </c>
      <c r="I238" s="352">
        <f t="shared" si="13"/>
        <v>45980</v>
      </c>
      <c r="J238" s="352">
        <f t="shared" si="13"/>
        <v>93521</v>
      </c>
      <c r="K238" s="352">
        <f t="shared" si="13"/>
        <v>53370</v>
      </c>
      <c r="L238" s="63"/>
      <c r="M238" s="63"/>
    </row>
    <row r="239" spans="4:15" ht="15.45" thickBot="1">
      <c r="D239" s="332" t="s">
        <v>1093</v>
      </c>
      <c r="E239" s="352">
        <f t="shared" ref="E239:K239" si="14">E232-E238</f>
        <v>45796</v>
      </c>
      <c r="F239" s="352">
        <f t="shared" si="14"/>
        <v>0</v>
      </c>
      <c r="G239" s="352">
        <f t="shared" si="14"/>
        <v>0</v>
      </c>
      <c r="H239" s="352">
        <f t="shared" si="14"/>
        <v>-9908</v>
      </c>
      <c r="I239" s="352">
        <f t="shared" si="14"/>
        <v>-10980</v>
      </c>
      <c r="J239" s="352">
        <f t="shared" si="14"/>
        <v>-26521</v>
      </c>
      <c r="K239" s="352">
        <f t="shared" si="14"/>
        <v>-3370</v>
      </c>
      <c r="L239" s="141">
        <f>SUMIFS($E$239:$K$239,$E$240:$K$240,"ㅇ")</f>
        <v>45796</v>
      </c>
      <c r="M239" s="568">
        <v>94668.021978021599</v>
      </c>
      <c r="N239" s="55">
        <f>M239-L239</f>
        <v>48872.021978021599</v>
      </c>
    </row>
    <row r="240" spans="4:15" ht="15.45" thickBot="1">
      <c r="D240" s="332"/>
      <c r="E240" s="366" t="str">
        <f t="shared" ref="E240:K240" si="15">IF(E239&gt;0,"ㅇ","x")</f>
        <v>ㅇ</v>
      </c>
      <c r="F240" s="346" t="str">
        <f t="shared" si="15"/>
        <v>x</v>
      </c>
      <c r="G240" s="346" t="str">
        <f t="shared" si="15"/>
        <v>x</v>
      </c>
      <c r="H240" s="346" t="str">
        <f t="shared" si="15"/>
        <v>x</v>
      </c>
      <c r="I240" s="346" t="str">
        <f t="shared" si="15"/>
        <v>x</v>
      </c>
      <c r="J240" s="346" t="str">
        <f t="shared" si="15"/>
        <v>x</v>
      </c>
      <c r="K240" s="347" t="str">
        <f t="shared" si="15"/>
        <v>x</v>
      </c>
      <c r="L240" s="63"/>
      <c r="M240" s="63"/>
    </row>
    <row r="241" spans="4:18">
      <c r="D241" s="332"/>
      <c r="F241" s="350"/>
      <c r="G241" s="63"/>
      <c r="H241" s="63"/>
      <c r="I241" s="118"/>
      <c r="J241" s="63"/>
      <c r="K241" s="118"/>
      <c r="L241" s="63"/>
      <c r="M241" s="63"/>
    </row>
    <row r="242" spans="4:18">
      <c r="D242" s="332" t="s">
        <v>1120</v>
      </c>
      <c r="E242" s="365">
        <v>39329</v>
      </c>
      <c r="F242" s="350"/>
      <c r="G242" s="63"/>
      <c r="H242" s="63"/>
      <c r="I242" s="118"/>
      <c r="J242" s="63"/>
      <c r="K242" s="118"/>
      <c r="L242" s="63"/>
      <c r="M242" s="63"/>
    </row>
    <row r="243" spans="4:18">
      <c r="D243" s="332" t="s">
        <v>1091</v>
      </c>
      <c r="E243" s="365">
        <f>E242*E233</f>
        <v>92265834</v>
      </c>
      <c r="F243" s="350"/>
      <c r="G243" s="63"/>
      <c r="H243" s="63"/>
      <c r="I243" s="118"/>
      <c r="J243" s="63"/>
      <c r="K243" s="118"/>
      <c r="L243" s="63"/>
      <c r="M243" s="63"/>
    </row>
    <row r="244" spans="4:18">
      <c r="D244" s="332" t="s">
        <v>1092</v>
      </c>
      <c r="E244" s="576">
        <f>ROUND(E243/E236,)</f>
        <v>15151</v>
      </c>
      <c r="F244" s="350"/>
      <c r="G244" s="63"/>
      <c r="H244" s="63"/>
      <c r="I244" s="118"/>
      <c r="J244" s="63"/>
      <c r="K244" s="118"/>
      <c r="L244" s="63"/>
      <c r="M244" s="63"/>
    </row>
    <row r="245" spans="4:18">
      <c r="D245" s="332"/>
      <c r="E245" s="365"/>
      <c r="F245" s="350"/>
      <c r="G245" s="63"/>
      <c r="H245" s="63"/>
      <c r="I245" s="118"/>
      <c r="J245" s="63"/>
      <c r="K245" s="118"/>
      <c r="L245" s="63"/>
      <c r="M245" s="63"/>
    </row>
    <row r="246" spans="4:18">
      <c r="D246" s="332"/>
      <c r="E246" s="350"/>
      <c r="F246" s="350"/>
      <c r="G246" s="63"/>
      <c r="H246" s="63"/>
      <c r="I246" s="118"/>
      <c r="J246" s="63"/>
      <c r="K246" s="118"/>
      <c r="L246" s="63"/>
      <c r="M246" s="63"/>
    </row>
    <row r="247" spans="4:18">
      <c r="D247" s="332" t="s">
        <v>1251</v>
      </c>
      <c r="E247" s="350"/>
      <c r="F247" s="350"/>
      <c r="G247" s="63"/>
      <c r="H247" s="63"/>
      <c r="I247" s="118"/>
      <c r="J247" s="63"/>
      <c r="K247" s="118"/>
      <c r="L247" s="917" t="s">
        <v>1871</v>
      </c>
      <c r="M247" s="350"/>
      <c r="N247" s="350"/>
      <c r="O247" s="63"/>
      <c r="P247" s="63"/>
      <c r="Q247" s="118"/>
      <c r="R247" s="63"/>
    </row>
    <row r="248" spans="4:18">
      <c r="D248" s="369" t="s">
        <v>1028</v>
      </c>
      <c r="E248" s="370" t="s">
        <v>1114</v>
      </c>
      <c r="F248" s="370" t="s">
        <v>1114</v>
      </c>
      <c r="G248" s="370" t="s">
        <v>1115</v>
      </c>
      <c r="H248" s="371" t="s">
        <v>1116</v>
      </c>
      <c r="I248" s="371" t="s">
        <v>1072</v>
      </c>
      <c r="J248" s="371" t="s">
        <v>1117</v>
      </c>
      <c r="K248" s="118"/>
      <c r="L248" s="369" t="s">
        <v>1028</v>
      </c>
      <c r="M248" s="370" t="s">
        <v>1114</v>
      </c>
      <c r="N248" s="370" t="s">
        <v>1114</v>
      </c>
      <c r="O248" s="370" t="s">
        <v>1115</v>
      </c>
      <c r="P248" s="371" t="s">
        <v>1116</v>
      </c>
      <c r="Q248" s="371" t="s">
        <v>1072</v>
      </c>
      <c r="R248" s="371" t="s">
        <v>1117</v>
      </c>
    </row>
    <row r="249" spans="4:18">
      <c r="D249" s="358" t="s">
        <v>1113</v>
      </c>
      <c r="E249" s="359">
        <v>45658</v>
      </c>
      <c r="F249" s="359">
        <v>45728</v>
      </c>
      <c r="G249" s="360">
        <f>E242-E244</f>
        <v>24178</v>
      </c>
      <c r="H249" s="361">
        <f>F249-E249</f>
        <v>70</v>
      </c>
      <c r="I249" s="361">
        <f>G249*H249</f>
        <v>1692460</v>
      </c>
      <c r="J249" s="367">
        <f>I249/H250</f>
        <v>9350.6077348066301</v>
      </c>
      <c r="K249" s="118"/>
      <c r="L249" s="358" t="s">
        <v>1113</v>
      </c>
      <c r="M249" s="359"/>
      <c r="N249" s="359"/>
      <c r="O249" s="360"/>
      <c r="P249" s="361">
        <f>N249-M249</f>
        <v>0</v>
      </c>
      <c r="Q249" s="361">
        <f>O249*P249</f>
        <v>0</v>
      </c>
      <c r="R249" s="372">
        <f>Q249/P250</f>
        <v>0</v>
      </c>
    </row>
    <row r="250" spans="4:18">
      <c r="D250" s="358" t="s">
        <v>1118</v>
      </c>
      <c r="E250" s="359">
        <v>45658</v>
      </c>
      <c r="F250" s="377">
        <v>45838</v>
      </c>
      <c r="G250" s="360">
        <f>E239</f>
        <v>45796</v>
      </c>
      <c r="H250" s="361">
        <f>F250-E250+1</f>
        <v>181</v>
      </c>
      <c r="I250" s="361">
        <f>G250*H250</f>
        <v>8289076</v>
      </c>
      <c r="J250" s="372">
        <f>I250/H250</f>
        <v>45796</v>
      </c>
      <c r="K250" s="118"/>
      <c r="L250" s="358" t="s">
        <v>1118</v>
      </c>
      <c r="M250" s="359">
        <v>45748</v>
      </c>
      <c r="N250" s="377">
        <v>45838</v>
      </c>
      <c r="O250" s="360">
        <f>G250</f>
        <v>45796</v>
      </c>
      <c r="P250" s="361">
        <f>N250-M250+1</f>
        <v>91</v>
      </c>
      <c r="Q250" s="361">
        <f>O250*P250</f>
        <v>4167436</v>
      </c>
      <c r="R250" s="372">
        <f>Q250/P250</f>
        <v>45796</v>
      </c>
    </row>
    <row r="251" spans="4:18" ht="15.45" thickBot="1">
      <c r="D251" s="362" t="s">
        <v>1119</v>
      </c>
      <c r="E251" s="363"/>
      <c r="F251" s="363"/>
      <c r="G251" s="364">
        <f>SUM(G249:G250)</f>
        <v>69974</v>
      </c>
      <c r="H251" s="364">
        <f>SUM(H249:H250)</f>
        <v>251</v>
      </c>
      <c r="I251" s="364">
        <f>SUM(I249:I250)</f>
        <v>9981536</v>
      </c>
      <c r="J251" s="374">
        <f>SUM(J249:J250)</f>
        <v>55146.607734806632</v>
      </c>
      <c r="K251" s="118"/>
      <c r="L251" s="362" t="s">
        <v>1119</v>
      </c>
      <c r="M251" s="363"/>
      <c r="N251" s="363"/>
      <c r="O251" s="364">
        <f>SUM(O249:O250)</f>
        <v>45796</v>
      </c>
      <c r="P251" s="364">
        <f>SUM(P249:P250)</f>
        <v>91</v>
      </c>
      <c r="Q251" s="364">
        <f>SUM(Q249:Q250)</f>
        <v>4167436</v>
      </c>
      <c r="R251" s="374">
        <f>SUM(R249:R250)</f>
        <v>45796</v>
      </c>
    </row>
    <row r="252" spans="4:18" ht="15.9" thickTop="1" thickBot="1">
      <c r="D252" s="332"/>
      <c r="E252" s="350"/>
      <c r="F252" s="350"/>
      <c r="G252" s="63"/>
      <c r="H252" s="63"/>
      <c r="I252" s="118"/>
      <c r="J252" s="63"/>
      <c r="K252" s="118"/>
      <c r="L252" s="63"/>
      <c r="M252" s="63"/>
    </row>
    <row r="253" spans="4:18" ht="15.45" thickBot="1">
      <c r="D253" s="368" t="s">
        <v>1121</v>
      </c>
      <c r="E253" s="373">
        <f>J251</f>
        <v>55146.607734806632</v>
      </c>
      <c r="F253" s="350"/>
      <c r="G253" s="63"/>
      <c r="H253" s="63"/>
      <c r="I253" s="118"/>
      <c r="J253" s="63"/>
      <c r="K253" s="118"/>
      <c r="L253" s="368" t="s">
        <v>1121</v>
      </c>
      <c r="M253" s="373">
        <f>R251</f>
        <v>45796</v>
      </c>
    </row>
    <row r="254" spans="4:18">
      <c r="D254" s="332"/>
      <c r="E254" s="350"/>
      <c r="F254" s="350"/>
      <c r="G254" s="63"/>
      <c r="H254" s="63"/>
      <c r="I254" s="118"/>
      <c r="J254" s="63"/>
      <c r="K254" s="118"/>
      <c r="L254" s="63"/>
      <c r="M254" s="63"/>
    </row>
    <row r="255" spans="4:18">
      <c r="D255" s="332"/>
      <c r="E255" s="350"/>
      <c r="F255" s="350"/>
      <c r="G255" s="63"/>
      <c r="H255" s="63"/>
      <c r="I255" s="118"/>
      <c r="J255" s="63"/>
      <c r="K255" s="118"/>
      <c r="L255" s="63"/>
      <c r="M255" s="63"/>
    </row>
    <row r="256" spans="4:18">
      <c r="D256" s="332"/>
      <c r="E256" s="350"/>
      <c r="F256" s="350"/>
      <c r="G256" s="63"/>
      <c r="H256" s="63"/>
      <c r="I256" s="118"/>
      <c r="J256" s="63"/>
      <c r="K256" s="118"/>
      <c r="L256" s="63"/>
      <c r="M256" s="63"/>
    </row>
  </sheetData>
  <mergeCells count="13">
    <mergeCell ref="D6:F6"/>
    <mergeCell ref="D40:F40"/>
    <mergeCell ref="D41:F41"/>
    <mergeCell ref="E78:F78"/>
    <mergeCell ref="G78:H78"/>
    <mergeCell ref="D8:D9"/>
    <mergeCell ref="D70:D71"/>
    <mergeCell ref="D26:F26"/>
    <mergeCell ref="D27:F27"/>
    <mergeCell ref="D51:F51"/>
    <mergeCell ref="D52:F52"/>
    <mergeCell ref="D63:F63"/>
    <mergeCell ref="D64:F64"/>
  </mergeCells>
  <phoneticPr fontId="232" type="noConversion"/>
  <hyperlinks>
    <hyperlink ref="J120" r:id="rId1" xr:uid="{00000000-0004-0000-2D00-00000000000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0" operator="containsText" id="{8D93BA94-6141-4346-830D-FC555ECAD03A}">
            <xm:f>NOT(ISERROR(SEARCH("FALSE",A1)))</xm:f>
            <xm:f>"FALSE"</xm:f>
            <x14:dxf>
              <fill>
                <patternFill>
                  <bgColor theme="5"/>
                </patternFill>
              </fill>
            </x14:dxf>
          </x14:cfRule>
          <x14:cfRule type="containsText" priority="21" operator="containsText" id="{76DC8953-458D-46D7-9989-58D967DBA885}">
            <xm:f>NOT(ISERROR(SEARCH("TRUE",A1)))</xm:f>
            <xm:f>"TRUE"</xm:f>
            <x14:dxf>
              <fill>
                <patternFill>
                  <bgColor theme="9" tint="0.79998168889431442"/>
                </patternFill>
              </fill>
            </x14:dxf>
          </x14:cfRule>
          <xm:sqref>A1:XFD4 A5:L6 M5:XFD14 A7:C7 F7:L7 A8:L8 A9:C9 E9:L9 A10:D10 I10:L10 A11:L14 A15:XFD18 A19:C27 J19:XFD27 A28:XFD32 A33:C41 J33:XFD41 A42:XFD43 J44:J52 A44:C64 K44:XFD64 D53:J55 J56:J64 A65:XFD68 A69:I69 M69:XFD78 D70:H70 A70:C74 I70:I74 E71:H71 D72 D73:H74 A75:I76 A77:K77 L77:L78 I78:K81 A78:C256 L79:XFD81 I82:XFD82 I83:I86 K83:XFD86 I87:XFD88 I89:O91 P89:XFD102 G92:O95 L96:O102 G103:XFD108 G109:K114 O109:XFD114 G115:XFD115 G116:K116 N116:XFD116 G117:XFD119 I120:XFD121 D122:XFD228 I229:O229 P229:R240 S229:XFD256 G230:O233 L234:O240 G241:R246 G247:K251 O247:R251 G252:R252 G253:K253 N253:R253 G254:R256 A257:XFD1048576</xm:sqref>
        </x14:conditionalFormatting>
        <x14:conditionalFormatting xmlns:xm="http://schemas.microsoft.com/office/excel/2006/main">
          <x14:cfRule type="containsText" priority="16" operator="containsText" id="{E2792CCC-C792-405B-ABC1-84E49574E58D}">
            <xm:f>NOT(ISERROR(SEARCH("false",E10)))</xm:f>
            <xm:f>"false"</xm:f>
            <x14:dxf>
              <fill>
                <patternFill>
                  <bgColor rgb="FFFF0000"/>
                </patternFill>
              </fill>
            </x14:dxf>
          </x14:cfRule>
          <xm:sqref>E10:H10</xm:sqref>
        </x14:conditionalFormatting>
        <x14:conditionalFormatting xmlns:xm="http://schemas.microsoft.com/office/excel/2006/main">
          <x14:cfRule type="containsText" priority="15" operator="containsText" id="{60818A3E-AA68-4685-AC87-D0C198514957}">
            <xm:f>NOT(ISERROR(SEARCH("false",E72)))</xm:f>
            <xm:f>"false"</xm:f>
            <x14:dxf>
              <fill>
                <patternFill>
                  <bgColor rgb="FFFF0000"/>
                </patternFill>
              </fill>
            </x14:dxf>
          </x14:cfRule>
          <xm:sqref>E72:H72</xm:sqref>
        </x14:conditionalFormatting>
        <x14:conditionalFormatting xmlns:xm="http://schemas.microsoft.com/office/excel/2006/main">
          <x14:cfRule type="containsText" priority="18" operator="containsText" id="{3E7E71D0-CE94-44BE-A010-E795AE927CDD}">
            <xm:f>NOT(ISERROR(SEARCH("false",E80)))</xm:f>
            <xm:f>"false"</xm:f>
            <x14:dxf>
              <fill>
                <patternFill>
                  <bgColor rgb="FFFF0000"/>
                </patternFill>
              </fill>
            </x14:dxf>
          </x14:cfRule>
          <xm:sqref>E80:H82 E86:H86</xm:sqref>
        </x14:conditionalFormatting>
        <x14:conditionalFormatting xmlns:xm="http://schemas.microsoft.com/office/excel/2006/main">
          <x14:cfRule type="containsText" priority="17" operator="containsText" id="{AC6CF94D-579F-414D-9B6E-D3C6E24C0A07}">
            <xm:f>NOT(ISERROR(SEARCH(FALSE,F78)))</xm:f>
            <xm:f>FALSE</xm:f>
            <x14:dxf>
              <fill>
                <patternFill>
                  <bgColor rgb="FFFF0000"/>
                </patternFill>
              </fill>
            </x14:dxf>
          </x14:cfRule>
          <xm:sqref>F78:H78 H79</xm:sqref>
        </x14:conditionalFormatting>
        <x14:conditionalFormatting xmlns:xm="http://schemas.microsoft.com/office/excel/2006/main">
          <x14:cfRule type="containsText" priority="10" operator="containsText" id="{90DBB2E5-9E3F-4C14-A87C-846AC89F02BF}">
            <xm:f>NOT(ISERROR(SEARCH("FALSE",G120)))</xm:f>
            <xm:f>"FALSE"</xm:f>
            <x14:dxf>
              <fill>
                <patternFill>
                  <bgColor theme="5"/>
                </patternFill>
              </fill>
            </x14:dxf>
          </x14:cfRule>
          <x14:cfRule type="containsText" priority="11" operator="containsText" id="{42A1E3ED-8E3D-45CD-8E92-1EA894925651}">
            <xm:f>NOT(ISERROR(SEARCH("TRUE",G120)))</xm:f>
            <xm:f>"TRUE"</xm:f>
            <x14:dxf>
              <fill>
                <patternFill>
                  <bgColor theme="9" tint="0.79998168889431442"/>
                </patternFill>
              </fill>
            </x14:dxf>
          </x14:cfRule>
          <xm:sqref>G120</xm:sqref>
        </x14:conditionalFormatting>
        <x14:conditionalFormatting xmlns:xm="http://schemas.microsoft.com/office/excel/2006/main">
          <x14:cfRule type="containsText" priority="14" operator="containsText" id="{E66A466E-281B-48C8-AB2E-C284FFA3241B}">
            <xm:f>NOT(ISERROR(SEARCH("false",H21)))</xm:f>
            <xm:f>"false"</xm:f>
            <x14:dxf>
              <fill>
                <patternFill>
                  <bgColor rgb="FFFF0000"/>
                </patternFill>
              </fill>
            </x14:dxf>
          </x14:cfRule>
          <xm:sqref>H21:I26</xm:sqref>
        </x14:conditionalFormatting>
        <x14:conditionalFormatting xmlns:xm="http://schemas.microsoft.com/office/excel/2006/main">
          <x14:cfRule type="containsText" priority="19" operator="containsText" id="{3482AA4F-31DD-428A-9D31-221257CE5B12}">
            <xm:f>NOT(ISERROR(SEARCH("false",H35)))</xm:f>
            <xm:f>"false"</xm:f>
            <x14:dxf>
              <fill>
                <patternFill>
                  <bgColor rgb="FFFF0000"/>
                </patternFill>
              </fill>
            </x14:dxf>
          </x14:cfRule>
          <xm:sqref>H35:I40</xm:sqref>
        </x14:conditionalFormatting>
        <x14:conditionalFormatting xmlns:xm="http://schemas.microsoft.com/office/excel/2006/main">
          <x14:cfRule type="containsText" priority="3" operator="containsText" id="{C1D5D9BE-9D98-4D7C-8720-E695DBA97EDF}">
            <xm:f>NOT(ISERROR(SEARCH("false",H46)))</xm:f>
            <xm:f>"false"</xm:f>
            <x14:dxf>
              <fill>
                <patternFill>
                  <bgColor rgb="FFFF0000"/>
                </patternFill>
              </fill>
            </x14:dxf>
          </x14:cfRule>
          <xm:sqref>H46:I51</xm:sqref>
        </x14:conditionalFormatting>
        <x14:conditionalFormatting xmlns:xm="http://schemas.microsoft.com/office/excel/2006/main">
          <x14:cfRule type="containsText" priority="4" operator="containsText" id="{F9151BBF-D279-4905-A12A-073DE75F6669}">
            <xm:f>NOT(ISERROR(SEARCH("false",H58)))</xm:f>
            <xm:f>"false"</xm:f>
            <x14:dxf>
              <fill>
                <patternFill>
                  <bgColor rgb="FFFF0000"/>
                </patternFill>
              </fill>
            </x14:dxf>
          </x14:cfRule>
          <xm:sqref>H58:I63</xm:sqref>
        </x14:conditionalFormatting>
        <x14:conditionalFormatting xmlns:xm="http://schemas.microsoft.com/office/excel/2006/main">
          <x14:cfRule type="containsText" priority="1" operator="containsText" id="{CEF29793-7BB5-41F8-AA03-BBD9788C800A}">
            <xm:f>NOT(ISERROR(SEARCH("FALSE",K71)))</xm:f>
            <xm:f>"FALSE"</xm:f>
            <x14:dxf>
              <fill>
                <patternFill>
                  <bgColor theme="5"/>
                </patternFill>
              </fill>
            </x14:dxf>
          </x14:cfRule>
          <x14:cfRule type="containsText" priority="2" operator="containsText" id="{098085ED-4B6B-4858-884D-D6379D7411CF}">
            <xm:f>NOT(ISERROR(SEARCH("TRUE",K71)))</xm:f>
            <xm:f>"TRUE"</xm:f>
            <x14:dxf>
              <fill>
                <patternFill>
                  <bgColor theme="9" tint="0.79998168889431442"/>
                </patternFill>
              </fill>
            </x14:dxf>
          </x14:cfRule>
          <xm:sqref>K71:K76</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0"/>
  <dimension ref="B2:K74"/>
  <sheetViews>
    <sheetView showGridLines="0" topLeftCell="A10" zoomScale="85" zoomScaleNormal="85" workbookViewId="0">
      <selection activeCell="I43" sqref="I43"/>
    </sheetView>
  </sheetViews>
  <sheetFormatPr defaultColWidth="8.5703125" defaultRowHeight="15" outlineLevelRow="1"/>
  <cols>
    <col min="1" max="2" width="1.85546875" style="55" customWidth="1"/>
    <col min="3" max="3" width="1.5" style="55" customWidth="1"/>
    <col min="4" max="4" width="32.0703125" style="55" customWidth="1"/>
    <col min="5" max="8" width="18.5703125" style="55" customWidth="1"/>
    <col min="9" max="12" width="15.5703125" style="55" customWidth="1"/>
    <col min="13" max="16384" width="8.5703125" style="55"/>
  </cols>
  <sheetData>
    <row r="2" spans="2:10">
      <c r="B2" s="54" t="s">
        <v>1816</v>
      </c>
    </row>
    <row r="5" spans="2:10">
      <c r="D5" s="62" t="s">
        <v>309</v>
      </c>
      <c r="E5" s="214"/>
      <c r="F5" s="214"/>
      <c r="G5" s="214"/>
      <c r="H5" s="214"/>
      <c r="I5" s="214"/>
      <c r="J5" s="214"/>
    </row>
    <row r="6" spans="2:10">
      <c r="E6" s="214"/>
      <c r="F6" s="64" t="s">
        <v>236</v>
      </c>
      <c r="G6" s="214"/>
      <c r="H6" s="214"/>
      <c r="I6" s="214"/>
      <c r="J6" s="214"/>
    </row>
    <row r="7" spans="2:10">
      <c r="D7" s="311" t="s">
        <v>237</v>
      </c>
      <c r="E7" s="135" t="str">
        <f>'33'!E8</f>
        <v>당반기</v>
      </c>
      <c r="F7" s="135" t="str">
        <f>'33'!G8</f>
        <v>전반기</v>
      </c>
      <c r="G7" s="214"/>
      <c r="H7" s="214"/>
      <c r="I7" s="214"/>
      <c r="J7" s="214"/>
    </row>
    <row r="8" spans="2:10">
      <c r="D8" s="317" t="s">
        <v>310</v>
      </c>
      <c r="E8" s="139"/>
      <c r="F8" s="139"/>
      <c r="G8" s="214"/>
      <c r="H8" s="214"/>
      <c r="I8" s="214"/>
      <c r="J8" s="214"/>
    </row>
    <row r="9" spans="2:10">
      <c r="D9" s="197" t="str">
        <f>CF!B6</f>
        <v>대손상각비(환입)</v>
      </c>
      <c r="E9" s="127">
        <f>CF!D6</f>
        <v>-82887417</v>
      </c>
      <c r="F9" s="127">
        <f>CF!E6</f>
        <v>56611534</v>
      </c>
      <c r="G9" s="214"/>
      <c r="H9" s="214"/>
      <c r="I9" s="214"/>
      <c r="J9" s="214"/>
    </row>
    <row r="10" spans="2:10">
      <c r="D10" s="197" t="str">
        <f>CF!B7</f>
        <v>이자수익</v>
      </c>
      <c r="E10" s="127">
        <f>CF!D7</f>
        <v>-22098561</v>
      </c>
      <c r="F10" s="127">
        <f>CF!E7</f>
        <v>-28008260</v>
      </c>
      <c r="G10" s="214"/>
      <c r="H10" s="214"/>
      <c r="I10" s="214"/>
      <c r="J10" s="214"/>
    </row>
    <row r="11" spans="2:10">
      <c r="D11" s="197" t="s">
        <v>1586</v>
      </c>
      <c r="E11" s="127">
        <f>CF!D8</f>
        <v>-3000000</v>
      </c>
      <c r="F11" s="127">
        <f>CF!E8</f>
        <v>-3000000</v>
      </c>
      <c r="G11" s="214"/>
      <c r="H11" s="214"/>
      <c r="I11" s="214"/>
      <c r="J11" s="214"/>
    </row>
    <row r="12" spans="2:10">
      <c r="D12" s="197" t="s">
        <v>1490</v>
      </c>
      <c r="E12" s="127">
        <f>CF!D9</f>
        <v>-1202135</v>
      </c>
      <c r="F12" s="127">
        <f>CF!E9</f>
        <v>-1054000</v>
      </c>
      <c r="G12" s="214"/>
      <c r="H12" s="214"/>
      <c r="I12" s="214"/>
      <c r="J12" s="214"/>
    </row>
    <row r="13" spans="2:10">
      <c r="D13" s="197" t="str">
        <f>CF!B10</f>
        <v>외화환산이익</v>
      </c>
      <c r="E13" s="127">
        <f>CF!D10</f>
        <v>-37603839</v>
      </c>
      <c r="F13" s="127">
        <f>CF!E10</f>
        <v>-3042</v>
      </c>
      <c r="G13" s="214"/>
      <c r="H13" s="214"/>
      <c r="I13" s="214"/>
      <c r="J13" s="214"/>
    </row>
    <row r="14" spans="2:10">
      <c r="D14" s="197" t="str">
        <f>CF!B11</f>
        <v>재고자산평가손실(환입)</v>
      </c>
      <c r="E14" s="127">
        <f>CF!D11</f>
        <v>131193174</v>
      </c>
      <c r="F14" s="127">
        <f>CF!E11</f>
        <v>15216604</v>
      </c>
      <c r="G14" s="214"/>
      <c r="H14" s="214"/>
      <c r="I14" s="214"/>
      <c r="J14" s="214"/>
    </row>
    <row r="15" spans="2:10">
      <c r="D15" s="197" t="str">
        <f>CF!B12</f>
        <v>퇴직급여</v>
      </c>
      <c r="E15" s="127">
        <f>CF!D12</f>
        <v>188019390</v>
      </c>
      <c r="F15" s="127">
        <f>CF!E12</f>
        <v>177665682</v>
      </c>
      <c r="G15" s="214"/>
      <c r="H15" s="214"/>
      <c r="I15" s="214"/>
      <c r="J15" s="214"/>
    </row>
    <row r="16" spans="2:10">
      <c r="D16" s="197" t="str">
        <f>CF!B13</f>
        <v>장기종업원급여</v>
      </c>
      <c r="E16" s="127">
        <f>CF!D13</f>
        <v>37001898</v>
      </c>
      <c r="F16" s="127">
        <f>CF!E13</f>
        <v>34571148</v>
      </c>
      <c r="G16" s="214"/>
      <c r="H16" s="214"/>
      <c r="I16" s="214"/>
      <c r="J16" s="214"/>
    </row>
    <row r="17" spans="4:10">
      <c r="D17" s="197" t="str">
        <f>CF!B14</f>
        <v>주식보상비</v>
      </c>
      <c r="E17" s="127">
        <f>CF!D14</f>
        <v>0</v>
      </c>
      <c r="F17" s="127">
        <f>CF!E14</f>
        <v>0</v>
      </c>
      <c r="G17" s="214"/>
      <c r="H17" s="214"/>
      <c r="I17" s="214"/>
      <c r="J17" s="214"/>
    </row>
    <row r="18" spans="4:10">
      <c r="D18" s="197" t="str">
        <f>CF!B15</f>
        <v>이자비용</v>
      </c>
      <c r="E18" s="127">
        <f>CF!D15</f>
        <v>98954951</v>
      </c>
      <c r="F18" s="127">
        <f>CF!E15</f>
        <v>43244353</v>
      </c>
      <c r="G18" s="214"/>
      <c r="H18" s="214"/>
      <c r="I18" s="214"/>
      <c r="J18" s="214"/>
    </row>
    <row r="19" spans="4:10">
      <c r="D19" s="197" t="str">
        <f>CF!B16</f>
        <v>감가상각비</v>
      </c>
      <c r="E19" s="127">
        <f>CF!D16</f>
        <v>524170112</v>
      </c>
      <c r="F19" s="127">
        <f>CF!E16</f>
        <v>359919576</v>
      </c>
      <c r="G19" s="214"/>
      <c r="H19" s="214"/>
      <c r="I19" s="214"/>
      <c r="J19" s="214"/>
    </row>
    <row r="20" spans="4:10">
      <c r="D20" s="197" t="str">
        <f>CF!B17</f>
        <v>무형고정자산상각</v>
      </c>
      <c r="E20" s="127">
        <f>CF!D17</f>
        <v>21529107</v>
      </c>
      <c r="F20" s="127">
        <f>CF!E17</f>
        <v>144426793</v>
      </c>
      <c r="G20" s="214"/>
      <c r="H20" s="214"/>
      <c r="I20" s="214"/>
      <c r="J20" s="214"/>
    </row>
    <row r="21" spans="4:10">
      <c r="D21" s="197" t="str">
        <f>CF!B18</f>
        <v>유형자산처분손실</v>
      </c>
      <c r="E21" s="127">
        <f>CF!D18</f>
        <v>4825402</v>
      </c>
      <c r="F21" s="127">
        <f>CF!E18</f>
        <v>3098042</v>
      </c>
      <c r="G21" s="214"/>
      <c r="H21" s="214"/>
      <c r="I21" s="214"/>
      <c r="J21" s="214"/>
    </row>
    <row r="22" spans="4:10">
      <c r="D22" s="197" t="str">
        <f>CF!B19</f>
        <v>외화환산손실</v>
      </c>
      <c r="E22" s="127">
        <f>CF!D19</f>
        <v>0</v>
      </c>
      <c r="F22" s="127">
        <f>CF!E19</f>
        <v>57204705</v>
      </c>
      <c r="G22" s="214"/>
      <c r="H22" s="214"/>
      <c r="I22" s="214"/>
      <c r="J22" s="214"/>
    </row>
    <row r="23" spans="4:10">
      <c r="D23" s="197" t="str">
        <f>CF!B20</f>
        <v>당기손익-공정가치측정금융자산평가손실</v>
      </c>
      <c r="E23" s="127">
        <f>CF!D20</f>
        <v>0</v>
      </c>
      <c r="F23" s="127">
        <f>CF!E20</f>
        <v>0</v>
      </c>
      <c r="G23" s="214"/>
      <c r="H23" s="214"/>
      <c r="I23" s="214"/>
      <c r="J23" s="214"/>
    </row>
    <row r="24" spans="4:10">
      <c r="D24" s="197" t="str">
        <f>CF!B21</f>
        <v>법인세비용(수익)</v>
      </c>
      <c r="E24" s="127">
        <f>CF!D21</f>
        <v>0</v>
      </c>
      <c r="F24" s="127">
        <f>CF!E21</f>
        <v>0</v>
      </c>
      <c r="G24" s="214"/>
      <c r="H24" s="214"/>
      <c r="I24" s="214"/>
      <c r="J24" s="214"/>
    </row>
    <row r="25" spans="4:10">
      <c r="D25" s="197" t="str">
        <f>CF!B22</f>
        <v>종속기업투자주식손상환입</v>
      </c>
      <c r="E25" s="127">
        <f>CF!D22</f>
        <v>0</v>
      </c>
      <c r="F25" s="127">
        <f>CF!E22</f>
        <v>0</v>
      </c>
      <c r="G25" s="214"/>
      <c r="H25" s="214"/>
      <c r="I25" s="214"/>
      <c r="J25" s="214"/>
    </row>
    <row r="26" spans="4:10">
      <c r="D26" s="197" t="str">
        <f>CF!B23</f>
        <v>관계기업투자주식처분손실</v>
      </c>
      <c r="E26" s="127">
        <f>CF!D23</f>
        <v>0</v>
      </c>
      <c r="F26" s="127">
        <f>CF!E23</f>
        <v>0</v>
      </c>
      <c r="G26" s="214"/>
      <c r="H26" s="214"/>
      <c r="I26" s="214"/>
      <c r="J26" s="214"/>
    </row>
    <row r="27" spans="4:10">
      <c r="D27" s="197" t="str">
        <f>CF!B24</f>
        <v>종속기업투자주식손상차손</v>
      </c>
      <c r="E27" s="127">
        <f>CF!D24</f>
        <v>0</v>
      </c>
      <c r="F27" s="127">
        <f>CF!E24</f>
        <v>0</v>
      </c>
      <c r="G27" s="214"/>
      <c r="H27" s="214"/>
      <c r="I27" s="214"/>
      <c r="J27" s="214"/>
    </row>
    <row r="28" spans="4:10">
      <c r="D28" s="197" t="str">
        <f>CF!B25</f>
        <v>반품충당부채 설정(환입)</v>
      </c>
      <c r="E28" s="127">
        <f>CF!D25</f>
        <v>-7948119</v>
      </c>
      <c r="F28" s="127">
        <f>CF!E25</f>
        <v>-2653613</v>
      </c>
      <c r="G28" s="214"/>
      <c r="H28" s="214"/>
      <c r="I28" s="214"/>
      <c r="J28" s="214"/>
    </row>
    <row r="29" spans="4:10">
      <c r="D29" s="76" t="s">
        <v>311</v>
      </c>
      <c r="E29" s="127">
        <f>SUM(E9:E28)</f>
        <v>850953963</v>
      </c>
      <c r="F29" s="127">
        <f>SUM(F9:F28)</f>
        <v>857239522</v>
      </c>
      <c r="G29" s="214"/>
      <c r="J29" s="214"/>
    </row>
    <row r="30" spans="4:10">
      <c r="D30" s="120"/>
      <c r="E30" s="214" t="b">
        <f>E29=CF!D5</f>
        <v>1</v>
      </c>
      <c r="F30" s="214" t="b">
        <f>F29=CF!E5</f>
        <v>1</v>
      </c>
      <c r="G30" s="214"/>
      <c r="H30" s="214"/>
      <c r="I30" s="214"/>
      <c r="J30" s="214"/>
    </row>
    <row r="31" spans="4:10">
      <c r="D31" s="214"/>
      <c r="E31" s="214"/>
      <c r="F31" s="214"/>
      <c r="G31" s="214"/>
      <c r="H31" s="214"/>
      <c r="I31" s="214"/>
      <c r="J31" s="214"/>
    </row>
    <row r="32" spans="4:10">
      <c r="D32" s="214"/>
      <c r="E32" s="214"/>
      <c r="F32" s="214"/>
      <c r="G32" s="214"/>
      <c r="H32" s="214"/>
      <c r="I32" s="214"/>
      <c r="J32" s="214"/>
    </row>
    <row r="33" spans="4:10">
      <c r="D33" s="319" t="s">
        <v>1062</v>
      </c>
      <c r="E33" s="64"/>
      <c r="F33" s="130"/>
      <c r="G33" s="214"/>
      <c r="H33" s="214"/>
      <c r="I33" s="214"/>
      <c r="J33" s="214"/>
    </row>
    <row r="34" spans="4:10">
      <c r="D34" s="214"/>
      <c r="E34" s="214"/>
      <c r="F34" s="214"/>
      <c r="G34" s="214"/>
      <c r="H34" s="214"/>
      <c r="I34" s="214"/>
      <c r="J34" s="214"/>
    </row>
    <row r="35" spans="4:10">
      <c r="D35" s="311" t="s">
        <v>237</v>
      </c>
      <c r="E35" s="135" t="str">
        <f>E7</f>
        <v>당반기</v>
      </c>
      <c r="F35" s="135" t="str">
        <f>F7</f>
        <v>전반기</v>
      </c>
      <c r="G35" s="214"/>
      <c r="H35" s="214"/>
      <c r="I35" s="214"/>
      <c r="J35" s="214"/>
    </row>
    <row r="36" spans="4:10">
      <c r="D36" s="197" t="str">
        <f>CF!B27</f>
        <v>매출채권및기타채권의 감소(증가)</v>
      </c>
      <c r="E36" s="139">
        <f>CF!D27</f>
        <v>504628226</v>
      </c>
      <c r="F36" s="139">
        <f>CF!E27</f>
        <v>-285442157</v>
      </c>
      <c r="G36" s="214"/>
      <c r="H36" s="214"/>
      <c r="I36" s="214"/>
      <c r="J36" s="214"/>
    </row>
    <row r="37" spans="4:10">
      <c r="D37" s="197" t="str">
        <f>CF!B28</f>
        <v>기타유동자산의 감소(증가)</v>
      </c>
      <c r="E37" s="139">
        <f>CF!D28</f>
        <v>665709412</v>
      </c>
      <c r="F37" s="139">
        <f>CF!E28</f>
        <v>-287650372</v>
      </c>
      <c r="G37" s="214"/>
      <c r="H37" s="214"/>
      <c r="I37" s="214"/>
      <c r="J37" s="214"/>
    </row>
    <row r="38" spans="4:10">
      <c r="D38" s="197" t="str">
        <f>CF!B29</f>
        <v>재고자산의 감소(증가)</v>
      </c>
      <c r="E38" s="139">
        <f>CF!D29</f>
        <v>-299528123</v>
      </c>
      <c r="F38" s="139">
        <f>CF!E29</f>
        <v>73992229</v>
      </c>
      <c r="G38" s="214"/>
      <c r="H38" s="214"/>
      <c r="I38" s="214"/>
      <c r="J38" s="214"/>
    </row>
    <row r="39" spans="4:10">
      <c r="D39" s="197" t="str">
        <f>CF!B30</f>
        <v>매입채무및기타채무의 증가(감소)</v>
      </c>
      <c r="E39" s="139">
        <f>CF!D30</f>
        <v>1534270814</v>
      </c>
      <c r="F39" s="139">
        <f>CF!E30</f>
        <v>-298721864</v>
      </c>
      <c r="G39" s="214"/>
      <c r="H39" s="214"/>
      <c r="I39" s="214"/>
      <c r="J39" s="214"/>
    </row>
    <row r="40" spans="4:10">
      <c r="D40" s="197" t="str">
        <f>CF!B31</f>
        <v>기타유동부채의 증가(감소)</v>
      </c>
      <c r="E40" s="139">
        <f>CF!D31</f>
        <v>-142571143</v>
      </c>
      <c r="F40" s="139">
        <f>CF!E31</f>
        <v>-1288559</v>
      </c>
      <c r="G40" s="214"/>
      <c r="H40" s="214"/>
      <c r="I40" s="214"/>
      <c r="J40" s="214"/>
    </row>
    <row r="41" spans="4:10">
      <c r="D41" s="197" t="str">
        <f>CF!B32</f>
        <v>기타장기종업원급여의 증가(감소)</v>
      </c>
      <c r="E41" s="139">
        <f>CF!D32</f>
        <v>-4380000</v>
      </c>
      <c r="F41" s="139">
        <f>CF!E32</f>
        <v>0</v>
      </c>
      <c r="G41" s="214"/>
      <c r="H41" s="214"/>
      <c r="I41" s="214"/>
      <c r="J41" s="214"/>
    </row>
    <row r="42" spans="4:10">
      <c r="D42" s="197" t="str">
        <f>CF!B33</f>
        <v>퇴직금의 지급</v>
      </c>
      <c r="E42" s="139">
        <f>CF!D33</f>
        <v>-1064848974</v>
      </c>
      <c r="F42" s="139">
        <f>CF!E33</f>
        <v>-61814462</v>
      </c>
      <c r="G42" s="214"/>
      <c r="H42" s="214"/>
      <c r="I42" s="214"/>
      <c r="J42" s="214"/>
    </row>
    <row r="43" spans="4:10">
      <c r="D43" s="76" t="s">
        <v>311</v>
      </c>
      <c r="E43" s="139">
        <f>SUM(E36:E42)</f>
        <v>1193280212</v>
      </c>
      <c r="F43" s="127">
        <f>SUM(F36:F42)</f>
        <v>-860925185</v>
      </c>
      <c r="G43" s="214"/>
      <c r="J43" s="214"/>
    </row>
    <row r="44" spans="4:10">
      <c r="E44" s="214" t="b">
        <f>E43=CF!D26</f>
        <v>1</v>
      </c>
      <c r="F44" s="214" t="b">
        <f>F43=CF!E26</f>
        <v>1</v>
      </c>
    </row>
    <row r="46" spans="4:10">
      <c r="D46" s="55" t="s">
        <v>1531</v>
      </c>
    </row>
    <row r="48" spans="4:10">
      <c r="D48" s="311" t="s">
        <v>237</v>
      </c>
      <c r="E48" s="135" t="str">
        <f>E35</f>
        <v>당반기</v>
      </c>
      <c r="F48" s="135" t="str">
        <f>F35</f>
        <v>전반기</v>
      </c>
    </row>
    <row r="49" spans="4:11">
      <c r="D49" s="197" t="s">
        <v>1532</v>
      </c>
      <c r="E49" s="139">
        <f>'CF정산표(26.2Q)'!Q91</f>
        <v>0</v>
      </c>
      <c r="F49" s="139"/>
    </row>
    <row r="50" spans="4:11">
      <c r="D50" s="197" t="s">
        <v>1782</v>
      </c>
      <c r="E50" s="139">
        <f>'CF정산표(26.2Q)'!P60</f>
        <v>3105368861</v>
      </c>
      <c r="F50" s="139"/>
    </row>
    <row r="53" spans="4:11" hidden="1" outlineLevel="1">
      <c r="D53" s="55" t="s">
        <v>1593</v>
      </c>
    </row>
    <row r="54" spans="4:11" hidden="1" outlineLevel="1"/>
    <row r="55" spans="4:11" hidden="1" outlineLevel="1">
      <c r="D55" s="55" t="s">
        <v>1599</v>
      </c>
    </row>
    <row r="56" spans="4:11" hidden="1" outlineLevel="1">
      <c r="D56" s="311" t="s">
        <v>237</v>
      </c>
      <c r="E56" s="311" t="s">
        <v>341</v>
      </c>
      <c r="F56" s="311" t="s">
        <v>1592</v>
      </c>
      <c r="G56" s="311" t="s">
        <v>1603</v>
      </c>
      <c r="H56" s="764" t="s">
        <v>343</v>
      </c>
    </row>
    <row r="57" spans="4:11" hidden="1" outlineLevel="1">
      <c r="D57" s="197" t="s">
        <v>1594</v>
      </c>
      <c r="E57" s="139">
        <f>H66</f>
        <v>1120000000</v>
      </c>
      <c r="F57" s="139">
        <f>'CF정산표(26.2Q)'!N82-'CF정산표(26.2Q)'!O82</f>
        <v>0</v>
      </c>
      <c r="G57" s="139">
        <v>0</v>
      </c>
      <c r="H57" s="139">
        <f>SUM(E57:G57)</f>
        <v>1120000000</v>
      </c>
      <c r="I57" s="55">
        <f>Dart_BS!C24</f>
        <v>1120000000</v>
      </c>
      <c r="J57" s="55" t="b">
        <f>I57=H57</f>
        <v>1</v>
      </c>
    </row>
    <row r="58" spans="4:11" hidden="1" outlineLevel="1">
      <c r="D58" s="197" t="s">
        <v>1595</v>
      </c>
      <c r="E58" s="139">
        <f t="shared" ref="E58:E61" si="0">H67</f>
        <v>99960000</v>
      </c>
      <c r="F58" s="139">
        <f>'CF정산표(26.2Q)'!N83-'CF정산표(26.2Q)'!O83</f>
        <v>-83300000</v>
      </c>
      <c r="G58" s="139">
        <f>'CF정산표(26.2Q)'!P83-'CF정산표(26.2Q)'!Q83</f>
        <v>0</v>
      </c>
      <c r="H58" s="139">
        <f>SUM(E58:G58)</f>
        <v>16660000</v>
      </c>
      <c r="I58" s="55">
        <f>Dart_BS!C25</f>
        <v>0</v>
      </c>
      <c r="J58" s="55" t="b">
        <f t="shared" ref="J58:J61" si="1">I58=H58</f>
        <v>0</v>
      </c>
      <c r="K58" s="55" t="s">
        <v>1605</v>
      </c>
    </row>
    <row r="59" spans="4:11" hidden="1" outlineLevel="1">
      <c r="D59" s="197" t="s">
        <v>1596</v>
      </c>
      <c r="E59" s="139">
        <f t="shared" si="0"/>
        <v>3683300000</v>
      </c>
      <c r="F59" s="139">
        <f>'CF정산표(26.2Q)'!N91-'CF정산표(26.2Q)'!O91</f>
        <v>0</v>
      </c>
      <c r="G59" s="139">
        <f>'CF정산표(26.2Q)'!P91-'CF정산표(26.2Q)'!Q91</f>
        <v>0</v>
      </c>
      <c r="H59" s="139">
        <f>SUM(E59:G59)</f>
        <v>3683300000</v>
      </c>
      <c r="I59" s="55">
        <f>Dart_BS!C29</f>
        <v>4100000000</v>
      </c>
      <c r="J59" s="55" t="b">
        <f t="shared" si="1"/>
        <v>0</v>
      </c>
    </row>
    <row r="60" spans="4:11" hidden="1" outlineLevel="1">
      <c r="D60" s="197" t="s">
        <v>1597</v>
      </c>
      <c r="E60" s="139">
        <f t="shared" si="0"/>
        <v>359470185</v>
      </c>
      <c r="F60" s="139">
        <f>'CF정산표(26.2Q)'!N84-'CF정산표(26.2Q)'!O84</f>
        <v>0</v>
      </c>
      <c r="G60" s="139">
        <f>'CF정산표(26.2Q)'!P84-'CF정산표(26.2Q)'!Q84</f>
        <v>-8918965</v>
      </c>
      <c r="H60" s="139">
        <f>SUM(E60:G60)</f>
        <v>350551220</v>
      </c>
      <c r="I60" s="55">
        <f>Dart_BS!C26</f>
        <v>537067117</v>
      </c>
      <c r="J60" s="55" t="b">
        <f t="shared" si="1"/>
        <v>0</v>
      </c>
    </row>
    <row r="61" spans="4:11" hidden="1" outlineLevel="1">
      <c r="D61" s="197" t="s">
        <v>1598</v>
      </c>
      <c r="E61" s="139">
        <f t="shared" si="0"/>
        <v>103490106</v>
      </c>
      <c r="F61" s="139">
        <f>-'CF정산표(26.2Q)'!O92-'CF정산표(26.2Q)'!O84</f>
        <v>-275936850</v>
      </c>
      <c r="G61" s="139">
        <v>1397370232</v>
      </c>
      <c r="H61" s="139">
        <f>SUM(E61:G61)</f>
        <v>1224923488</v>
      </c>
      <c r="I61" s="55">
        <f>Dart_BS!C30</f>
        <v>799358124</v>
      </c>
      <c r="J61" s="55" t="b">
        <f t="shared" si="1"/>
        <v>0</v>
      </c>
    </row>
    <row r="62" spans="4:11" hidden="1" outlineLevel="1">
      <c r="D62" s="76" t="s">
        <v>1119</v>
      </c>
      <c r="E62" s="139">
        <f>SUM(E57:E61)</f>
        <v>5366220291</v>
      </c>
      <c r="F62" s="139">
        <f t="shared" ref="F62" si="2">SUM(F57:F61)</f>
        <v>-359236850</v>
      </c>
      <c r="G62" s="139">
        <f>SUM(G57:G61)</f>
        <v>1388451267</v>
      </c>
      <c r="H62" s="139">
        <f>SUM(H57:H61)</f>
        <v>6395434708</v>
      </c>
      <c r="I62" s="55">
        <f>I61-H61</f>
        <v>-425565364</v>
      </c>
      <c r="K62" s="55">
        <f>I61-H61</f>
        <v>-425565364</v>
      </c>
    </row>
    <row r="63" spans="4:11" hidden="1" outlineLevel="1"/>
    <row r="64" spans="4:11" hidden="1" outlineLevel="1">
      <c r="D64" s="55" t="s">
        <v>1600</v>
      </c>
    </row>
    <row r="65" spans="4:10" hidden="1" outlineLevel="1">
      <c r="D65" s="311" t="s">
        <v>237</v>
      </c>
      <c r="E65" s="311" t="s">
        <v>341</v>
      </c>
      <c r="F65" s="311" t="s">
        <v>1592</v>
      </c>
      <c r="G65" s="311" t="s">
        <v>1604</v>
      </c>
      <c r="H65" s="764" t="s">
        <v>343</v>
      </c>
    </row>
    <row r="66" spans="4:10" hidden="1" outlineLevel="1">
      <c r="D66" s="197" t="s">
        <v>1594</v>
      </c>
      <c r="E66" s="139">
        <v>1125000000</v>
      </c>
      <c r="F66" s="139">
        <v>-5000000</v>
      </c>
      <c r="G66" s="139">
        <v>0</v>
      </c>
      <c r="H66" s="139">
        <f>SUM(E66:G66)</f>
        <v>1120000000</v>
      </c>
      <c r="I66" s="55">
        <f>Dart_BS!D24</f>
        <v>1120000000</v>
      </c>
      <c r="J66" s="55" t="b">
        <f t="shared" ref="J66:J70" si="3">I66=H66</f>
        <v>1</v>
      </c>
    </row>
    <row r="67" spans="4:10" hidden="1" outlineLevel="1">
      <c r="D67" s="197" t="s">
        <v>1595</v>
      </c>
      <c r="E67" s="139">
        <v>799960000</v>
      </c>
      <c r="F67" s="139">
        <v>-99960000</v>
      </c>
      <c r="G67" s="139">
        <v>-600040000</v>
      </c>
      <c r="H67" s="139">
        <f>SUM(E67:G67)</f>
        <v>99960000</v>
      </c>
      <c r="I67" s="55">
        <f>Dart_BS!D25</f>
        <v>83300000</v>
      </c>
      <c r="J67" s="55" t="b">
        <f t="shared" si="3"/>
        <v>0</v>
      </c>
    </row>
    <row r="68" spans="4:10" hidden="1" outlineLevel="1">
      <c r="D68" s="197" t="s">
        <v>1596</v>
      </c>
      <c r="E68" s="139">
        <v>183260000</v>
      </c>
      <c r="F68" s="139">
        <v>2900000000</v>
      </c>
      <c r="G68" s="139">
        <v>600040000</v>
      </c>
      <c r="H68" s="139">
        <f>SUM(E68:G68)</f>
        <v>3683300000</v>
      </c>
      <c r="I68" s="55">
        <f>Dart_BS!D29</f>
        <v>4100000000</v>
      </c>
      <c r="J68" s="55" t="b">
        <f t="shared" si="3"/>
        <v>0</v>
      </c>
    </row>
    <row r="69" spans="4:10" hidden="1" outlineLevel="1">
      <c r="D69" s="197" t="s">
        <v>1597</v>
      </c>
      <c r="E69" s="139">
        <v>424332142</v>
      </c>
      <c r="F69" s="139">
        <v>-495926339</v>
      </c>
      <c r="G69" s="139">
        <v>431064382</v>
      </c>
      <c r="H69" s="139">
        <f>SUM(E69:G69)</f>
        <v>359470185</v>
      </c>
      <c r="I69" s="55">
        <f>Dart_BS!D26</f>
        <v>545986082</v>
      </c>
      <c r="J69" s="55" t="b">
        <f t="shared" si="3"/>
        <v>0</v>
      </c>
    </row>
    <row r="70" spans="4:10" hidden="1" outlineLevel="1">
      <c r="D70" s="197" t="s">
        <v>1598</v>
      </c>
      <c r="E70" s="139">
        <v>376808757</v>
      </c>
      <c r="F70" s="139">
        <v>0</v>
      </c>
      <c r="G70" s="139">
        <v>-273318651</v>
      </c>
      <c r="H70" s="139">
        <f>SUM(E70:G70)</f>
        <v>103490106</v>
      </c>
      <c r="I70" s="55">
        <f>Dart_BS!D30</f>
        <v>1049272823</v>
      </c>
      <c r="J70" s="55" t="b">
        <f t="shared" si="3"/>
        <v>0</v>
      </c>
    </row>
    <row r="71" spans="4:10" hidden="1" outlineLevel="1">
      <c r="D71" s="76" t="s">
        <v>1119</v>
      </c>
      <c r="E71" s="139">
        <f>SUM(E66:E70)</f>
        <v>2909360899</v>
      </c>
      <c r="F71" s="139">
        <f t="shared" ref="F71" si="4">SUM(F66:F70)</f>
        <v>2299113661</v>
      </c>
      <c r="G71" s="139">
        <f>SUM(G66:G70)</f>
        <v>157745731</v>
      </c>
      <c r="H71" s="139">
        <f>SUM(H66:H70)</f>
        <v>5366220291</v>
      </c>
    </row>
    <row r="72" spans="4:10" hidden="1" outlineLevel="1"/>
    <row r="73" spans="4:10" hidden="1" outlineLevel="1">
      <c r="D73" s="55" t="s">
        <v>1602</v>
      </c>
    </row>
    <row r="74" spans="4:10" collapsed="1"/>
  </sheetData>
  <phoneticPr fontId="23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EFF8C75-EB1E-4A08-B4B6-7A9591C9EE17}">
            <xm:f>NOT(ISERROR(SEARCH("FALSE",A1)))</xm:f>
            <xm:f>"FALSE"</xm:f>
            <x14:dxf>
              <fill>
                <patternFill>
                  <bgColor theme="5"/>
                </patternFill>
              </fill>
            </x14:dxf>
          </x14:cfRule>
          <x14:cfRule type="containsText" priority="2" operator="containsText" id="{3D1871EF-8368-4483-9898-942CD8334582}">
            <xm:f>NOT(ISERROR(SEARCH("TRUE",A1)))</xm:f>
            <xm:f>"TRUE"</xm:f>
            <x14:dxf>
              <fill>
                <patternFill>
                  <bgColor theme="9" tint="0.79998168889431442"/>
                </patternFill>
              </fill>
            </x14:dxf>
          </x14:cfRule>
          <xm:sqref>A1:XFD5 A6:C6 E6:XFD6 A7:XFD28 A29:G29 J29:XFD29 A30:XFD42 A43:G43 J43:XFD43 A44:XFD1048576</xm:sqref>
        </x14:conditionalFormatting>
      </x14:conditionalFormatting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B2:D11"/>
  <sheetViews>
    <sheetView showGridLines="0" workbookViewId="0">
      <selection activeCell="G18" sqref="G18"/>
    </sheetView>
  </sheetViews>
  <sheetFormatPr defaultColWidth="8.5703125" defaultRowHeight="15"/>
  <cols>
    <col min="1" max="2" width="1.85546875" style="55" customWidth="1"/>
    <col min="3" max="3" width="1.5" style="55" customWidth="1"/>
    <col min="4" max="4" width="27.85546875" style="55" customWidth="1"/>
    <col min="5" max="5" width="12.5" style="55" bestFit="1" customWidth="1"/>
    <col min="6" max="6" width="8.5703125" style="55"/>
    <col min="7" max="7" width="17.5703125" style="55" customWidth="1"/>
    <col min="8" max="16384" width="8.5703125" style="55"/>
  </cols>
  <sheetData>
    <row r="2" spans="2:4">
      <c r="B2" s="54" t="s">
        <v>1817</v>
      </c>
    </row>
    <row r="4" spans="2:4">
      <c r="D4" s="61" t="s">
        <v>1058</v>
      </c>
    </row>
    <row r="9" spans="2:4">
      <c r="B9" s="54"/>
    </row>
    <row r="11" spans="2:4">
      <c r="D11" s="61"/>
    </row>
  </sheetData>
  <phoneticPr fontId="232"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1">
    <tabColor rgb="FFFFFF00"/>
  </sheetPr>
  <dimension ref="B2:O24"/>
  <sheetViews>
    <sheetView showGridLines="0" zoomScale="85" zoomScaleNormal="85" workbookViewId="0">
      <selection activeCell="H36" sqref="H35:H36"/>
    </sheetView>
  </sheetViews>
  <sheetFormatPr defaultColWidth="8.5703125" defaultRowHeight="15"/>
  <cols>
    <col min="1" max="2" width="1.85546875" style="55" customWidth="1"/>
    <col min="3" max="3" width="1.5" style="55" customWidth="1"/>
    <col min="4" max="4" width="32.0703125" style="55" customWidth="1"/>
    <col min="5" max="8" width="18.5703125" style="55" customWidth="1"/>
    <col min="9" max="12" width="15.5703125" style="55" customWidth="1"/>
    <col min="13" max="16384" width="8.5703125" style="55"/>
  </cols>
  <sheetData>
    <row r="2" spans="2:15">
      <c r="B2" s="54" t="s">
        <v>1828</v>
      </c>
    </row>
    <row r="4" spans="2:15">
      <c r="D4" s="55" t="s">
        <v>1061</v>
      </c>
    </row>
    <row r="5" spans="2:15">
      <c r="D5" s="61" t="s">
        <v>1059</v>
      </c>
    </row>
    <row r="6" spans="2:15">
      <c r="D6" s="61" t="s">
        <v>1060</v>
      </c>
    </row>
    <row r="8" spans="2:15">
      <c r="D8" s="62" t="s">
        <v>312</v>
      </c>
      <c r="E8" s="63"/>
      <c r="F8" s="63"/>
      <c r="G8" s="63"/>
      <c r="H8" s="63"/>
      <c r="I8" s="63"/>
      <c r="J8" s="63"/>
      <c r="K8" s="63"/>
      <c r="L8" s="63"/>
      <c r="M8" s="63"/>
      <c r="N8" s="63"/>
      <c r="O8" s="63"/>
    </row>
    <row r="9" spans="2:15">
      <c r="E9" s="63"/>
      <c r="F9" s="64" t="s">
        <v>258</v>
      </c>
      <c r="G9" s="63"/>
      <c r="H9" s="63"/>
      <c r="I9" s="63"/>
      <c r="J9" s="63"/>
      <c r="K9" s="63"/>
      <c r="L9" s="63"/>
      <c r="M9" s="63"/>
      <c r="N9" s="63"/>
      <c r="O9" s="63"/>
    </row>
    <row r="10" spans="2:15">
      <c r="D10" s="311" t="s">
        <v>237</v>
      </c>
      <c r="E10" s="135" t="str">
        <f>'34'!E7</f>
        <v>당반기</v>
      </c>
      <c r="F10" s="135" t="str">
        <f>'34'!F7</f>
        <v>전반기</v>
      </c>
      <c r="G10" s="63"/>
      <c r="H10" s="63"/>
      <c r="I10" s="63"/>
      <c r="J10" s="63"/>
      <c r="K10" s="63"/>
      <c r="L10" s="63"/>
      <c r="M10" s="63"/>
      <c r="N10" s="63"/>
      <c r="O10" s="63"/>
    </row>
    <row r="11" spans="2:15">
      <c r="D11" s="315" t="s">
        <v>181</v>
      </c>
      <c r="E11" s="68">
        <f>E13-E12</f>
        <v>7974892686</v>
      </c>
      <c r="F11" s="68">
        <f>F13-F12</f>
        <v>8701040737</v>
      </c>
      <c r="G11" s="63"/>
      <c r="H11" s="63"/>
      <c r="I11" s="63"/>
      <c r="J11" s="63"/>
      <c r="K11" s="63"/>
      <c r="L11" s="63"/>
      <c r="M11" s="63"/>
      <c r="N11" s="63"/>
      <c r="O11" s="63"/>
    </row>
    <row r="12" spans="2:15">
      <c r="D12" s="144" t="s">
        <v>199</v>
      </c>
      <c r="E12" s="956">
        <f>PL!E3+PL!E5</f>
        <v>313278001</v>
      </c>
      <c r="F12" s="956">
        <f>PL!F3+PL!F5</f>
        <v>116386260</v>
      </c>
      <c r="G12" s="63"/>
      <c r="H12" s="63"/>
      <c r="I12" s="63"/>
      <c r="J12" s="63"/>
      <c r="K12" s="63"/>
      <c r="L12" s="63"/>
      <c r="M12" s="63"/>
      <c r="N12" s="63"/>
      <c r="O12" s="63"/>
    </row>
    <row r="13" spans="2:15">
      <c r="D13" s="71" t="s">
        <v>256</v>
      </c>
      <c r="E13" s="72">
        <f>PL!E2</f>
        <v>8288170687</v>
      </c>
      <c r="F13" s="72">
        <f>PL!F2</f>
        <v>8817426997</v>
      </c>
      <c r="G13" s="63"/>
      <c r="H13" s="63"/>
      <c r="I13" s="63"/>
      <c r="J13" s="63"/>
      <c r="K13" s="63"/>
      <c r="L13" s="63"/>
      <c r="M13" s="63"/>
      <c r="N13" s="63"/>
      <c r="O13" s="63"/>
    </row>
    <row r="14" spans="2:15">
      <c r="D14" s="125"/>
      <c r="E14" s="63" t="b">
        <f>E13=PL!E2</f>
        <v>1</v>
      </c>
      <c r="F14" s="63" t="b">
        <f>F13=PL!F2</f>
        <v>1</v>
      </c>
      <c r="G14" s="63"/>
      <c r="H14" s="63"/>
      <c r="I14" s="63"/>
      <c r="J14" s="63"/>
      <c r="K14" s="63"/>
      <c r="L14" s="63"/>
      <c r="M14" s="63"/>
      <c r="N14" s="63"/>
      <c r="O14" s="63"/>
    </row>
    <row r="15" spans="2:15">
      <c r="D15" s="1327" t="s">
        <v>313</v>
      </c>
      <c r="E15" s="1327"/>
      <c r="F15" s="1327"/>
      <c r="G15" s="63"/>
      <c r="H15" s="63"/>
      <c r="I15" s="63"/>
      <c r="J15" s="63"/>
      <c r="K15" s="63"/>
      <c r="L15" s="63"/>
      <c r="M15" s="63"/>
      <c r="N15" s="63"/>
      <c r="O15" s="63"/>
    </row>
    <row r="16" spans="2:15">
      <c r="D16" s="64" t="s">
        <v>314</v>
      </c>
      <c r="E16" s="63"/>
      <c r="F16" s="63"/>
      <c r="G16" s="63"/>
      <c r="H16" s="63"/>
      <c r="I16" s="63"/>
      <c r="J16" s="63"/>
      <c r="K16" s="63"/>
      <c r="L16" s="63"/>
      <c r="M16" s="63"/>
      <c r="N16" s="63"/>
      <c r="O16" s="63"/>
    </row>
    <row r="17" spans="4:15">
      <c r="D17" s="53"/>
      <c r="E17" s="63"/>
      <c r="F17" s="63"/>
      <c r="G17" s="63"/>
      <c r="H17" s="63"/>
      <c r="I17" s="63"/>
      <c r="J17" s="63"/>
      <c r="K17" s="63"/>
      <c r="L17" s="63"/>
      <c r="M17" s="63"/>
      <c r="N17" s="63" t="s">
        <v>721</v>
      </c>
      <c r="O17" s="63"/>
    </row>
    <row r="18" spans="4:15">
      <c r="D18" s="1269" t="s">
        <v>315</v>
      </c>
      <c r="E18" s="316" t="s">
        <v>316</v>
      </c>
      <c r="F18" s="222"/>
      <c r="G18" s="63"/>
      <c r="H18" s="63"/>
      <c r="I18" s="63"/>
      <c r="J18" s="63"/>
      <c r="K18" s="63"/>
      <c r="L18" s="63"/>
      <c r="M18" s="63"/>
      <c r="N18" s="63"/>
      <c r="O18" s="63"/>
    </row>
    <row r="19" spans="4:15">
      <c r="D19" s="1270"/>
      <c r="E19" s="135" t="str">
        <f>E10</f>
        <v>당반기</v>
      </c>
      <c r="F19" s="135" t="str">
        <f>F10</f>
        <v>전반기</v>
      </c>
      <c r="G19" s="63"/>
      <c r="H19" s="743"/>
      <c r="I19" s="744"/>
      <c r="J19" s="63"/>
      <c r="K19" s="63"/>
      <c r="L19" s="63"/>
      <c r="M19" s="63"/>
      <c r="N19" s="63"/>
      <c r="O19" s="63"/>
    </row>
    <row r="20" spans="4:15">
      <c r="D20" s="315" t="s">
        <v>317</v>
      </c>
      <c r="E20" s="1080"/>
      <c r="F20" s="725"/>
      <c r="G20" s="63"/>
      <c r="H20" s="743"/>
      <c r="I20" s="744"/>
      <c r="J20" s="63"/>
      <c r="K20" s="63"/>
      <c r="L20" s="63"/>
      <c r="M20" s="63"/>
      <c r="N20" s="63"/>
      <c r="O20" s="63"/>
    </row>
    <row r="21" spans="4:15">
      <c r="D21" s="144" t="s">
        <v>318</v>
      </c>
      <c r="E21" s="1081"/>
      <c r="F21" s="145"/>
      <c r="G21" s="63"/>
      <c r="H21" s="745"/>
      <c r="I21" s="746"/>
      <c r="J21" s="63"/>
      <c r="K21" s="63"/>
      <c r="L21" s="63"/>
      <c r="M21" s="63"/>
      <c r="N21" s="63"/>
      <c r="O21" s="63"/>
    </row>
    <row r="22" spans="4:15">
      <c r="D22" s="149" t="s">
        <v>256</v>
      </c>
      <c r="E22" s="151">
        <f>E13</f>
        <v>8288170687</v>
      </c>
      <c r="F22" s="169">
        <f>SUM(F20:F21)</f>
        <v>0</v>
      </c>
      <c r="G22" s="63"/>
      <c r="H22" s="53"/>
      <c r="I22" s="63"/>
      <c r="J22" s="63"/>
      <c r="K22" s="63"/>
      <c r="L22" s="63"/>
      <c r="M22" s="63"/>
      <c r="N22" s="63"/>
      <c r="O22" s="63"/>
    </row>
    <row r="23" spans="4:15">
      <c r="D23" s="125"/>
      <c r="E23" s="63" t="b">
        <f>E13=E22</f>
        <v>1</v>
      </c>
      <c r="F23" s="63" t="b">
        <f>F13=F22</f>
        <v>0</v>
      </c>
      <c r="G23" s="63"/>
      <c r="H23" s="63"/>
      <c r="I23" s="63"/>
      <c r="J23" s="63"/>
      <c r="K23" s="63"/>
      <c r="L23" s="63"/>
      <c r="M23" s="63"/>
      <c r="N23" s="63"/>
      <c r="O23" s="63"/>
    </row>
    <row r="24" spans="4:15">
      <c r="D24" s="125"/>
      <c r="E24" s="63" t="b">
        <f>SUM(E20:E21)=E22</f>
        <v>0</v>
      </c>
      <c r="F24" s="63"/>
      <c r="G24" s="63"/>
      <c r="H24" s="63"/>
      <c r="I24" s="63"/>
      <c r="J24" s="63"/>
      <c r="K24" s="63"/>
      <c r="L24" s="63"/>
      <c r="M24" s="63"/>
      <c r="N24" s="63"/>
      <c r="O24" s="63"/>
    </row>
  </sheetData>
  <mergeCells count="2">
    <mergeCell ref="D15:F15"/>
    <mergeCell ref="D18:D19"/>
  </mergeCells>
  <phoneticPr fontId="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7BD61D7A-D8F3-4683-B047-C3432CD9C0D1}">
            <xm:f>NOT(ISERROR(SEARCH("FALSE",A20)))</xm:f>
            <xm:f>"FALSE"</xm:f>
            <x14:dxf>
              <fill>
                <patternFill>
                  <bgColor theme="5"/>
                </patternFill>
              </fill>
            </x14:dxf>
          </x14:cfRule>
          <x14:cfRule type="containsText" priority="4" operator="containsText" id="{B3B15580-61F3-4030-9A3E-FEE143329632}">
            <xm:f>NOT(ISERROR(SEARCH("TRUE",A20)))</xm:f>
            <xm:f>"TRUE"</xm:f>
            <x14:dxf>
              <fill>
                <patternFill>
                  <bgColor theme="9" tint="0.79998168889431442"/>
                </patternFill>
              </fill>
            </x14:dxf>
          </x14:cfRule>
          <xm:sqref>A20:G23 A24:XFD49</xm:sqref>
        </x14:conditionalFormatting>
        <x14:conditionalFormatting xmlns:xm="http://schemas.microsoft.com/office/excel/2006/main">
          <x14:cfRule type="containsText" priority="7" operator="containsText" id="{D5752BF7-4B6B-40AA-A49D-303DA3FAA58D}">
            <xm:f>NOT(ISERROR(SEARCH("FALSE",A1)))</xm:f>
            <xm:f>"FALSE"</xm:f>
            <x14:dxf>
              <fill>
                <patternFill>
                  <bgColor theme="5"/>
                </patternFill>
              </fill>
            </x14:dxf>
          </x14:cfRule>
          <x14:cfRule type="containsText" priority="8" operator="containsText" id="{6F085412-75EA-42AB-B89E-64E6915BB0EA}">
            <xm:f>NOT(ISERROR(SEARCH("TRUE",A1)))</xm:f>
            <xm:f>"TRUE"</xm:f>
            <x14:dxf>
              <fill>
                <patternFill>
                  <bgColor theme="9" tint="0.79998168889431442"/>
                </patternFill>
              </fill>
            </x14:dxf>
          </x14:cfRule>
          <xm:sqref>A1:XFD8 A9:C9 E9:XFD9 A10:XFD18 A19:C19 E19:G19 A50:C56 N50:XFD56 A57:XFD1048576</xm:sqref>
        </x14:conditionalFormatting>
        <x14:conditionalFormatting xmlns:xm="http://schemas.microsoft.com/office/excel/2006/main">
          <x14:cfRule type="containsText" priority="5" operator="containsText" id="{98E96B87-5E37-46B7-AEDB-024E12C53FC3}">
            <xm:f>NOT(ISERROR(SEARCH("FALSE",H19)))</xm:f>
            <xm:f>"FALSE"</xm:f>
            <x14:dxf>
              <fill>
                <patternFill>
                  <bgColor theme="5"/>
                </patternFill>
              </fill>
            </x14:dxf>
          </x14:cfRule>
          <x14:cfRule type="containsText" priority="6" operator="containsText" id="{09CFDBBA-F5F3-4087-A7AD-16B2CC2BB85D}">
            <xm:f>NOT(ISERROR(SEARCH("TRUE",H19)))</xm:f>
            <xm:f>"TRUE"</xm:f>
            <x14:dxf>
              <fill>
                <patternFill>
                  <bgColor theme="9" tint="0.79998168889431442"/>
                </patternFill>
              </fill>
            </x14:dxf>
          </x14:cfRule>
          <xm:sqref>H19:XFD23</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tabColor theme="9" tint="-0.249977111117893"/>
  </sheetPr>
  <dimension ref="A1"/>
  <sheetViews>
    <sheetView workbookViewId="0">
      <selection activeCell="M28" sqref="M28"/>
    </sheetView>
  </sheetViews>
  <sheetFormatPr defaultRowHeight="17.600000000000001"/>
  <sheetData/>
  <phoneticPr fontId="21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tabColor rgb="FFFF0000"/>
    <pageSetUpPr fitToPage="1"/>
  </sheetPr>
  <dimension ref="A1:M32"/>
  <sheetViews>
    <sheetView workbookViewId="0">
      <selection activeCell="M20" sqref="M20"/>
    </sheetView>
  </sheetViews>
  <sheetFormatPr defaultColWidth="11.5" defaultRowHeight="15"/>
  <cols>
    <col min="1" max="1" width="32.92578125" style="959" customWidth="1"/>
    <col min="2" max="5" width="14.35546875" style="959" customWidth="1"/>
    <col min="6" max="6" width="12.92578125" style="960" bestFit="1" customWidth="1"/>
    <col min="7" max="7" width="3.35546875" style="959" customWidth="1"/>
    <col min="8" max="8" width="14.140625" style="959" customWidth="1"/>
    <col min="9" max="11" width="14.5703125" style="959" customWidth="1"/>
    <col min="12" max="12" width="13.640625" style="959" customWidth="1"/>
    <col min="13" max="13" width="12.640625" style="959" customWidth="1"/>
    <col min="14" max="16384" width="11.5" style="959"/>
  </cols>
  <sheetData>
    <row r="1" spans="1:11" ht="18.75" customHeight="1">
      <c r="A1" s="1328" t="s">
        <v>1692</v>
      </c>
      <c r="B1" s="1328" t="s">
        <v>1693</v>
      </c>
      <c r="C1" s="1328" t="s">
        <v>1693</v>
      </c>
      <c r="D1" s="1328" t="s">
        <v>1694</v>
      </c>
      <c r="E1" s="1328" t="s">
        <v>1694</v>
      </c>
    </row>
    <row r="2" spans="1:11" ht="18.75" customHeight="1">
      <c r="A2" s="1328" t="s">
        <v>1692</v>
      </c>
      <c r="B2" s="1328" t="s">
        <v>165</v>
      </c>
      <c r="C2" s="1328" t="s">
        <v>165</v>
      </c>
      <c r="D2" s="1328" t="s">
        <v>1695</v>
      </c>
      <c r="E2" s="1328" t="s">
        <v>1695</v>
      </c>
    </row>
    <row r="3" spans="1:11" ht="15" customHeight="1">
      <c r="A3" s="970" t="s">
        <v>730</v>
      </c>
      <c r="B3" s="969"/>
      <c r="C3" s="968">
        <v>6394961391</v>
      </c>
      <c r="D3" s="969"/>
      <c r="E3" s="968">
        <v>6085259645</v>
      </c>
      <c r="F3" s="1011" t="s">
        <v>1912</v>
      </c>
      <c r="H3" s="1002"/>
      <c r="I3" s="1003" t="s">
        <v>1911</v>
      </c>
      <c r="J3" s="1003" t="s">
        <v>1910</v>
      </c>
      <c r="K3" s="1002"/>
    </row>
    <row r="4" spans="1:11" ht="15" customHeight="1">
      <c r="A4" s="995" t="s">
        <v>1131</v>
      </c>
      <c r="B4" s="1008"/>
      <c r="C4" s="1008">
        <v>557640020</v>
      </c>
      <c r="D4" s="994"/>
      <c r="E4" s="994"/>
      <c r="F4" s="1006">
        <f>C4</f>
        <v>557640020</v>
      </c>
      <c r="H4" s="1009" t="s">
        <v>1909</v>
      </c>
      <c r="I4" s="1010" t="s">
        <v>1908</v>
      </c>
      <c r="J4" s="1010" t="s">
        <v>1907</v>
      </c>
      <c r="K4" s="1009" t="s">
        <v>1906</v>
      </c>
    </row>
    <row r="5" spans="1:11" ht="15" customHeight="1">
      <c r="A5" s="995" t="s">
        <v>1698</v>
      </c>
      <c r="B5" s="1008">
        <v>1355889942</v>
      </c>
      <c r="C5" s="1008"/>
      <c r="D5" s="994"/>
      <c r="E5" s="994"/>
      <c r="F5" s="1006">
        <f>B5</f>
        <v>1355889942</v>
      </c>
      <c r="H5" s="1005" t="s">
        <v>1905</v>
      </c>
      <c r="I5" s="997">
        <v>2545454000</v>
      </c>
      <c r="J5" s="997">
        <v>1087822000</v>
      </c>
      <c r="K5" s="1004">
        <f>I5+J5</f>
        <v>3633276000</v>
      </c>
    </row>
    <row r="6" spans="1:11" ht="15" customHeight="1">
      <c r="A6" s="995" t="s">
        <v>1699</v>
      </c>
      <c r="B6" s="993">
        <v>14123855</v>
      </c>
      <c r="C6" s="993">
        <v>1341766087</v>
      </c>
      <c r="D6" s="994"/>
      <c r="E6" s="994"/>
      <c r="F6" s="1007">
        <f>SUM(F4:F5)</f>
        <v>1913529962</v>
      </c>
      <c r="H6" s="1005" t="s">
        <v>1904</v>
      </c>
      <c r="I6" s="997">
        <v>169626100</v>
      </c>
      <c r="J6" s="997">
        <v>87765200</v>
      </c>
      <c r="K6" s="1004">
        <f>I6+J6</f>
        <v>257391300</v>
      </c>
    </row>
    <row r="7" spans="1:11" ht="15" customHeight="1">
      <c r="A7" s="970" t="s">
        <v>593</v>
      </c>
      <c r="B7" s="968">
        <v>1726514967</v>
      </c>
      <c r="C7" s="969"/>
      <c r="D7" s="968">
        <v>1682724967</v>
      </c>
      <c r="E7" s="969"/>
      <c r="F7" s="1006"/>
      <c r="H7" s="1005" t="s">
        <v>1903</v>
      </c>
      <c r="I7" s="997">
        <f>SUM(I5:I6)</f>
        <v>2715080100</v>
      </c>
      <c r="J7" s="997">
        <f>SUM(J5:J6)</f>
        <v>1175587200</v>
      </c>
      <c r="K7" s="1004">
        <f>SUM(K5:K6)</f>
        <v>3890667300</v>
      </c>
    </row>
    <row r="8" spans="1:11" ht="15" customHeight="1">
      <c r="A8" s="970" t="s">
        <v>594</v>
      </c>
      <c r="B8" s="968">
        <v>1123695809</v>
      </c>
      <c r="C8" s="968">
        <v>602819158</v>
      </c>
      <c r="D8" s="968">
        <v>1038375071</v>
      </c>
      <c r="E8" s="968">
        <v>644349896</v>
      </c>
      <c r="H8" s="1005"/>
      <c r="I8" s="997"/>
      <c r="J8" s="997"/>
      <c r="K8" s="1004"/>
    </row>
    <row r="9" spans="1:11" ht="15" customHeight="1">
      <c r="A9" s="970" t="s">
        <v>572</v>
      </c>
      <c r="B9" s="968">
        <v>7974819</v>
      </c>
      <c r="C9" s="969"/>
      <c r="D9" s="968">
        <v>14384049</v>
      </c>
      <c r="E9" s="969"/>
      <c r="H9" s="1005" t="s">
        <v>1902</v>
      </c>
      <c r="I9" s="997">
        <v>849193000</v>
      </c>
      <c r="J9" s="997">
        <v>210170000</v>
      </c>
      <c r="K9" s="1004">
        <f>I9+J9</f>
        <v>1059363000</v>
      </c>
    </row>
    <row r="10" spans="1:11" ht="15" customHeight="1">
      <c r="A10" s="970" t="s">
        <v>595</v>
      </c>
      <c r="B10" s="968">
        <v>7972819</v>
      </c>
      <c r="C10" s="968">
        <v>2000</v>
      </c>
      <c r="D10" s="968">
        <v>14381049</v>
      </c>
      <c r="E10" s="968">
        <v>3000</v>
      </c>
      <c r="H10" s="1005" t="s">
        <v>1901</v>
      </c>
      <c r="I10" s="997">
        <v>1696261000</v>
      </c>
      <c r="J10" s="997">
        <v>877652000</v>
      </c>
      <c r="K10" s="1004">
        <f>I10+J10</f>
        <v>2573913000</v>
      </c>
    </row>
    <row r="11" spans="1:11" ht="15" customHeight="1">
      <c r="A11" s="970" t="s">
        <v>596</v>
      </c>
      <c r="B11" s="968">
        <v>81100000</v>
      </c>
      <c r="C11" s="969"/>
      <c r="D11" s="968">
        <v>81100000</v>
      </c>
      <c r="E11" s="969"/>
      <c r="H11" s="1005" t="s">
        <v>1900</v>
      </c>
      <c r="I11" s="997">
        <f>I10*10%</f>
        <v>169626100</v>
      </c>
      <c r="J11" s="997">
        <f>J10*10%</f>
        <v>87765200</v>
      </c>
      <c r="K11" s="1004">
        <f>I11+J11</f>
        <v>257391300</v>
      </c>
    </row>
    <row r="12" spans="1:11" ht="15" customHeight="1" thickBot="1">
      <c r="A12" s="970" t="s">
        <v>597</v>
      </c>
      <c r="B12" s="968">
        <v>50845199</v>
      </c>
      <c r="C12" s="968">
        <v>30254801</v>
      </c>
      <c r="D12" s="968">
        <v>45286191</v>
      </c>
      <c r="E12" s="968">
        <v>35813809</v>
      </c>
      <c r="H12" s="1002"/>
      <c r="I12" s="1003"/>
      <c r="J12" s="1003"/>
      <c r="K12" s="1002"/>
    </row>
    <row r="13" spans="1:11" ht="15" customHeight="1">
      <c r="A13" s="970" t="s">
        <v>573</v>
      </c>
      <c r="B13" s="968">
        <v>383732293</v>
      </c>
      <c r="C13" s="969"/>
      <c r="D13" s="968">
        <v>357395811</v>
      </c>
      <c r="E13" s="969"/>
      <c r="H13" s="1001" t="s">
        <v>1899</v>
      </c>
      <c r="I13" s="1000">
        <f>I7*10%</f>
        <v>271508010</v>
      </c>
      <c r="J13" s="1000">
        <f>J7*10%</f>
        <v>117558720</v>
      </c>
      <c r="K13" s="999">
        <f>SUM(I13:J13)</f>
        <v>389066730</v>
      </c>
    </row>
    <row r="14" spans="1:11" ht="15" customHeight="1">
      <c r="A14" s="970" t="s">
        <v>598</v>
      </c>
      <c r="B14" s="968">
        <v>332345849</v>
      </c>
      <c r="C14" s="968">
        <v>51386444</v>
      </c>
      <c r="D14" s="968">
        <v>323083783</v>
      </c>
      <c r="E14" s="968">
        <v>34312028</v>
      </c>
      <c r="H14" s="998" t="s">
        <v>1898</v>
      </c>
      <c r="I14" s="997">
        <v>2030000000</v>
      </c>
      <c r="J14" s="997">
        <v>870000000</v>
      </c>
      <c r="K14" s="996">
        <f>SUM(I14:J14)</f>
        <v>2900000000</v>
      </c>
    </row>
    <row r="15" spans="1:11" ht="15" customHeight="1" thickBot="1">
      <c r="A15" s="995" t="s">
        <v>1132</v>
      </c>
      <c r="B15" s="994"/>
      <c r="C15" s="993">
        <v>3039655609</v>
      </c>
      <c r="D15" s="994"/>
      <c r="E15" s="993">
        <v>4892122921</v>
      </c>
      <c r="F15" s="992">
        <f>E15-C15</f>
        <v>1852467312</v>
      </c>
      <c r="H15" s="991" t="s">
        <v>1897</v>
      </c>
      <c r="I15" s="990">
        <f>I7-I13-I14</f>
        <v>413572090</v>
      </c>
      <c r="J15" s="990">
        <f>J7-J13-J14</f>
        <v>188028480</v>
      </c>
      <c r="K15" s="989">
        <f>SUM(I15:J15)</f>
        <v>601600570</v>
      </c>
    </row>
    <row r="16" spans="1:11" ht="15" customHeight="1" thickBot="1">
      <c r="A16" s="970" t="s">
        <v>599</v>
      </c>
      <c r="B16" s="968">
        <v>218118382</v>
      </c>
      <c r="C16" s="969"/>
      <c r="D16" s="968">
        <v>218118382</v>
      </c>
      <c r="E16" s="969"/>
    </row>
    <row r="17" spans="1:13" ht="15" customHeight="1">
      <c r="A17" s="970" t="s">
        <v>600</v>
      </c>
      <c r="B17" s="968">
        <v>211780105</v>
      </c>
      <c r="C17" s="968">
        <v>6338277</v>
      </c>
      <c r="D17" s="968">
        <v>201880183</v>
      </c>
      <c r="E17" s="968">
        <v>16238199</v>
      </c>
      <c r="H17" s="988" t="s">
        <v>1896</v>
      </c>
      <c r="I17" s="987" t="s">
        <v>1895</v>
      </c>
      <c r="J17" s="987" t="s">
        <v>1894</v>
      </c>
      <c r="K17" s="986" t="s">
        <v>1893</v>
      </c>
      <c r="L17" s="985" t="s">
        <v>1892</v>
      </c>
      <c r="M17" s="984" t="s">
        <v>1891</v>
      </c>
    </row>
    <row r="18" spans="1:13" ht="15" customHeight="1">
      <c r="A18" s="970" t="s">
        <v>1133</v>
      </c>
      <c r="B18" s="968">
        <v>466150000</v>
      </c>
      <c r="C18" s="969"/>
      <c r="D18" s="969"/>
      <c r="E18" s="969"/>
      <c r="H18" s="982" t="s">
        <v>1890</v>
      </c>
      <c r="I18" s="981">
        <v>891109550.32017076</v>
      </c>
      <c r="J18" s="981">
        <v>224170489.51740268</v>
      </c>
      <c r="K18" s="980">
        <v>1115280039.8375735</v>
      </c>
      <c r="L18" s="983">
        <f>K18/2</f>
        <v>557640019.91878676</v>
      </c>
      <c r="M18" s="978">
        <f>K18-L18</f>
        <v>557640019.91878676</v>
      </c>
    </row>
    <row r="19" spans="1:13" ht="15" customHeight="1">
      <c r="A19" s="970" t="s">
        <v>1134</v>
      </c>
      <c r="B19" s="968">
        <v>38845835</v>
      </c>
      <c r="C19" s="968">
        <v>427304165</v>
      </c>
      <c r="D19" s="969"/>
      <c r="E19" s="969"/>
      <c r="H19" s="982" t="s">
        <v>676</v>
      </c>
      <c r="I19" s="981">
        <v>1777163982.7858407</v>
      </c>
      <c r="J19" s="981">
        <v>934615900.66933739</v>
      </c>
      <c r="K19" s="980">
        <v>2711779883.4551783</v>
      </c>
      <c r="L19" s="979">
        <f>K19/2</f>
        <v>1355889941.7275891</v>
      </c>
      <c r="M19" s="978">
        <f>K19-L19</f>
        <v>1355889941.7275891</v>
      </c>
    </row>
    <row r="20" spans="1:13" ht="15" customHeight="1" thickBot="1">
      <c r="A20" s="970" t="s">
        <v>601</v>
      </c>
      <c r="B20" s="968">
        <v>1200841982</v>
      </c>
      <c r="C20" s="969"/>
      <c r="D20" s="968">
        <v>1236040905</v>
      </c>
      <c r="E20" s="969"/>
      <c r="H20" s="977" t="s">
        <v>256</v>
      </c>
      <c r="I20" s="976">
        <v>2668273533.1060114</v>
      </c>
      <c r="J20" s="976">
        <v>1158786390.1867402</v>
      </c>
      <c r="K20" s="975">
        <v>3827059923.2927518</v>
      </c>
      <c r="L20" s="974">
        <f>K20/2</f>
        <v>1913529961.6463759</v>
      </c>
      <c r="M20" s="973">
        <f>K20-L20</f>
        <v>1913529961.6463759</v>
      </c>
    </row>
    <row r="21" spans="1:13" ht="15" customHeight="1">
      <c r="A21" s="970" t="s">
        <v>1700</v>
      </c>
      <c r="B21" s="968">
        <v>863047152</v>
      </c>
      <c r="C21" s="968">
        <v>337794830</v>
      </c>
      <c r="D21" s="968">
        <v>773621113</v>
      </c>
      <c r="E21" s="968">
        <v>462419792</v>
      </c>
    </row>
    <row r="22" spans="1:13">
      <c r="A22" s="970" t="s">
        <v>731</v>
      </c>
      <c r="B22" s="969"/>
      <c r="C22" s="968">
        <v>78281486</v>
      </c>
      <c r="D22" s="969"/>
      <c r="E22" s="968">
        <v>218757479</v>
      </c>
      <c r="H22" s="972" t="s">
        <v>1889</v>
      </c>
      <c r="I22" s="971" t="s">
        <v>1888</v>
      </c>
      <c r="J22" s="965" t="s">
        <v>1887</v>
      </c>
      <c r="K22" s="965" t="s">
        <v>1886</v>
      </c>
      <c r="L22" s="965" t="s">
        <v>1885</v>
      </c>
    </row>
    <row r="23" spans="1:13">
      <c r="A23" s="970" t="s">
        <v>602</v>
      </c>
      <c r="B23" s="969"/>
      <c r="C23" s="968">
        <v>20980340</v>
      </c>
      <c r="D23" s="969"/>
      <c r="E23" s="968">
        <v>24286505</v>
      </c>
      <c r="H23" s="967" t="s">
        <v>1884</v>
      </c>
      <c r="I23" s="966">
        <v>2545454000</v>
      </c>
      <c r="J23" s="965">
        <f>I23</f>
        <v>2545454000</v>
      </c>
      <c r="K23" s="965">
        <f>-J23/2</f>
        <v>-1272727000</v>
      </c>
      <c r="L23" s="965">
        <f>SUM(J23:K23)</f>
        <v>1272727000</v>
      </c>
    </row>
    <row r="24" spans="1:13">
      <c r="A24" s="970" t="s">
        <v>603</v>
      </c>
      <c r="B24" s="969"/>
      <c r="C24" s="968">
        <v>25732437</v>
      </c>
      <c r="D24" s="969"/>
      <c r="E24" s="968">
        <v>34341837</v>
      </c>
      <c r="H24" s="967" t="s">
        <v>1883</v>
      </c>
      <c r="I24" s="966">
        <v>1087822000</v>
      </c>
      <c r="J24" s="965">
        <f>I24</f>
        <v>1087822000</v>
      </c>
      <c r="K24" s="965">
        <f>-J24/2</f>
        <v>-543911000</v>
      </c>
      <c r="L24" s="965">
        <f>SUM(J24:K24)</f>
        <v>543911000</v>
      </c>
    </row>
    <row r="25" spans="1:13">
      <c r="A25" s="970" t="s">
        <v>604</v>
      </c>
      <c r="B25" s="969"/>
      <c r="C25" s="968">
        <v>16287788</v>
      </c>
      <c r="D25" s="969"/>
      <c r="E25" s="968">
        <v>141914582</v>
      </c>
      <c r="H25" s="967" t="s">
        <v>1882</v>
      </c>
      <c r="I25" s="966">
        <v>133724554</v>
      </c>
      <c r="J25" s="965">
        <f>I25</f>
        <v>133724554</v>
      </c>
      <c r="K25" s="965">
        <f>-J25/2</f>
        <v>-66862277</v>
      </c>
      <c r="L25" s="965">
        <f>SUM(J25:K25)</f>
        <v>66862277</v>
      </c>
    </row>
    <row r="26" spans="1:13">
      <c r="A26" s="970" t="s">
        <v>605</v>
      </c>
      <c r="B26" s="969"/>
      <c r="C26" s="968">
        <v>15280921</v>
      </c>
      <c r="D26" s="969"/>
      <c r="E26" s="968">
        <v>18214555</v>
      </c>
      <c r="H26" s="967" t="s">
        <v>1881</v>
      </c>
      <c r="I26" s="966">
        <v>60059370</v>
      </c>
      <c r="J26" s="965">
        <f>I26</f>
        <v>60059370</v>
      </c>
      <c r="K26" s="965">
        <f>-J26/2</f>
        <v>-30029685</v>
      </c>
      <c r="L26" s="965">
        <f>SUM(J26:K26)</f>
        <v>30029685</v>
      </c>
    </row>
    <row r="27" spans="1:13">
      <c r="A27" s="963" t="s">
        <v>732</v>
      </c>
      <c r="B27" s="962"/>
      <c r="C27" s="961">
        <v>2606824859</v>
      </c>
      <c r="D27" s="962"/>
      <c r="E27" s="961">
        <v>2600289117</v>
      </c>
      <c r="I27" s="964">
        <f>SUM(I23:I26)</f>
        <v>3827059924</v>
      </c>
      <c r="J27" s="964">
        <f>SUM(J23:J26)</f>
        <v>3827059924</v>
      </c>
      <c r="K27" s="964">
        <f>SUM(K23:K26)</f>
        <v>-1913529962</v>
      </c>
      <c r="L27" s="964">
        <f>SUM(L23:L26)</f>
        <v>1913529962</v>
      </c>
    </row>
    <row r="28" spans="1:13">
      <c r="A28" s="963" t="s">
        <v>606</v>
      </c>
      <c r="B28" s="961">
        <v>25978000</v>
      </c>
      <c r="C28" s="962"/>
      <c r="D28" s="961">
        <v>25978000</v>
      </c>
      <c r="E28" s="962"/>
    </row>
    <row r="29" spans="1:13">
      <c r="A29" s="963" t="s">
        <v>1701</v>
      </c>
      <c r="B29" s="961">
        <v>7982893</v>
      </c>
      <c r="C29" s="961">
        <v>17995107</v>
      </c>
      <c r="D29" s="961">
        <v>14518635</v>
      </c>
      <c r="E29" s="961">
        <v>11459365</v>
      </c>
    </row>
    <row r="30" spans="1:13">
      <c r="A30" s="963" t="s">
        <v>574</v>
      </c>
      <c r="B30" s="962"/>
      <c r="C30" s="961">
        <v>10324170</v>
      </c>
      <c r="D30" s="962"/>
      <c r="E30" s="961">
        <v>10324170</v>
      </c>
    </row>
    <row r="31" spans="1:13">
      <c r="A31" s="963" t="s">
        <v>1702</v>
      </c>
      <c r="B31" s="962"/>
      <c r="C31" s="961">
        <v>189231441</v>
      </c>
      <c r="D31" s="962"/>
      <c r="E31" s="961">
        <v>189231441</v>
      </c>
    </row>
    <row r="32" spans="1:13">
      <c r="A32" s="963" t="s">
        <v>1703</v>
      </c>
      <c r="B32" s="962"/>
      <c r="C32" s="961">
        <v>2389274141</v>
      </c>
      <c r="D32" s="962"/>
      <c r="E32" s="961">
        <v>2389274141</v>
      </c>
    </row>
  </sheetData>
  <mergeCells count="5">
    <mergeCell ref="A1:A2"/>
    <mergeCell ref="B1:C1"/>
    <mergeCell ref="D1:E1"/>
    <mergeCell ref="B2:C2"/>
    <mergeCell ref="D2:E2"/>
  </mergeCells>
  <phoneticPr fontId="232" type="noConversion"/>
  <pageMargins left="0.75" right="0.75" top="1" bottom="1" header="0.5" footer="0.5"/>
  <pageSetup paperSize="9" fitToWidth="0" fitToHeight="0" orientation="landscape"/>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tabColor theme="9" tint="0.79998168889431442"/>
    <pageSetUpPr fitToPage="1"/>
  </sheetPr>
  <dimension ref="A1:Q101"/>
  <sheetViews>
    <sheetView showGridLines="0" topLeftCell="A84" zoomScaleNormal="100" workbookViewId="0">
      <selection activeCell="F108" sqref="F108"/>
    </sheetView>
  </sheetViews>
  <sheetFormatPr defaultColWidth="11.5" defaultRowHeight="15"/>
  <cols>
    <col min="1" max="1" width="11.5" style="835"/>
    <col min="2" max="2" width="32.85546875" style="831" customWidth="1"/>
    <col min="3" max="6" width="17.5" style="831" customWidth="1"/>
    <col min="7" max="7" width="11.5" style="831"/>
    <col min="8" max="8" width="12.35546875" style="831" bestFit="1" customWidth="1"/>
    <col min="9" max="10" width="11.5" style="831"/>
    <col min="11" max="11" width="35.640625" style="831" bestFit="1" customWidth="1"/>
    <col min="12" max="12" width="13.0703125" style="831" bestFit="1" customWidth="1"/>
    <col min="13" max="13" width="14.0703125" style="831" bestFit="1" customWidth="1"/>
    <col min="14" max="254" width="11.5" style="831"/>
    <col min="255" max="255" width="32.85546875" style="831" customWidth="1"/>
    <col min="256" max="259" width="17.5" style="831" customWidth="1"/>
    <col min="260" max="510" width="11.5" style="831"/>
    <col min="511" max="511" width="32.85546875" style="831" customWidth="1"/>
    <col min="512" max="515" width="17.5" style="831" customWidth="1"/>
    <col min="516" max="766" width="11.5" style="831"/>
    <col min="767" max="767" width="32.85546875" style="831" customWidth="1"/>
    <col min="768" max="771" width="17.5" style="831" customWidth="1"/>
    <col min="772" max="1022" width="11.5" style="831"/>
    <col min="1023" max="1023" width="32.85546875" style="831" customWidth="1"/>
    <col min="1024" max="1027" width="17.5" style="831" customWidth="1"/>
    <col min="1028" max="1278" width="11.5" style="831"/>
    <col min="1279" max="1279" width="32.85546875" style="831" customWidth="1"/>
    <col min="1280" max="1283" width="17.5" style="831" customWidth="1"/>
    <col min="1284" max="1534" width="11.5" style="831"/>
    <col min="1535" max="1535" width="32.85546875" style="831" customWidth="1"/>
    <col min="1536" max="1539" width="17.5" style="831" customWidth="1"/>
    <col min="1540" max="1790" width="11.5" style="831"/>
    <col min="1791" max="1791" width="32.85546875" style="831" customWidth="1"/>
    <col min="1792" max="1795" width="17.5" style="831" customWidth="1"/>
    <col min="1796" max="2046" width="11.5" style="831"/>
    <col min="2047" max="2047" width="32.85546875" style="831" customWidth="1"/>
    <col min="2048" max="2051" width="17.5" style="831" customWidth="1"/>
    <col min="2052" max="2302" width="11.5" style="831"/>
    <col min="2303" max="2303" width="32.85546875" style="831" customWidth="1"/>
    <col min="2304" max="2307" width="17.5" style="831" customWidth="1"/>
    <col min="2308" max="2558" width="11.5" style="831"/>
    <col min="2559" max="2559" width="32.85546875" style="831" customWidth="1"/>
    <col min="2560" max="2563" width="17.5" style="831" customWidth="1"/>
    <col min="2564" max="2814" width="11.5" style="831"/>
    <col min="2815" max="2815" width="32.85546875" style="831" customWidth="1"/>
    <col min="2816" max="2819" width="17.5" style="831" customWidth="1"/>
    <col min="2820" max="3070" width="11.5" style="831"/>
    <col min="3071" max="3071" width="32.85546875" style="831" customWidth="1"/>
    <col min="3072" max="3075" width="17.5" style="831" customWidth="1"/>
    <col min="3076" max="3326" width="11.5" style="831"/>
    <col min="3327" max="3327" width="32.85546875" style="831" customWidth="1"/>
    <col min="3328" max="3331" width="17.5" style="831" customWidth="1"/>
    <col min="3332" max="3582" width="11.5" style="831"/>
    <col min="3583" max="3583" width="32.85546875" style="831" customWidth="1"/>
    <col min="3584" max="3587" width="17.5" style="831" customWidth="1"/>
    <col min="3588" max="3838" width="11.5" style="831"/>
    <col min="3839" max="3839" width="32.85546875" style="831" customWidth="1"/>
    <col min="3840" max="3843" width="17.5" style="831" customWidth="1"/>
    <col min="3844" max="4094" width="11.5" style="831"/>
    <col min="4095" max="4095" width="32.85546875" style="831" customWidth="1"/>
    <col min="4096" max="4099" width="17.5" style="831" customWidth="1"/>
    <col min="4100" max="4350" width="11.5" style="831"/>
    <col min="4351" max="4351" width="32.85546875" style="831" customWidth="1"/>
    <col min="4352" max="4355" width="17.5" style="831" customWidth="1"/>
    <col min="4356" max="4606" width="11.5" style="831"/>
    <col min="4607" max="4607" width="32.85546875" style="831" customWidth="1"/>
    <col min="4608" max="4611" width="17.5" style="831" customWidth="1"/>
    <col min="4612" max="4862" width="11.5" style="831"/>
    <col min="4863" max="4863" width="32.85546875" style="831" customWidth="1"/>
    <col min="4864" max="4867" width="17.5" style="831" customWidth="1"/>
    <col min="4868" max="5118" width="11.5" style="831"/>
    <col min="5119" max="5119" width="32.85546875" style="831" customWidth="1"/>
    <col min="5120" max="5123" width="17.5" style="831" customWidth="1"/>
    <col min="5124" max="5374" width="11.5" style="831"/>
    <col min="5375" max="5375" width="32.85546875" style="831" customWidth="1"/>
    <col min="5376" max="5379" width="17.5" style="831" customWidth="1"/>
    <col min="5380" max="5630" width="11.5" style="831"/>
    <col min="5631" max="5631" width="32.85546875" style="831" customWidth="1"/>
    <col min="5632" max="5635" width="17.5" style="831" customWidth="1"/>
    <col min="5636" max="5886" width="11.5" style="831"/>
    <col min="5887" max="5887" width="32.85546875" style="831" customWidth="1"/>
    <col min="5888" max="5891" width="17.5" style="831" customWidth="1"/>
    <col min="5892" max="6142" width="11.5" style="831"/>
    <col min="6143" max="6143" width="32.85546875" style="831" customWidth="1"/>
    <col min="6144" max="6147" width="17.5" style="831" customWidth="1"/>
    <col min="6148" max="6398" width="11.5" style="831"/>
    <col min="6399" max="6399" width="32.85546875" style="831" customWidth="1"/>
    <col min="6400" max="6403" width="17.5" style="831" customWidth="1"/>
    <col min="6404" max="6654" width="11.5" style="831"/>
    <col min="6655" max="6655" width="32.85546875" style="831" customWidth="1"/>
    <col min="6656" max="6659" width="17.5" style="831" customWidth="1"/>
    <col min="6660" max="6910" width="11.5" style="831"/>
    <col min="6911" max="6911" width="32.85546875" style="831" customWidth="1"/>
    <col min="6912" max="6915" width="17.5" style="831" customWidth="1"/>
    <col min="6916" max="7166" width="11.5" style="831"/>
    <col min="7167" max="7167" width="32.85546875" style="831" customWidth="1"/>
    <col min="7168" max="7171" width="17.5" style="831" customWidth="1"/>
    <col min="7172" max="7422" width="11.5" style="831"/>
    <col min="7423" max="7423" width="32.85546875" style="831" customWidth="1"/>
    <col min="7424" max="7427" width="17.5" style="831" customWidth="1"/>
    <col min="7428" max="7678" width="11.5" style="831"/>
    <col min="7679" max="7679" width="32.85546875" style="831" customWidth="1"/>
    <col min="7680" max="7683" width="17.5" style="831" customWidth="1"/>
    <col min="7684" max="7934" width="11.5" style="831"/>
    <col min="7935" max="7935" width="32.85546875" style="831" customWidth="1"/>
    <col min="7936" max="7939" width="17.5" style="831" customWidth="1"/>
    <col min="7940" max="8190" width="11.5" style="831"/>
    <col min="8191" max="8191" width="32.85546875" style="831" customWidth="1"/>
    <col min="8192" max="8195" width="17.5" style="831" customWidth="1"/>
    <col min="8196" max="8446" width="11.5" style="831"/>
    <col min="8447" max="8447" width="32.85546875" style="831" customWidth="1"/>
    <col min="8448" max="8451" width="17.5" style="831" customWidth="1"/>
    <col min="8452" max="8702" width="11.5" style="831"/>
    <col min="8703" max="8703" width="32.85546875" style="831" customWidth="1"/>
    <col min="8704" max="8707" width="17.5" style="831" customWidth="1"/>
    <col min="8708" max="8958" width="11.5" style="831"/>
    <col min="8959" max="8959" width="32.85546875" style="831" customWidth="1"/>
    <col min="8960" max="8963" width="17.5" style="831" customWidth="1"/>
    <col min="8964" max="9214" width="11.5" style="831"/>
    <col min="9215" max="9215" width="32.85546875" style="831" customWidth="1"/>
    <col min="9216" max="9219" width="17.5" style="831" customWidth="1"/>
    <col min="9220" max="9470" width="11.5" style="831"/>
    <col min="9471" max="9471" width="32.85546875" style="831" customWidth="1"/>
    <col min="9472" max="9475" width="17.5" style="831" customWidth="1"/>
    <col min="9476" max="9726" width="11.5" style="831"/>
    <col min="9727" max="9727" width="32.85546875" style="831" customWidth="1"/>
    <col min="9728" max="9731" width="17.5" style="831" customWidth="1"/>
    <col min="9732" max="9982" width="11.5" style="831"/>
    <col min="9983" max="9983" width="32.85546875" style="831" customWidth="1"/>
    <col min="9984" max="9987" width="17.5" style="831" customWidth="1"/>
    <col min="9988" max="10238" width="11.5" style="831"/>
    <col min="10239" max="10239" width="32.85546875" style="831" customWidth="1"/>
    <col min="10240" max="10243" width="17.5" style="831" customWidth="1"/>
    <col min="10244" max="10494" width="11.5" style="831"/>
    <col min="10495" max="10495" width="32.85546875" style="831" customWidth="1"/>
    <col min="10496" max="10499" width="17.5" style="831" customWidth="1"/>
    <col min="10500" max="10750" width="11.5" style="831"/>
    <col min="10751" max="10751" width="32.85546875" style="831" customWidth="1"/>
    <col min="10752" max="10755" width="17.5" style="831" customWidth="1"/>
    <col min="10756" max="11006" width="11.5" style="831"/>
    <col min="11007" max="11007" width="32.85546875" style="831" customWidth="1"/>
    <col min="11008" max="11011" width="17.5" style="831" customWidth="1"/>
    <col min="11012" max="11262" width="11.5" style="831"/>
    <col min="11263" max="11263" width="32.85546875" style="831" customWidth="1"/>
    <col min="11264" max="11267" width="17.5" style="831" customWidth="1"/>
    <col min="11268" max="11518" width="11.5" style="831"/>
    <col min="11519" max="11519" width="32.85546875" style="831" customWidth="1"/>
    <col min="11520" max="11523" width="17.5" style="831" customWidth="1"/>
    <col min="11524" max="11774" width="11.5" style="831"/>
    <col min="11775" max="11775" width="32.85546875" style="831" customWidth="1"/>
    <col min="11776" max="11779" width="17.5" style="831" customWidth="1"/>
    <col min="11780" max="12030" width="11.5" style="831"/>
    <col min="12031" max="12031" width="32.85546875" style="831" customWidth="1"/>
    <col min="12032" max="12035" width="17.5" style="831" customWidth="1"/>
    <col min="12036" max="12286" width="11.5" style="831"/>
    <col min="12287" max="12287" width="32.85546875" style="831" customWidth="1"/>
    <col min="12288" max="12291" width="17.5" style="831" customWidth="1"/>
    <col min="12292" max="12542" width="11.5" style="831"/>
    <col min="12543" max="12543" width="32.85546875" style="831" customWidth="1"/>
    <col min="12544" max="12547" width="17.5" style="831" customWidth="1"/>
    <col min="12548" max="12798" width="11.5" style="831"/>
    <col min="12799" max="12799" width="32.85546875" style="831" customWidth="1"/>
    <col min="12800" max="12803" width="17.5" style="831" customWidth="1"/>
    <col min="12804" max="13054" width="11.5" style="831"/>
    <col min="13055" max="13055" width="32.85546875" style="831" customWidth="1"/>
    <col min="13056" max="13059" width="17.5" style="831" customWidth="1"/>
    <col min="13060" max="13310" width="11.5" style="831"/>
    <col min="13311" max="13311" width="32.85546875" style="831" customWidth="1"/>
    <col min="13312" max="13315" width="17.5" style="831" customWidth="1"/>
    <col min="13316" max="13566" width="11.5" style="831"/>
    <col min="13567" max="13567" width="32.85546875" style="831" customWidth="1"/>
    <col min="13568" max="13571" width="17.5" style="831" customWidth="1"/>
    <col min="13572" max="13822" width="11.5" style="831"/>
    <col min="13823" max="13823" width="32.85546875" style="831" customWidth="1"/>
    <col min="13824" max="13827" width="17.5" style="831" customWidth="1"/>
    <col min="13828" max="14078" width="11.5" style="831"/>
    <col min="14079" max="14079" width="32.85546875" style="831" customWidth="1"/>
    <col min="14080" max="14083" width="17.5" style="831" customWidth="1"/>
    <col min="14084" max="14334" width="11.5" style="831"/>
    <col min="14335" max="14335" width="32.85546875" style="831" customWidth="1"/>
    <col min="14336" max="14339" width="17.5" style="831" customWidth="1"/>
    <col min="14340" max="14590" width="11.5" style="831"/>
    <col min="14591" max="14591" width="32.85546875" style="831" customWidth="1"/>
    <col min="14592" max="14595" width="17.5" style="831" customWidth="1"/>
    <col min="14596" max="14846" width="11.5" style="831"/>
    <col min="14847" max="14847" width="32.85546875" style="831" customWidth="1"/>
    <col min="14848" max="14851" width="17.5" style="831" customWidth="1"/>
    <col min="14852" max="15102" width="11.5" style="831"/>
    <col min="15103" max="15103" width="32.85546875" style="831" customWidth="1"/>
    <col min="15104" max="15107" width="17.5" style="831" customWidth="1"/>
    <col min="15108" max="15358" width="11.5" style="831"/>
    <col min="15359" max="15359" width="32.85546875" style="831" customWidth="1"/>
    <col min="15360" max="15363" width="17.5" style="831" customWidth="1"/>
    <col min="15364" max="15614" width="11.5" style="831"/>
    <col min="15615" max="15615" width="32.85546875" style="831" customWidth="1"/>
    <col min="15616" max="15619" width="17.5" style="831" customWidth="1"/>
    <col min="15620" max="15870" width="11.5" style="831"/>
    <col min="15871" max="15871" width="32.85546875" style="831" customWidth="1"/>
    <col min="15872" max="15875" width="17.5" style="831" customWidth="1"/>
    <col min="15876" max="16126" width="11.5" style="831"/>
    <col min="16127" max="16127" width="32.85546875" style="831" customWidth="1"/>
    <col min="16128" max="16131" width="17.5" style="831" customWidth="1"/>
    <col min="16132" max="16384" width="11.5" style="831"/>
  </cols>
  <sheetData>
    <row r="1" spans="1:13">
      <c r="A1" s="846" t="s">
        <v>2291</v>
      </c>
      <c r="K1" s="831" t="s">
        <v>1930</v>
      </c>
    </row>
    <row r="3" spans="1:13" ht="18.75" customHeight="1">
      <c r="B3" s="1330" t="s">
        <v>1692</v>
      </c>
      <c r="C3" s="1330" t="s">
        <v>2038</v>
      </c>
      <c r="D3" s="1330" t="s">
        <v>1693</v>
      </c>
      <c r="E3" s="1330" t="s">
        <v>2039</v>
      </c>
      <c r="F3" s="1330" t="s">
        <v>1694</v>
      </c>
      <c r="K3" s="1329" t="s">
        <v>1692</v>
      </c>
      <c r="L3" s="1329" t="s">
        <v>1135</v>
      </c>
      <c r="M3" s="1329" t="s">
        <v>1135</v>
      </c>
    </row>
    <row r="4" spans="1:13" ht="18.55" customHeight="1">
      <c r="B4" s="1330" t="s">
        <v>1692</v>
      </c>
      <c r="C4" s="1330" t="s">
        <v>165</v>
      </c>
      <c r="D4" s="1330" t="s">
        <v>165</v>
      </c>
      <c r="E4" s="1330" t="s">
        <v>1695</v>
      </c>
      <c r="F4" s="1330" t="s">
        <v>1695</v>
      </c>
      <c r="K4" s="1329" t="s">
        <v>1692</v>
      </c>
      <c r="L4" s="1329" t="s">
        <v>165</v>
      </c>
      <c r="M4" s="1329" t="s">
        <v>165</v>
      </c>
    </row>
    <row r="5" spans="1:13">
      <c r="B5" s="832" t="s">
        <v>722</v>
      </c>
      <c r="C5" s="833"/>
      <c r="D5" s="833"/>
      <c r="E5" s="833"/>
      <c r="F5" s="833"/>
      <c r="K5" s="947" t="s">
        <v>722</v>
      </c>
      <c r="L5" s="948"/>
      <c r="M5" s="948"/>
    </row>
    <row r="6" spans="1:13">
      <c r="B6" s="832" t="s">
        <v>723</v>
      </c>
      <c r="C6" s="1126"/>
      <c r="D6" s="1126">
        <f>D7+D21</f>
        <v>16937363250</v>
      </c>
      <c r="E6" s="1126"/>
      <c r="F6" s="1126">
        <f>F7+F21</f>
        <v>25996495943</v>
      </c>
      <c r="K6" s="947" t="s">
        <v>723</v>
      </c>
      <c r="L6" s="948"/>
      <c r="M6" s="949">
        <v>8824234743</v>
      </c>
    </row>
    <row r="7" spans="1:13">
      <c r="B7" s="832" t="s">
        <v>724</v>
      </c>
      <c r="C7" s="1126"/>
      <c r="D7" s="1126">
        <f>SUM(C8:C20)</f>
        <v>14734753629</v>
      </c>
      <c r="E7" s="1126"/>
      <c r="F7" s="1126">
        <f>SUM(E8:E20)</f>
        <v>23962221271</v>
      </c>
      <c r="K7" s="947" t="s">
        <v>724</v>
      </c>
      <c r="L7" s="948"/>
      <c r="M7" s="949">
        <v>6655322320</v>
      </c>
    </row>
    <row r="8" spans="1:13">
      <c r="A8" s="834" t="s">
        <v>764</v>
      </c>
      <c r="B8" s="832" t="s">
        <v>1696</v>
      </c>
      <c r="C8" s="1127"/>
      <c r="D8" s="1127"/>
      <c r="E8" s="1127"/>
      <c r="F8" s="1126"/>
      <c r="H8" s="845">
        <f>C8</f>
        <v>0</v>
      </c>
      <c r="K8" s="947" t="s">
        <v>1696</v>
      </c>
      <c r="L8" s="948"/>
      <c r="M8" s="949">
        <v>723060</v>
      </c>
    </row>
    <row r="9" spans="1:13">
      <c r="A9" s="834" t="s">
        <v>764</v>
      </c>
      <c r="B9" s="832" t="s">
        <v>579</v>
      </c>
      <c r="C9" s="1127">
        <v>10838373731</v>
      </c>
      <c r="D9" s="1127" t="s">
        <v>1111</v>
      </c>
      <c r="E9" s="1127">
        <v>18978036971</v>
      </c>
      <c r="F9" s="1126"/>
      <c r="H9" s="845">
        <f t="shared" ref="H9:H72" si="0">C9</f>
        <v>10838373731</v>
      </c>
      <c r="K9" s="947" t="s">
        <v>579</v>
      </c>
      <c r="L9" s="948"/>
      <c r="M9" s="949">
        <v>498072287</v>
      </c>
    </row>
    <row r="10" spans="1:13">
      <c r="A10" s="834" t="s">
        <v>764</v>
      </c>
      <c r="B10" s="832" t="s">
        <v>580</v>
      </c>
      <c r="C10" s="1127">
        <v>129791330</v>
      </c>
      <c r="D10" s="1127" t="s">
        <v>1111</v>
      </c>
      <c r="E10" s="1127">
        <v>191174214</v>
      </c>
      <c r="F10" s="1126"/>
      <c r="H10" s="845">
        <f t="shared" si="0"/>
        <v>129791330</v>
      </c>
      <c r="K10" s="947" t="s">
        <v>580</v>
      </c>
      <c r="L10" s="948"/>
      <c r="M10" s="949">
        <v>2411946289</v>
      </c>
    </row>
    <row r="11" spans="1:13">
      <c r="A11" s="835">
        <v>10800</v>
      </c>
      <c r="B11" s="832" t="s">
        <v>567</v>
      </c>
      <c r="C11" s="1127">
        <v>1535770100</v>
      </c>
      <c r="D11" s="1127" t="s">
        <v>1111</v>
      </c>
      <c r="E11" s="1127">
        <v>1998788804</v>
      </c>
      <c r="F11" s="1126"/>
      <c r="H11" s="845">
        <f t="shared" si="0"/>
        <v>1535770100</v>
      </c>
      <c r="K11" s="947" t="s">
        <v>581</v>
      </c>
      <c r="L11" s="948"/>
      <c r="M11" s="948"/>
    </row>
    <row r="12" spans="1:13">
      <c r="A12" s="835">
        <v>10900</v>
      </c>
      <c r="B12" s="832" t="s">
        <v>582</v>
      </c>
      <c r="C12" s="1127">
        <v>-105342662</v>
      </c>
      <c r="D12" s="1127" t="s">
        <v>1111</v>
      </c>
      <c r="E12" s="1127">
        <v>-188230079</v>
      </c>
      <c r="F12" s="1126"/>
      <c r="H12" s="845">
        <f t="shared" si="0"/>
        <v>-105342662</v>
      </c>
      <c r="K12" s="947" t="s">
        <v>567</v>
      </c>
      <c r="L12" s="949">
        <v>2712838526</v>
      </c>
      <c r="M12" s="948"/>
    </row>
    <row r="13" spans="1:13">
      <c r="A13" s="835">
        <v>12000</v>
      </c>
      <c r="B13" s="832" t="s">
        <v>568</v>
      </c>
      <c r="C13" s="1127">
        <v>261017572</v>
      </c>
      <c r="D13" s="1127" t="s">
        <v>1111</v>
      </c>
      <c r="E13" s="1127">
        <v>265023260</v>
      </c>
      <c r="F13" s="1126" t="s">
        <v>1111</v>
      </c>
      <c r="H13" s="845">
        <f t="shared" si="0"/>
        <v>261017572</v>
      </c>
      <c r="K13" s="947" t="s">
        <v>582</v>
      </c>
      <c r="L13" s="949">
        <v>311290597</v>
      </c>
      <c r="M13" s="949">
        <v>2401547929</v>
      </c>
    </row>
    <row r="14" spans="1:13">
      <c r="A14" s="835">
        <v>12100</v>
      </c>
      <c r="B14" s="832" t="s">
        <v>584</v>
      </c>
      <c r="C14" s="1127">
        <v>-24139000</v>
      </c>
      <c r="D14" s="1127" t="s">
        <v>1111</v>
      </c>
      <c r="E14" s="1127">
        <v>-27139000</v>
      </c>
      <c r="F14" s="1126" t="s">
        <v>1111</v>
      </c>
      <c r="H14" s="845">
        <f t="shared" si="0"/>
        <v>-24139000</v>
      </c>
      <c r="K14" s="947" t="s">
        <v>583</v>
      </c>
      <c r="L14" s="949"/>
      <c r="M14" s="948"/>
    </row>
    <row r="15" spans="1:13">
      <c r="A15" s="835">
        <v>12400</v>
      </c>
      <c r="B15" s="832" t="s">
        <v>1126</v>
      </c>
      <c r="C15" s="1127"/>
      <c r="D15" s="1127"/>
      <c r="E15" s="1127"/>
      <c r="F15" s="1126"/>
      <c r="H15" s="845">
        <f t="shared" si="0"/>
        <v>0</v>
      </c>
      <c r="K15" s="947" t="s">
        <v>725</v>
      </c>
      <c r="L15" s="948"/>
      <c r="M15" s="949"/>
    </row>
    <row r="16" spans="1:13">
      <c r="A16" s="835">
        <v>13100</v>
      </c>
      <c r="B16" s="832" t="s">
        <v>569</v>
      </c>
      <c r="C16" s="1127">
        <v>394157762</v>
      </c>
      <c r="D16" s="1127" t="s">
        <v>1111</v>
      </c>
      <c r="E16" s="1127">
        <v>2254829529</v>
      </c>
      <c r="F16" s="1126"/>
      <c r="H16" s="845">
        <f t="shared" si="0"/>
        <v>394157762</v>
      </c>
      <c r="K16" s="947" t="s">
        <v>568</v>
      </c>
      <c r="L16" s="949">
        <v>500957966</v>
      </c>
      <c r="M16" s="948"/>
    </row>
    <row r="17" spans="1:13">
      <c r="A17" s="835">
        <v>13300</v>
      </c>
      <c r="B17" s="832" t="s">
        <v>586</v>
      </c>
      <c r="C17" s="1127">
        <v>1698698289</v>
      </c>
      <c r="D17" s="1127" t="s">
        <v>1111</v>
      </c>
      <c r="E17" s="1127">
        <v>473315521</v>
      </c>
      <c r="F17" s="1126"/>
      <c r="H17" s="845">
        <f t="shared" si="0"/>
        <v>1698698289</v>
      </c>
      <c r="K17" s="947" t="s">
        <v>584</v>
      </c>
      <c r="L17" s="949">
        <v>43820850</v>
      </c>
      <c r="M17" s="949">
        <v>457137116</v>
      </c>
    </row>
    <row r="18" spans="1:13">
      <c r="A18" s="835">
        <v>13400</v>
      </c>
      <c r="B18" s="832" t="s">
        <v>726</v>
      </c>
      <c r="C18" s="1127" t="s">
        <v>1111</v>
      </c>
      <c r="D18" s="1127" t="s">
        <v>1111</v>
      </c>
      <c r="E18" s="1127">
        <v>1250001</v>
      </c>
      <c r="F18" s="1126"/>
      <c r="H18" s="845" t="str">
        <f t="shared" si="0"/>
        <v/>
      </c>
      <c r="K18" s="947" t="s">
        <v>1126</v>
      </c>
      <c r="L18" s="948"/>
      <c r="M18" s="949">
        <v>208720000</v>
      </c>
    </row>
    <row r="19" spans="1:13">
      <c r="A19" s="835">
        <v>13600</v>
      </c>
      <c r="B19" s="832" t="s">
        <v>587</v>
      </c>
      <c r="C19" s="1127">
        <v>2154280</v>
      </c>
      <c r="D19" s="1127" t="s">
        <v>1111</v>
      </c>
      <c r="E19" s="1127">
        <v>7479410</v>
      </c>
      <c r="F19" s="1126"/>
      <c r="H19" s="845">
        <f t="shared" si="0"/>
        <v>2154280</v>
      </c>
      <c r="K19" s="947" t="s">
        <v>569</v>
      </c>
      <c r="L19" s="949">
        <v>467802207</v>
      </c>
      <c r="M19" s="948"/>
    </row>
    <row r="20" spans="1:13">
      <c r="A20" s="835">
        <v>14000</v>
      </c>
      <c r="B20" s="832" t="s">
        <v>1697</v>
      </c>
      <c r="C20" s="1127">
        <v>4272227</v>
      </c>
      <c r="D20" s="1127" t="s">
        <v>1111</v>
      </c>
      <c r="E20" s="1127">
        <v>7692640</v>
      </c>
      <c r="F20" s="1126"/>
      <c r="H20" s="845">
        <f t="shared" si="0"/>
        <v>4272227</v>
      </c>
      <c r="K20" s="947" t="s">
        <v>585</v>
      </c>
      <c r="L20" s="948"/>
      <c r="M20" s="949">
        <v>467802207</v>
      </c>
    </row>
    <row r="21" spans="1:13">
      <c r="B21" s="832" t="s">
        <v>727</v>
      </c>
      <c r="C21" s="1127"/>
      <c r="D21" s="1127">
        <f>SUM(C22:C29)</f>
        <v>2202609621</v>
      </c>
      <c r="E21" s="1127"/>
      <c r="F21" s="1127">
        <f>SUM(E22:E29)</f>
        <v>2034274672</v>
      </c>
      <c r="H21" s="845">
        <f t="shared" si="0"/>
        <v>0</v>
      </c>
      <c r="K21" s="947" t="s">
        <v>586</v>
      </c>
      <c r="L21" s="948"/>
      <c r="M21" s="949">
        <v>189704804</v>
      </c>
    </row>
    <row r="22" spans="1:13">
      <c r="A22" s="835">
        <v>14600</v>
      </c>
      <c r="B22" s="832" t="s">
        <v>588</v>
      </c>
      <c r="C22" s="1128">
        <v>47852743</v>
      </c>
      <c r="D22" s="1127" t="s">
        <v>1111</v>
      </c>
      <c r="E22" s="1127">
        <v>42227029</v>
      </c>
      <c r="F22" s="1126"/>
      <c r="H22" s="845">
        <f t="shared" si="0"/>
        <v>47852743</v>
      </c>
      <c r="K22" s="947" t="s">
        <v>726</v>
      </c>
      <c r="L22" s="948"/>
      <c r="M22" s="949">
        <v>10833338</v>
      </c>
    </row>
    <row r="23" spans="1:13">
      <c r="A23" s="835">
        <v>16000</v>
      </c>
      <c r="B23" s="1054" t="s">
        <v>589</v>
      </c>
      <c r="C23" s="1129" t="s">
        <v>1111</v>
      </c>
      <c r="D23" s="1130" t="s">
        <v>1111</v>
      </c>
      <c r="E23" s="1130">
        <v>-14089</v>
      </c>
      <c r="F23" s="1131"/>
      <c r="H23" s="845" t="str">
        <f t="shared" si="0"/>
        <v/>
      </c>
      <c r="K23" s="1044"/>
      <c r="L23" s="1046"/>
      <c r="M23" s="1045"/>
    </row>
    <row r="24" spans="1:13">
      <c r="A24" s="835">
        <v>14700</v>
      </c>
      <c r="B24" s="832" t="s">
        <v>570</v>
      </c>
      <c r="C24" s="1126">
        <v>2534717672</v>
      </c>
      <c r="D24" s="1126" t="s">
        <v>1111</v>
      </c>
      <c r="E24" s="1126">
        <v>2349819825</v>
      </c>
      <c r="F24" s="1126"/>
      <c r="H24" s="845">
        <f t="shared" si="0"/>
        <v>2534717672</v>
      </c>
      <c r="K24" s="947" t="s">
        <v>587</v>
      </c>
      <c r="L24" s="948"/>
      <c r="M24" s="949">
        <v>8835290</v>
      </c>
    </row>
    <row r="25" spans="1:13">
      <c r="A25" s="835">
        <v>16100</v>
      </c>
      <c r="B25" s="832" t="s">
        <v>590</v>
      </c>
      <c r="C25" s="1126">
        <v>-827921741</v>
      </c>
      <c r="D25" s="1126" t="s">
        <v>1111</v>
      </c>
      <c r="E25" s="1126">
        <v>-725171962</v>
      </c>
      <c r="F25" s="1126"/>
      <c r="H25" s="845">
        <f t="shared" si="0"/>
        <v>-827921741</v>
      </c>
      <c r="K25" s="947" t="s">
        <v>727</v>
      </c>
      <c r="L25" s="948"/>
      <c r="M25" s="949">
        <v>2168912423</v>
      </c>
    </row>
    <row r="26" spans="1:13">
      <c r="A26" s="835">
        <v>14900</v>
      </c>
      <c r="B26" s="832" t="s">
        <v>571</v>
      </c>
      <c r="C26" s="1126">
        <v>464851515</v>
      </c>
      <c r="D26" s="1126" t="s">
        <v>1111</v>
      </c>
      <c r="E26" s="1126">
        <v>354984836</v>
      </c>
      <c r="F26" s="1126"/>
      <c r="H26" s="845">
        <f t="shared" si="0"/>
        <v>464851515</v>
      </c>
      <c r="K26" s="947" t="s">
        <v>588</v>
      </c>
      <c r="L26" s="949">
        <v>47369565</v>
      </c>
      <c r="M26" s="948"/>
    </row>
    <row r="27" spans="1:13">
      <c r="A27" s="835">
        <v>16200</v>
      </c>
      <c r="B27" s="832" t="s">
        <v>591</v>
      </c>
      <c r="C27" s="1126">
        <v>-44697318</v>
      </c>
      <c r="D27" s="1126" t="s">
        <v>1111</v>
      </c>
      <c r="E27" s="1126">
        <v>-34479470</v>
      </c>
      <c r="F27" s="1126"/>
      <c r="H27" s="845">
        <f t="shared" si="0"/>
        <v>-44697318</v>
      </c>
      <c r="K27" s="947" t="s">
        <v>589</v>
      </c>
      <c r="L27" s="948"/>
      <c r="M27" s="949">
        <v>47369565</v>
      </c>
    </row>
    <row r="28" spans="1:13">
      <c r="A28" s="835">
        <v>15200</v>
      </c>
      <c r="B28" s="832" t="s">
        <v>1127</v>
      </c>
      <c r="C28" s="1126">
        <v>48405072</v>
      </c>
      <c r="D28" s="1126" t="s">
        <v>1111</v>
      </c>
      <c r="E28" s="1126">
        <v>49267189</v>
      </c>
      <c r="F28" s="1126"/>
      <c r="H28" s="845">
        <f t="shared" si="0"/>
        <v>48405072</v>
      </c>
      <c r="K28" s="947" t="s">
        <v>570</v>
      </c>
      <c r="L28" s="949">
        <v>2366875579</v>
      </c>
      <c r="M28" s="948"/>
    </row>
    <row r="29" spans="1:13">
      <c r="A29" s="835">
        <v>15300</v>
      </c>
      <c r="B29" s="832" t="s">
        <v>1128</v>
      </c>
      <c r="C29" s="1126">
        <v>-20598322</v>
      </c>
      <c r="D29" s="1126" t="s">
        <v>1111</v>
      </c>
      <c r="E29" s="1126">
        <v>-2358686</v>
      </c>
      <c r="F29" s="1126"/>
      <c r="H29" s="845">
        <f t="shared" si="0"/>
        <v>-20598322</v>
      </c>
      <c r="K29" s="947" t="s">
        <v>590</v>
      </c>
      <c r="L29" s="949">
        <v>508903537</v>
      </c>
      <c r="M29" s="949">
        <v>1857972042</v>
      </c>
    </row>
    <row r="30" spans="1:13">
      <c r="B30" s="832" t="s">
        <v>728</v>
      </c>
      <c r="C30" s="1126"/>
      <c r="D30" s="1126">
        <f>D31+D34+D53+D58</f>
        <v>37614774674</v>
      </c>
      <c r="E30" s="1126"/>
      <c r="F30" s="1126">
        <f>F31+F34+F53+F58</f>
        <v>29197391461</v>
      </c>
      <c r="H30" s="845">
        <f t="shared" si="0"/>
        <v>0</v>
      </c>
      <c r="K30" s="947" t="s">
        <v>571</v>
      </c>
      <c r="L30" s="949">
        <v>340737438</v>
      </c>
      <c r="M30" s="948"/>
    </row>
    <row r="31" spans="1:13">
      <c r="B31" s="832" t="s">
        <v>729</v>
      </c>
      <c r="C31" s="1126"/>
      <c r="D31" s="1126">
        <f>SUM(C32:C33)</f>
        <v>25348225181</v>
      </c>
      <c r="E31" s="1126"/>
      <c r="F31" s="1126">
        <f>SUM(E32:E33)</f>
        <v>17348225181</v>
      </c>
      <c r="H31" s="845">
        <f t="shared" si="0"/>
        <v>0</v>
      </c>
      <c r="K31" s="947" t="s">
        <v>591</v>
      </c>
      <c r="L31" s="949">
        <v>107535799</v>
      </c>
      <c r="M31" s="949">
        <v>233201639</v>
      </c>
    </row>
    <row r="32" spans="1:13">
      <c r="A32" s="835">
        <v>17600</v>
      </c>
      <c r="B32" s="832" t="s">
        <v>1129</v>
      </c>
      <c r="C32" s="1126">
        <v>348225681</v>
      </c>
      <c r="D32" s="1126" t="s">
        <v>1111</v>
      </c>
      <c r="E32" s="1126">
        <v>348225681</v>
      </c>
      <c r="F32" s="1126"/>
      <c r="H32" s="845">
        <f t="shared" si="0"/>
        <v>348225681</v>
      </c>
      <c r="K32" s="947" t="s">
        <v>1127</v>
      </c>
      <c r="L32" s="949">
        <v>51518640</v>
      </c>
      <c r="M32" s="948"/>
    </row>
    <row r="33" spans="1:13">
      <c r="A33" s="835">
        <v>17700</v>
      </c>
      <c r="B33" s="1054" t="s">
        <v>1130</v>
      </c>
      <c r="C33" s="1131">
        <v>24999999500</v>
      </c>
      <c r="D33" s="1131" t="s">
        <v>1111</v>
      </c>
      <c r="E33" s="1131">
        <v>16999999500</v>
      </c>
      <c r="F33" s="1131"/>
      <c r="H33" s="845">
        <f t="shared" si="0"/>
        <v>24999999500</v>
      </c>
      <c r="K33" s="1044"/>
      <c r="L33" s="1045"/>
      <c r="M33" s="1046"/>
    </row>
    <row r="34" spans="1:13">
      <c r="B34" s="832" t="s">
        <v>730</v>
      </c>
      <c r="C34" s="1126"/>
      <c r="D34" s="1126">
        <f>SUM(C35:C52)</f>
        <v>9027975084</v>
      </c>
      <c r="E34" s="1126"/>
      <c r="F34" s="1126">
        <f>SUM(E35:E52)</f>
        <v>8682807344</v>
      </c>
      <c r="H34" s="845">
        <f t="shared" si="0"/>
        <v>0</v>
      </c>
      <c r="K34" s="947" t="s">
        <v>1128</v>
      </c>
      <c r="L34" s="949">
        <v>21149463</v>
      </c>
      <c r="M34" s="949">
        <v>30369177</v>
      </c>
    </row>
    <row r="35" spans="1:13">
      <c r="A35" s="835">
        <v>20100</v>
      </c>
      <c r="B35" s="832" t="s">
        <v>1131</v>
      </c>
      <c r="C35" s="1126">
        <v>1115280040</v>
      </c>
      <c r="D35" s="1126" t="s">
        <v>1111</v>
      </c>
      <c r="E35" s="1126">
        <v>557640020</v>
      </c>
      <c r="F35" s="1126"/>
      <c r="H35" s="845">
        <f t="shared" si="0"/>
        <v>1115280040</v>
      </c>
      <c r="K35" s="947" t="s">
        <v>1872</v>
      </c>
      <c r="L35" s="948"/>
      <c r="M35" s="949"/>
    </row>
    <row r="36" spans="1:13">
      <c r="A36" s="835">
        <v>20200</v>
      </c>
      <c r="B36" s="832" t="s">
        <v>1698</v>
      </c>
      <c r="C36" s="1126">
        <v>2832428420</v>
      </c>
      <c r="D36" s="1126" t="s">
        <v>1111</v>
      </c>
      <c r="E36" s="1126">
        <v>1355889942</v>
      </c>
      <c r="F36" s="1126"/>
      <c r="H36" s="845">
        <f t="shared" si="0"/>
        <v>2832428420</v>
      </c>
      <c r="K36" s="947" t="s">
        <v>728</v>
      </c>
      <c r="L36" s="948"/>
      <c r="M36" s="949">
        <v>6001211201</v>
      </c>
    </row>
    <row r="37" spans="1:13">
      <c r="A37" s="835">
        <v>20300</v>
      </c>
      <c r="B37" s="832" t="s">
        <v>1699</v>
      </c>
      <c r="C37" s="1126">
        <v>-61959374</v>
      </c>
      <c r="D37" s="1126" t="s">
        <v>1111</v>
      </c>
      <c r="E37" s="1126">
        <v>-31072481</v>
      </c>
      <c r="F37" s="1126"/>
      <c r="H37" s="845">
        <f t="shared" si="0"/>
        <v>-61959374</v>
      </c>
      <c r="K37" s="947" t="s">
        <v>729</v>
      </c>
      <c r="L37" s="948"/>
      <c r="M37" s="949">
        <v>386994600</v>
      </c>
    </row>
    <row r="38" spans="1:13">
      <c r="A38" s="835">
        <v>20600</v>
      </c>
      <c r="B38" s="832" t="s">
        <v>593</v>
      </c>
      <c r="C38" s="1126">
        <v>2674264961</v>
      </c>
      <c r="D38" s="1126" t="s">
        <v>1111</v>
      </c>
      <c r="E38" s="1126">
        <v>1819453967</v>
      </c>
      <c r="F38" s="1126"/>
      <c r="H38" s="845">
        <f t="shared" si="0"/>
        <v>2674264961</v>
      </c>
      <c r="K38" s="947" t="s">
        <v>1129</v>
      </c>
      <c r="L38" s="948"/>
      <c r="M38" s="949">
        <v>186996600</v>
      </c>
    </row>
    <row r="39" spans="1:13">
      <c r="A39" s="835">
        <v>20700</v>
      </c>
      <c r="B39" s="832" t="s">
        <v>594</v>
      </c>
      <c r="C39" s="1126">
        <v>-1323604760</v>
      </c>
      <c r="D39" s="1126" t="s">
        <v>1111</v>
      </c>
      <c r="E39" s="1126">
        <v>-1210652849</v>
      </c>
      <c r="F39" s="1126"/>
      <c r="H39" s="845">
        <f t="shared" si="0"/>
        <v>-1323604760</v>
      </c>
      <c r="K39" s="947" t="s">
        <v>1130</v>
      </c>
      <c r="L39" s="948"/>
      <c r="M39" s="949">
        <v>199998000</v>
      </c>
    </row>
    <row r="40" spans="1:13">
      <c r="A40" s="835">
        <v>20800</v>
      </c>
      <c r="B40" s="832" t="s">
        <v>572</v>
      </c>
      <c r="C40" s="1126">
        <v>7974819</v>
      </c>
      <c r="D40" s="1126" t="s">
        <v>1111</v>
      </c>
      <c r="E40" s="1126">
        <v>7974819</v>
      </c>
      <c r="F40" s="1126"/>
      <c r="H40" s="845">
        <f t="shared" si="0"/>
        <v>7974819</v>
      </c>
      <c r="K40" s="947" t="s">
        <v>592</v>
      </c>
      <c r="L40" s="948"/>
      <c r="M40" s="948"/>
    </row>
    <row r="41" spans="1:13">
      <c r="A41" s="835">
        <v>20900</v>
      </c>
      <c r="B41" s="832" t="s">
        <v>595</v>
      </c>
      <c r="C41" s="1126">
        <v>-7972819</v>
      </c>
      <c r="D41" s="1126" t="s">
        <v>1111</v>
      </c>
      <c r="E41" s="1126">
        <v>-7972819</v>
      </c>
      <c r="F41" s="1126"/>
      <c r="H41" s="845">
        <f t="shared" si="0"/>
        <v>-7972819</v>
      </c>
      <c r="K41" s="947" t="s">
        <v>730</v>
      </c>
      <c r="L41" s="948"/>
      <c r="M41" s="949">
        <v>5058101643</v>
      </c>
    </row>
    <row r="42" spans="1:13">
      <c r="A42" s="835">
        <v>21000</v>
      </c>
      <c r="B42" s="832" t="s">
        <v>596</v>
      </c>
      <c r="C42" s="1126">
        <v>131100000</v>
      </c>
      <c r="D42" s="1126" t="s">
        <v>1111</v>
      </c>
      <c r="E42" s="1126">
        <v>131100000</v>
      </c>
      <c r="F42" s="1126"/>
      <c r="H42" s="845">
        <f t="shared" si="0"/>
        <v>131100000</v>
      </c>
      <c r="K42" s="947" t="s">
        <v>1131</v>
      </c>
      <c r="L42" s="949">
        <v>1115280040</v>
      </c>
      <c r="M42" s="948">
        <v>1115280040</v>
      </c>
    </row>
    <row r="43" spans="1:13">
      <c r="A43" s="835">
        <v>21100</v>
      </c>
      <c r="B43" s="832" t="s">
        <v>597</v>
      </c>
      <c r="C43" s="1126">
        <v>-67838194</v>
      </c>
      <c r="D43" s="1126" t="s">
        <v>1111</v>
      </c>
      <c r="E43" s="1126">
        <v>-58155206</v>
      </c>
      <c r="F43" s="1126"/>
      <c r="H43" s="845">
        <f t="shared" si="0"/>
        <v>-67838194</v>
      </c>
      <c r="K43" s="947" t="s">
        <v>593</v>
      </c>
      <c r="L43" s="949">
        <v>1682724967</v>
      </c>
      <c r="M43" s="949"/>
    </row>
    <row r="44" spans="1:13">
      <c r="A44" s="835">
        <v>21200</v>
      </c>
      <c r="B44" s="832" t="s">
        <v>573</v>
      </c>
      <c r="C44" s="1126">
        <v>368187065</v>
      </c>
      <c r="D44" s="1126" t="s">
        <v>1111</v>
      </c>
      <c r="E44" s="1126">
        <v>392461239</v>
      </c>
      <c r="F44" s="1126"/>
      <c r="H44" s="845">
        <f t="shared" si="0"/>
        <v>368187065</v>
      </c>
      <c r="K44" s="947" t="s">
        <v>594</v>
      </c>
      <c r="L44" s="949">
        <v>996306953</v>
      </c>
      <c r="M44" s="948">
        <v>686418014</v>
      </c>
    </row>
    <row r="45" spans="1:13">
      <c r="A45" s="835">
        <v>21300</v>
      </c>
      <c r="B45" s="832" t="s">
        <v>598</v>
      </c>
      <c r="C45" s="1126">
        <v>-189699106</v>
      </c>
      <c r="D45" s="1126" t="s">
        <v>1111</v>
      </c>
      <c r="E45" s="1126">
        <v>-341221676</v>
      </c>
      <c r="F45" s="1126"/>
      <c r="H45" s="845">
        <f t="shared" si="0"/>
        <v>-189699106</v>
      </c>
      <c r="K45" s="947" t="s">
        <v>572</v>
      </c>
      <c r="L45" s="949">
        <v>14384049</v>
      </c>
      <c r="M45" s="949"/>
    </row>
    <row r="46" spans="1:13">
      <c r="A46" s="835">
        <v>21400</v>
      </c>
      <c r="B46" s="832" t="s">
        <v>1132</v>
      </c>
      <c r="C46" s="1126">
        <v>1385305194</v>
      </c>
      <c r="D46" s="1126" t="s">
        <v>1111</v>
      </c>
      <c r="E46" s="1126">
        <v>4039985025</v>
      </c>
      <c r="F46" s="1126"/>
      <c r="H46" s="845">
        <f t="shared" si="0"/>
        <v>1385305194</v>
      </c>
      <c r="K46" s="947" t="s">
        <v>595</v>
      </c>
      <c r="L46" s="949">
        <v>14381049</v>
      </c>
      <c r="M46" s="948">
        <v>3000</v>
      </c>
    </row>
    <row r="47" spans="1:13">
      <c r="A47" s="835">
        <v>21900</v>
      </c>
      <c r="B47" s="832" t="s">
        <v>599</v>
      </c>
      <c r="C47" s="1126">
        <v>131819200</v>
      </c>
      <c r="D47" s="1126" t="s">
        <v>1111</v>
      </c>
      <c r="E47" s="1126">
        <v>218118382</v>
      </c>
      <c r="F47" s="1126"/>
      <c r="H47" s="845">
        <f t="shared" si="0"/>
        <v>131819200</v>
      </c>
      <c r="K47" s="947" t="s">
        <v>596</v>
      </c>
      <c r="L47" s="949">
        <v>81100000</v>
      </c>
      <c r="M47" s="949"/>
    </row>
    <row r="48" spans="1:13">
      <c r="A48" s="835">
        <v>22000</v>
      </c>
      <c r="B48" s="832" t="s">
        <v>600</v>
      </c>
      <c r="C48" s="1126">
        <v>-131811200</v>
      </c>
      <c r="D48" s="1126" t="s">
        <v>1111</v>
      </c>
      <c r="E48" s="1126">
        <v>-217473398</v>
      </c>
      <c r="F48" s="1126"/>
      <c r="H48" s="845">
        <f t="shared" si="0"/>
        <v>-131811200</v>
      </c>
      <c r="K48" s="947" t="s">
        <v>597</v>
      </c>
      <c r="L48" s="949">
        <v>42131289</v>
      </c>
      <c r="M48" s="948">
        <v>38968711</v>
      </c>
    </row>
    <row r="49" spans="1:17">
      <c r="A49" s="835">
        <v>22100</v>
      </c>
      <c r="B49" s="832" t="s">
        <v>1133</v>
      </c>
      <c r="C49" s="1126">
        <v>972487904</v>
      </c>
      <c r="D49" s="1126" t="s">
        <v>1111</v>
      </c>
      <c r="E49" s="1126">
        <v>473450000</v>
      </c>
      <c r="F49" s="1126"/>
      <c r="H49" s="845">
        <f t="shared" si="0"/>
        <v>972487904</v>
      </c>
      <c r="K49" s="947" t="s">
        <v>573</v>
      </c>
      <c r="L49" s="949">
        <v>348013666</v>
      </c>
      <c r="M49" s="949"/>
    </row>
    <row r="50" spans="1:17">
      <c r="A50" s="835">
        <v>22200</v>
      </c>
      <c r="B50" s="832" t="s">
        <v>1134</v>
      </c>
      <c r="C50" s="1126">
        <v>-169400862</v>
      </c>
      <c r="D50" s="1126" t="s">
        <v>1111</v>
      </c>
      <c r="E50" s="1126">
        <v>-85582504</v>
      </c>
      <c r="F50" s="1126"/>
      <c r="H50" s="845">
        <f t="shared" si="0"/>
        <v>-169400862</v>
      </c>
      <c r="K50" s="947" t="s">
        <v>598</v>
      </c>
      <c r="L50" s="949">
        <v>319129114</v>
      </c>
      <c r="M50" s="948">
        <v>28884552</v>
      </c>
    </row>
    <row r="51" spans="1:17">
      <c r="A51" s="835">
        <v>22300</v>
      </c>
      <c r="B51" s="832" t="s">
        <v>601</v>
      </c>
      <c r="C51" s="1126">
        <v>1731999794</v>
      </c>
      <c r="D51" s="1126" t="s">
        <v>1111</v>
      </c>
      <c r="E51" s="1126">
        <v>1784674683</v>
      </c>
      <c r="F51" s="1126"/>
      <c r="H51" s="845">
        <f t="shared" si="0"/>
        <v>1731999794</v>
      </c>
      <c r="K51" s="947" t="s">
        <v>1132</v>
      </c>
      <c r="L51" s="949">
        <v>2711779884</v>
      </c>
      <c r="M51" s="949">
        <v>2711779884</v>
      </c>
    </row>
    <row r="52" spans="1:17">
      <c r="A52" s="835">
        <v>22400</v>
      </c>
      <c r="B52" s="832" t="s">
        <v>1700</v>
      </c>
      <c r="C52" s="1126">
        <v>-370585998</v>
      </c>
      <c r="D52" s="1126" t="s">
        <v>1111</v>
      </c>
      <c r="E52" s="1126">
        <v>-145809800</v>
      </c>
      <c r="F52" s="1126"/>
      <c r="H52" s="845">
        <f t="shared" si="0"/>
        <v>-370585998</v>
      </c>
      <c r="K52" s="947" t="s">
        <v>599</v>
      </c>
      <c r="L52" s="949">
        <v>218118382</v>
      </c>
      <c r="M52" s="948"/>
    </row>
    <row r="53" spans="1:17">
      <c r="B53" s="832" t="s">
        <v>731</v>
      </c>
      <c r="C53" s="1126"/>
      <c r="D53" s="1126">
        <f>SUM(C54:C57)</f>
        <v>124722122</v>
      </c>
      <c r="E53" s="1126"/>
      <c r="F53" s="1126">
        <f>SUM(E54:E57)</f>
        <v>50368750</v>
      </c>
      <c r="H53" s="845">
        <f t="shared" si="0"/>
        <v>0</v>
      </c>
      <c r="K53" s="831" t="s">
        <v>600</v>
      </c>
      <c r="L53" s="831">
        <v>196930222</v>
      </c>
      <c r="M53" s="831">
        <v>21188160</v>
      </c>
      <c r="O53" s="1044"/>
      <c r="P53" s="1045"/>
      <c r="Q53" s="1046"/>
    </row>
    <row r="54" spans="1:17">
      <c r="A54" s="835">
        <v>23200</v>
      </c>
      <c r="B54" s="832" t="s">
        <v>602</v>
      </c>
      <c r="C54" s="1126">
        <v>49108768</v>
      </c>
      <c r="D54" s="1126" t="s">
        <v>1111</v>
      </c>
      <c r="E54" s="1126">
        <v>18182933</v>
      </c>
      <c r="F54" s="1126"/>
      <c r="H54" s="845">
        <f t="shared" si="0"/>
        <v>49108768</v>
      </c>
      <c r="K54" s="831" t="s">
        <v>1133</v>
      </c>
      <c r="L54" s="831">
        <v>167233000</v>
      </c>
      <c r="O54" s="1044"/>
      <c r="P54" s="1045"/>
      <c r="Q54" s="1046"/>
    </row>
    <row r="55" spans="1:17">
      <c r="A55" s="835">
        <v>23300</v>
      </c>
      <c r="B55" s="832" t="s">
        <v>603</v>
      </c>
      <c r="C55" s="1126">
        <v>23719703</v>
      </c>
      <c r="D55" s="1126" t="s">
        <v>1111</v>
      </c>
      <c r="E55" s="1126">
        <v>19838530</v>
      </c>
      <c r="F55" s="1126"/>
      <c r="H55" s="845">
        <f t="shared" si="0"/>
        <v>23719703</v>
      </c>
      <c r="K55" s="831" t="s">
        <v>1134</v>
      </c>
      <c r="L55" s="831">
        <v>167228000</v>
      </c>
      <c r="M55" s="831">
        <v>5000</v>
      </c>
      <c r="O55" s="1044"/>
      <c r="P55" s="1045"/>
      <c r="Q55" s="1046"/>
    </row>
    <row r="56" spans="1:17">
      <c r="A56" s="835">
        <v>23900</v>
      </c>
      <c r="B56" s="832" t="s">
        <v>604</v>
      </c>
      <c r="C56" s="1126"/>
      <c r="D56" s="1126"/>
      <c r="E56" s="1126"/>
      <c r="F56" s="1126"/>
      <c r="H56" s="845">
        <f t="shared" si="0"/>
        <v>0</v>
      </c>
      <c r="K56" s="947" t="s">
        <v>601</v>
      </c>
      <c r="L56" s="949">
        <v>1364689509</v>
      </c>
      <c r="M56" s="949"/>
    </row>
    <row r="57" spans="1:17">
      <c r="A57" s="835">
        <v>24000</v>
      </c>
      <c r="B57" s="832" t="s">
        <v>605</v>
      </c>
      <c r="C57" s="1126">
        <v>51893651</v>
      </c>
      <c r="D57" s="1126" t="s">
        <v>1111</v>
      </c>
      <c r="E57" s="1126">
        <v>12347287</v>
      </c>
      <c r="F57" s="1126"/>
      <c r="H57" s="845">
        <f t="shared" si="0"/>
        <v>51893651</v>
      </c>
      <c r="K57" s="947" t="s">
        <v>1931</v>
      </c>
      <c r="L57" s="949">
        <v>909115227</v>
      </c>
      <c r="M57" s="948">
        <v>455574282</v>
      </c>
    </row>
    <row r="58" spans="1:17">
      <c r="B58" s="832" t="s">
        <v>732</v>
      </c>
      <c r="C58" s="1126"/>
      <c r="D58" s="1126">
        <f>SUM(C59:C63)</f>
        <v>3113852287</v>
      </c>
      <c r="E58" s="1126"/>
      <c r="F58" s="1126">
        <f>SUM(E59:E63)</f>
        <v>3115990186</v>
      </c>
      <c r="H58" s="845">
        <f t="shared" si="0"/>
        <v>0</v>
      </c>
      <c r="K58" s="947" t="s">
        <v>731</v>
      </c>
      <c r="L58" s="948"/>
      <c r="M58" s="949">
        <v>291823788</v>
      </c>
    </row>
    <row r="59" spans="1:17">
      <c r="A59" s="835">
        <v>18800</v>
      </c>
      <c r="B59" s="832" t="s">
        <v>606</v>
      </c>
      <c r="C59" s="1126">
        <v>403800000</v>
      </c>
      <c r="D59" s="1126" t="s">
        <v>1111</v>
      </c>
      <c r="E59" s="1126">
        <v>413778000</v>
      </c>
      <c r="F59" s="1126"/>
      <c r="H59" s="845">
        <f t="shared" si="0"/>
        <v>403800000</v>
      </c>
      <c r="K59" s="947" t="s">
        <v>602</v>
      </c>
      <c r="L59" s="948"/>
      <c r="M59" s="949">
        <v>28385007</v>
      </c>
    </row>
    <row r="60" spans="1:17">
      <c r="A60" s="837">
        <v>18900</v>
      </c>
      <c r="B60" s="832" t="s">
        <v>1701</v>
      </c>
      <c r="C60" s="1126">
        <v>-27853494</v>
      </c>
      <c r="D60" s="1126" t="s">
        <v>1111</v>
      </c>
      <c r="E60" s="1126">
        <v>-35581895</v>
      </c>
      <c r="F60" s="1126"/>
      <c r="H60" s="845">
        <f t="shared" si="0"/>
        <v>-27853494</v>
      </c>
      <c r="K60" s="947" t="s">
        <v>603</v>
      </c>
      <c r="L60" s="948"/>
      <c r="M60" s="949">
        <v>39029430</v>
      </c>
    </row>
    <row r="61" spans="1:17">
      <c r="A61" s="835">
        <v>19000</v>
      </c>
      <c r="B61" s="832" t="s">
        <v>574</v>
      </c>
      <c r="C61" s="1126">
        <v>10135870</v>
      </c>
      <c r="D61" s="1126" t="s">
        <v>1111</v>
      </c>
      <c r="E61" s="1126">
        <v>10024170</v>
      </c>
      <c r="F61" s="1126"/>
      <c r="H61" s="845">
        <f t="shared" si="0"/>
        <v>10135870</v>
      </c>
      <c r="K61" s="947" t="s">
        <v>604</v>
      </c>
      <c r="L61" s="948"/>
      <c r="M61" s="949">
        <v>204727979</v>
      </c>
    </row>
    <row r="62" spans="1:17">
      <c r="A62" s="835">
        <v>19500</v>
      </c>
      <c r="B62" s="832" t="s">
        <v>1702</v>
      </c>
      <c r="C62" s="1126">
        <v>172664940</v>
      </c>
      <c r="D62" s="1126" t="s">
        <v>1111</v>
      </c>
      <c r="E62" s="1126">
        <v>172664940</v>
      </c>
      <c r="F62" s="1126"/>
      <c r="H62" s="845">
        <f t="shared" si="0"/>
        <v>172664940</v>
      </c>
      <c r="K62" s="947" t="s">
        <v>605</v>
      </c>
      <c r="L62" s="948"/>
      <c r="M62" s="949">
        <v>19681372</v>
      </c>
    </row>
    <row r="63" spans="1:17">
      <c r="A63" s="835">
        <v>19600</v>
      </c>
      <c r="B63" s="832" t="s">
        <v>1703</v>
      </c>
      <c r="C63" s="1126">
        <v>2555104971</v>
      </c>
      <c r="D63" s="1126" t="s">
        <v>1111</v>
      </c>
      <c r="E63" s="1126">
        <v>2555104971</v>
      </c>
      <c r="F63" s="1126"/>
      <c r="H63" s="845">
        <f t="shared" si="0"/>
        <v>2555104971</v>
      </c>
      <c r="K63" s="947" t="s">
        <v>732</v>
      </c>
      <c r="L63" s="948"/>
      <c r="M63" s="949">
        <v>264291170</v>
      </c>
    </row>
    <row r="64" spans="1:17">
      <c r="B64" s="832" t="s">
        <v>733</v>
      </c>
      <c r="C64" s="1126"/>
      <c r="D64" s="1126">
        <f>D30+D6</f>
        <v>54552137924</v>
      </c>
      <c r="E64" s="1126"/>
      <c r="F64" s="1126">
        <f>F30+F6</f>
        <v>55193887404</v>
      </c>
      <c r="H64" s="845">
        <f t="shared" si="0"/>
        <v>0</v>
      </c>
      <c r="K64" s="947" t="s">
        <v>606</v>
      </c>
      <c r="L64" s="949"/>
      <c r="M64" s="948">
        <v>245978000</v>
      </c>
    </row>
    <row r="65" spans="1:13">
      <c r="B65" s="832" t="s">
        <v>734</v>
      </c>
      <c r="C65" s="1126"/>
      <c r="D65" s="1126"/>
      <c r="E65" s="1126"/>
      <c r="F65" s="1126"/>
      <c r="H65" s="845">
        <f t="shared" si="0"/>
        <v>0</v>
      </c>
      <c r="K65" s="947" t="s">
        <v>574</v>
      </c>
      <c r="L65" s="949"/>
      <c r="M65" s="949">
        <v>18313170</v>
      </c>
    </row>
    <row r="66" spans="1:13">
      <c r="B66" s="832" t="s">
        <v>735</v>
      </c>
      <c r="C66" s="1126"/>
      <c r="D66" s="1126">
        <f>SUM(C67:C75)</f>
        <v>7026815912</v>
      </c>
      <c r="E66" s="1126"/>
      <c r="F66" s="1126">
        <f>SUM(E67:E75)</f>
        <v>5794685216</v>
      </c>
      <c r="H66" s="845">
        <f t="shared" si="0"/>
        <v>0</v>
      </c>
      <c r="K66" s="947" t="s">
        <v>733</v>
      </c>
      <c r="L66" s="948"/>
      <c r="M66" s="949">
        <v>14825445944</v>
      </c>
    </row>
    <row r="67" spans="1:13">
      <c r="A67" s="835">
        <v>25100</v>
      </c>
      <c r="B67" s="832" t="s">
        <v>575</v>
      </c>
      <c r="C67" s="1126">
        <v>299203820</v>
      </c>
      <c r="D67" s="1126" t="s">
        <v>1111</v>
      </c>
      <c r="E67" s="1126">
        <v>545684916</v>
      </c>
      <c r="F67" s="1126" t="s">
        <v>1111</v>
      </c>
      <c r="H67" s="845">
        <f t="shared" si="0"/>
        <v>299203820</v>
      </c>
      <c r="K67" s="947" t="s">
        <v>734</v>
      </c>
      <c r="L67" s="948"/>
      <c r="M67" s="948"/>
    </row>
    <row r="68" spans="1:13">
      <c r="A68" s="835">
        <v>25300</v>
      </c>
      <c r="B68" s="832" t="s">
        <v>607</v>
      </c>
      <c r="C68" s="1126">
        <v>207639910</v>
      </c>
      <c r="D68" s="1126" t="s">
        <v>1111</v>
      </c>
      <c r="E68" s="1126">
        <v>293009113</v>
      </c>
      <c r="F68" s="1126"/>
      <c r="H68" s="845">
        <f t="shared" si="0"/>
        <v>207639910</v>
      </c>
      <c r="K68" s="947" t="s">
        <v>735</v>
      </c>
      <c r="L68" s="948"/>
      <c r="M68" s="949">
        <v>6046584649</v>
      </c>
    </row>
    <row r="69" spans="1:13">
      <c r="A69" s="835">
        <v>25400</v>
      </c>
      <c r="B69" s="832" t="s">
        <v>576</v>
      </c>
      <c r="C69" s="1126">
        <v>85200680</v>
      </c>
      <c r="D69" s="1126" t="s">
        <v>1111</v>
      </c>
      <c r="E69" s="1126" t="s">
        <v>1111</v>
      </c>
      <c r="F69" s="1126"/>
      <c r="H69" s="845">
        <f t="shared" si="0"/>
        <v>85200680</v>
      </c>
      <c r="K69" s="947" t="s">
        <v>575</v>
      </c>
      <c r="L69" s="948"/>
      <c r="M69" s="949">
        <v>1304968651</v>
      </c>
    </row>
    <row r="70" spans="1:13">
      <c r="A70" s="835">
        <v>25900</v>
      </c>
      <c r="B70" s="832" t="s">
        <v>577</v>
      </c>
      <c r="C70" s="1126">
        <v>2215528322</v>
      </c>
      <c r="D70" s="1126" t="s">
        <v>1111</v>
      </c>
      <c r="E70" s="1126">
        <v>2443300145</v>
      </c>
      <c r="F70" s="1126"/>
      <c r="H70" s="845">
        <f t="shared" si="0"/>
        <v>2215528322</v>
      </c>
      <c r="K70" s="947" t="s">
        <v>607</v>
      </c>
      <c r="L70" s="948"/>
      <c r="M70" s="949">
        <v>237849986</v>
      </c>
    </row>
    <row r="71" spans="1:13">
      <c r="A71" s="835">
        <v>26000</v>
      </c>
      <c r="B71" s="832" t="s">
        <v>608</v>
      </c>
      <c r="C71" s="1126">
        <v>1120000000</v>
      </c>
      <c r="D71" s="1126" t="s">
        <v>1111</v>
      </c>
      <c r="E71" s="1126">
        <v>1120000000</v>
      </c>
      <c r="F71" s="1126"/>
      <c r="H71" s="845">
        <f t="shared" si="0"/>
        <v>1120000000</v>
      </c>
      <c r="K71" s="947" t="s">
        <v>576</v>
      </c>
      <c r="L71" s="948"/>
      <c r="M71" s="949">
        <v>1865050</v>
      </c>
    </row>
    <row r="72" spans="1:13">
      <c r="A72" s="835">
        <v>26200</v>
      </c>
      <c r="B72" s="832" t="s">
        <v>578</v>
      </c>
      <c r="C72" s="1126">
        <v>2552781060</v>
      </c>
      <c r="D72" s="1126" t="s">
        <v>1111</v>
      </c>
      <c r="E72" s="1126">
        <v>746061838</v>
      </c>
      <c r="F72" s="1126" t="s">
        <v>1111</v>
      </c>
      <c r="H72" s="845">
        <f t="shared" si="0"/>
        <v>2552781060</v>
      </c>
      <c r="K72" s="947" t="s">
        <v>577</v>
      </c>
      <c r="L72" s="948"/>
      <c r="M72" s="949">
        <v>2187117736</v>
      </c>
    </row>
    <row r="73" spans="1:13">
      <c r="A73" s="835">
        <v>28100</v>
      </c>
      <c r="B73" s="832" t="s">
        <v>609</v>
      </c>
      <c r="C73" s="1126">
        <v>9395003</v>
      </c>
      <c r="D73" s="1126" t="s">
        <v>1111</v>
      </c>
      <c r="E73" s="1126">
        <v>17343122</v>
      </c>
      <c r="F73" s="1126" t="s">
        <v>1111</v>
      </c>
      <c r="H73" s="845">
        <f t="shared" ref="H73:H91" si="1">C73</f>
        <v>9395003</v>
      </c>
      <c r="K73" s="947" t="s">
        <v>608</v>
      </c>
      <c r="L73" s="948"/>
      <c r="M73" s="949">
        <v>1120000000</v>
      </c>
    </row>
    <row r="74" spans="1:13">
      <c r="A74" s="835">
        <v>28200</v>
      </c>
      <c r="B74" s="832" t="s">
        <v>610</v>
      </c>
      <c r="C74" s="1126" t="s">
        <v>1111</v>
      </c>
      <c r="D74" s="1126" t="s">
        <v>1111</v>
      </c>
      <c r="E74" s="1126">
        <v>83300000</v>
      </c>
      <c r="F74" s="1126" t="s">
        <v>1111</v>
      </c>
      <c r="H74" s="845" t="str">
        <f t="shared" si="1"/>
        <v/>
      </c>
      <c r="K74" s="947" t="s">
        <v>578</v>
      </c>
      <c r="L74" s="948"/>
      <c r="M74" s="949">
        <v>707349485</v>
      </c>
    </row>
    <row r="75" spans="1:13">
      <c r="A75" s="835">
        <v>28300</v>
      </c>
      <c r="B75" s="832" t="s">
        <v>611</v>
      </c>
      <c r="C75" s="1126">
        <v>537067117</v>
      </c>
      <c r="D75" s="1126" t="s">
        <v>1111</v>
      </c>
      <c r="E75" s="1126">
        <v>545986082</v>
      </c>
      <c r="F75" s="1126" t="s">
        <v>1111</v>
      </c>
      <c r="H75" s="845">
        <f t="shared" si="1"/>
        <v>537067117</v>
      </c>
      <c r="K75" s="947" t="s">
        <v>609</v>
      </c>
      <c r="L75" s="948"/>
      <c r="M75" s="949">
        <v>30015702</v>
      </c>
    </row>
    <row r="76" spans="1:13">
      <c r="B76" s="832" t="s">
        <v>736</v>
      </c>
      <c r="C76" s="1126"/>
      <c r="D76" s="1126">
        <f>SUM(C77:C80)</f>
        <v>5815444698</v>
      </c>
      <c r="E76" s="1126"/>
      <c r="F76" s="1126">
        <f>SUM(E77:E80)</f>
        <v>6909567083</v>
      </c>
      <c r="H76" s="845">
        <f t="shared" si="1"/>
        <v>0</v>
      </c>
      <c r="K76" s="947" t="s">
        <v>610</v>
      </c>
      <c r="L76" s="948"/>
      <c r="M76" s="949">
        <v>99960000</v>
      </c>
    </row>
    <row r="77" spans="1:13">
      <c r="A77" s="835">
        <v>29300</v>
      </c>
      <c r="B77" s="832" t="s">
        <v>612</v>
      </c>
      <c r="C77" s="1126">
        <v>4100000000</v>
      </c>
      <c r="D77" s="1126" t="s">
        <v>1111</v>
      </c>
      <c r="E77" s="1126">
        <v>4100000000</v>
      </c>
      <c r="F77" s="1126" t="s">
        <v>1111</v>
      </c>
      <c r="H77" s="845">
        <f t="shared" si="1"/>
        <v>4100000000</v>
      </c>
      <c r="K77" s="947" t="s">
        <v>611</v>
      </c>
      <c r="L77" s="948"/>
      <c r="M77" s="949">
        <v>357458039</v>
      </c>
    </row>
    <row r="78" spans="1:13">
      <c r="A78" s="835">
        <v>29500</v>
      </c>
      <c r="B78" s="832" t="s">
        <v>613</v>
      </c>
      <c r="C78" s="1126">
        <v>710376650</v>
      </c>
      <c r="D78" s="1126" t="s">
        <v>1111</v>
      </c>
      <c r="E78" s="1126">
        <v>1587206234</v>
      </c>
      <c r="F78" s="1126" t="s">
        <v>1111</v>
      </c>
      <c r="H78" s="845">
        <f t="shared" si="1"/>
        <v>710376650</v>
      </c>
      <c r="K78" s="947" t="s">
        <v>736</v>
      </c>
      <c r="L78" s="948"/>
      <c r="M78" s="949">
        <v>5043044470</v>
      </c>
    </row>
    <row r="79" spans="1:13">
      <c r="A79" s="835">
        <v>31500</v>
      </c>
      <c r="B79" s="832" t="s">
        <v>614</v>
      </c>
      <c r="C79" s="1126">
        <v>799358124</v>
      </c>
      <c r="D79" s="1126" t="s">
        <v>1111</v>
      </c>
      <c r="E79" s="1126">
        <v>1049272823</v>
      </c>
      <c r="F79" s="1126" t="s">
        <v>1111</v>
      </c>
      <c r="H79" s="845">
        <f t="shared" si="1"/>
        <v>799358124</v>
      </c>
      <c r="K79" s="947" t="s">
        <v>612</v>
      </c>
      <c r="L79" s="948"/>
      <c r="M79" s="949">
        <v>3708290000</v>
      </c>
    </row>
    <row r="80" spans="1:13">
      <c r="A80" s="835">
        <v>31600</v>
      </c>
      <c r="B80" s="832" t="s">
        <v>1347</v>
      </c>
      <c r="C80" s="1126">
        <v>205709924</v>
      </c>
      <c r="D80" s="1126" t="s">
        <v>1111</v>
      </c>
      <c r="E80" s="1126">
        <v>173088026</v>
      </c>
      <c r="F80" s="1126" t="s">
        <v>1111</v>
      </c>
      <c r="H80" s="845">
        <f t="shared" si="1"/>
        <v>205709924</v>
      </c>
      <c r="K80" s="947" t="s">
        <v>613</v>
      </c>
      <c r="L80" s="948"/>
      <c r="M80" s="949">
        <v>1249638897</v>
      </c>
    </row>
    <row r="81" spans="1:13">
      <c r="B81" s="832" t="s">
        <v>737</v>
      </c>
      <c r="C81" s="1126"/>
      <c r="D81" s="1126">
        <f>D66+D76</f>
        <v>12842260610</v>
      </c>
      <c r="E81" s="1126"/>
      <c r="F81" s="1126">
        <f>F66+F76</f>
        <v>12704252299</v>
      </c>
      <c r="H81" s="845">
        <f t="shared" si="1"/>
        <v>0</v>
      </c>
      <c r="J81" s="831">
        <f>SUMIFS(제시BS!$H:$H,제시BS!$A:$A,정산표!$B104)</f>
        <v>-9563324277</v>
      </c>
      <c r="K81" s="947" t="s">
        <v>614</v>
      </c>
      <c r="L81" s="948"/>
      <c r="M81" s="949">
        <v>85115573</v>
      </c>
    </row>
    <row r="82" spans="1:13">
      <c r="B82" s="832" t="s">
        <v>738</v>
      </c>
      <c r="C82" s="1126"/>
      <c r="D82" s="1126"/>
      <c r="E82" s="1126"/>
      <c r="F82" s="1126"/>
      <c r="H82" s="845">
        <f t="shared" si="1"/>
        <v>0</v>
      </c>
      <c r="K82" s="947" t="s">
        <v>737</v>
      </c>
      <c r="L82" s="948"/>
      <c r="M82" s="949">
        <v>11089629119</v>
      </c>
    </row>
    <row r="83" spans="1:13">
      <c r="B83" s="832" t="s">
        <v>739</v>
      </c>
      <c r="C83" s="1126"/>
      <c r="D83" s="1126">
        <f>SUM(C84)</f>
        <v>5691191500</v>
      </c>
      <c r="E83" s="1126"/>
      <c r="F83" s="1126">
        <f>SUM(E84)</f>
        <v>5691191500</v>
      </c>
      <c r="H83" s="845">
        <f t="shared" si="1"/>
        <v>0</v>
      </c>
      <c r="K83" s="947" t="s">
        <v>738</v>
      </c>
      <c r="L83" s="948"/>
      <c r="M83" s="948"/>
    </row>
    <row r="84" spans="1:13">
      <c r="A84" s="835">
        <v>33100</v>
      </c>
      <c r="B84" s="832" t="s">
        <v>615</v>
      </c>
      <c r="C84" s="1126">
        <v>5691191500</v>
      </c>
      <c r="D84" s="1126" t="s">
        <v>1111</v>
      </c>
      <c r="E84" s="1126">
        <v>5691191500</v>
      </c>
      <c r="F84" s="1126" t="s">
        <v>1111</v>
      </c>
      <c r="H84" s="845">
        <f t="shared" si="1"/>
        <v>5691191500</v>
      </c>
      <c r="K84" s="947" t="s">
        <v>739</v>
      </c>
      <c r="L84" s="948"/>
      <c r="M84" s="949">
        <v>3123279500</v>
      </c>
    </row>
    <row r="85" spans="1:13">
      <c r="B85" s="832" t="s">
        <v>740</v>
      </c>
      <c r="C85" s="1126"/>
      <c r="D85" s="1126">
        <f>SUM(C86:C87)</f>
        <v>45582010091</v>
      </c>
      <c r="E85" s="1126"/>
      <c r="F85" s="1126">
        <f>SUM(E86:E87)</f>
        <v>45582010091</v>
      </c>
      <c r="H85" s="845">
        <f t="shared" si="1"/>
        <v>0</v>
      </c>
      <c r="K85" s="947" t="s">
        <v>615</v>
      </c>
      <c r="L85" s="948"/>
      <c r="M85" s="949">
        <v>3123279500</v>
      </c>
    </row>
    <row r="86" spans="1:13">
      <c r="A86" s="835">
        <v>34100</v>
      </c>
      <c r="B86" s="832" t="s">
        <v>616</v>
      </c>
      <c r="C86" s="1126">
        <v>45157382298</v>
      </c>
      <c r="D86" s="1126" t="s">
        <v>1111</v>
      </c>
      <c r="E86" s="1126">
        <v>45157382298</v>
      </c>
      <c r="F86" s="1126" t="s">
        <v>1111</v>
      </c>
      <c r="H86" s="845">
        <f t="shared" si="1"/>
        <v>45157382298</v>
      </c>
      <c r="K86" s="947" t="s">
        <v>740</v>
      </c>
      <c r="L86" s="948"/>
      <c r="M86" s="949">
        <v>12650118367</v>
      </c>
    </row>
    <row r="87" spans="1:13">
      <c r="A87" s="835">
        <v>34400</v>
      </c>
      <c r="B87" s="832" t="s">
        <v>617</v>
      </c>
      <c r="C87" s="1126">
        <v>424627793</v>
      </c>
      <c r="D87" s="1126" t="s">
        <v>1111</v>
      </c>
      <c r="E87" s="1126">
        <v>424627793</v>
      </c>
      <c r="F87" s="1126" t="s">
        <v>1111</v>
      </c>
      <c r="H87" s="845">
        <f t="shared" si="1"/>
        <v>424627793</v>
      </c>
      <c r="K87" s="947" t="s">
        <v>616</v>
      </c>
      <c r="L87" s="948"/>
      <c r="M87" s="949">
        <v>12346149907</v>
      </c>
    </row>
    <row r="88" spans="1:13">
      <c r="B88" s="832" t="s">
        <v>741</v>
      </c>
      <c r="C88" s="1126"/>
      <c r="D88" s="1126"/>
      <c r="E88" s="1126"/>
      <c r="F88" s="1126"/>
      <c r="H88" s="845">
        <f t="shared" si="1"/>
        <v>0</v>
      </c>
      <c r="K88" s="947" t="s">
        <v>617</v>
      </c>
      <c r="L88" s="948"/>
      <c r="M88" s="949">
        <v>303968460</v>
      </c>
    </row>
    <row r="89" spans="1:13">
      <c r="B89" s="832" t="s">
        <v>742</v>
      </c>
      <c r="C89" s="1126"/>
      <c r="D89" s="1126">
        <v>49892484</v>
      </c>
      <c r="E89" s="1126"/>
      <c r="F89" s="1126">
        <v>49892484</v>
      </c>
      <c r="H89" s="845">
        <f t="shared" si="1"/>
        <v>0</v>
      </c>
      <c r="K89" s="947" t="s">
        <v>741</v>
      </c>
      <c r="L89" s="948"/>
      <c r="M89" s="948"/>
    </row>
    <row r="90" spans="1:13">
      <c r="A90" s="835" t="s">
        <v>864</v>
      </c>
      <c r="B90" s="832" t="s">
        <v>618</v>
      </c>
      <c r="C90" s="1126">
        <v>49892484</v>
      </c>
      <c r="D90" s="1126" t="s">
        <v>1111</v>
      </c>
      <c r="E90" s="1126">
        <v>49892484</v>
      </c>
      <c r="F90" s="1126" t="s">
        <v>1111</v>
      </c>
      <c r="H90" s="845">
        <f t="shared" si="1"/>
        <v>49892484</v>
      </c>
      <c r="K90" s="947" t="s">
        <v>742</v>
      </c>
      <c r="L90" s="948"/>
      <c r="M90" s="949">
        <v>42098242</v>
      </c>
    </row>
    <row r="91" spans="1:13">
      <c r="B91" s="832" t="s">
        <v>743</v>
      </c>
      <c r="C91" s="1126" t="s">
        <v>1111</v>
      </c>
      <c r="D91" s="1126">
        <v>9613216761</v>
      </c>
      <c r="E91" s="1126"/>
      <c r="F91" s="1126">
        <f>E92</f>
        <v>8833458970</v>
      </c>
      <c r="H91" s="845" t="str">
        <f t="shared" si="1"/>
        <v/>
      </c>
      <c r="K91" s="947" t="s">
        <v>618</v>
      </c>
      <c r="L91" s="948"/>
      <c r="M91" s="949">
        <v>42098242</v>
      </c>
    </row>
    <row r="92" spans="1:13">
      <c r="A92" s="835" t="s">
        <v>864</v>
      </c>
      <c r="B92" s="832" t="s">
        <v>744</v>
      </c>
      <c r="C92" s="1126">
        <v>9613216761</v>
      </c>
      <c r="D92" s="1126" t="s">
        <v>1111</v>
      </c>
      <c r="E92" s="1126">
        <v>8833458970</v>
      </c>
      <c r="F92" s="1126" t="s">
        <v>1111</v>
      </c>
      <c r="H92" s="845">
        <f>-C92</f>
        <v>-9613216761</v>
      </c>
      <c r="K92" s="947" t="s">
        <v>1963</v>
      </c>
      <c r="L92" s="948"/>
      <c r="M92" s="949">
        <v>12079679284</v>
      </c>
    </row>
    <row r="93" spans="1:13">
      <c r="B93" s="832" t="s">
        <v>1704</v>
      </c>
      <c r="C93" s="1126"/>
      <c r="D93" s="1126"/>
      <c r="E93" s="1126"/>
      <c r="F93" s="1126"/>
      <c r="K93" s="947" t="s">
        <v>744</v>
      </c>
      <c r="L93" s="948"/>
      <c r="M93" s="949">
        <v>12079679284</v>
      </c>
    </row>
    <row r="94" spans="1:13">
      <c r="B94" s="832" t="s">
        <v>2292</v>
      </c>
      <c r="C94" s="1126"/>
      <c r="D94" s="1126"/>
      <c r="E94" s="1126"/>
      <c r="F94" s="1126"/>
      <c r="J94" s="845"/>
      <c r="K94" s="947" t="s">
        <v>1932</v>
      </c>
      <c r="L94" s="948"/>
      <c r="M94" s="948"/>
    </row>
    <row r="95" spans="1:13">
      <c r="B95" s="832" t="s">
        <v>2293</v>
      </c>
      <c r="C95" s="1126"/>
      <c r="D95" s="1126"/>
      <c r="E95" s="1126"/>
      <c r="F95" s="1126"/>
      <c r="K95" s="947" t="s">
        <v>1933</v>
      </c>
      <c r="L95" s="948"/>
      <c r="M95" s="948"/>
    </row>
    <row r="96" spans="1:13">
      <c r="B96" s="832" t="s">
        <v>745</v>
      </c>
      <c r="C96" s="1126"/>
      <c r="D96" s="1126">
        <f>-D91+D83+D85+D89</f>
        <v>41709877314</v>
      </c>
      <c r="E96" s="1126"/>
      <c r="F96" s="1126">
        <f>-F91+F83+F85+F89</f>
        <v>42489635105</v>
      </c>
      <c r="K96" s="947" t="s">
        <v>1934</v>
      </c>
      <c r="L96" s="948"/>
      <c r="M96" s="948"/>
    </row>
    <row r="97" spans="2:13">
      <c r="B97" s="832" t="s">
        <v>746</v>
      </c>
      <c r="C97" s="1126"/>
      <c r="D97" s="1126">
        <f>D96+D81</f>
        <v>54552137924</v>
      </c>
      <c r="E97" s="1126"/>
      <c r="F97" s="1126">
        <f>F96+F81</f>
        <v>55193887404</v>
      </c>
      <c r="K97" s="947" t="s">
        <v>745</v>
      </c>
      <c r="L97" s="948"/>
      <c r="M97" s="949">
        <v>3735816825</v>
      </c>
    </row>
    <row r="98" spans="2:13">
      <c r="D98" s="831" t="b">
        <f>D97=D64</f>
        <v>1</v>
      </c>
      <c r="F98" s="831" t="b">
        <f>F97=F64</f>
        <v>1</v>
      </c>
      <c r="K98" s="947" t="s">
        <v>746</v>
      </c>
      <c r="L98" s="948"/>
      <c r="M98" s="949">
        <v>14825445944</v>
      </c>
    </row>
    <row r="99" spans="2:13">
      <c r="D99" s="845"/>
    </row>
    <row r="101" spans="2:13">
      <c r="D101" s="845"/>
    </row>
  </sheetData>
  <mergeCells count="8">
    <mergeCell ref="L3:M3"/>
    <mergeCell ref="L4:M4"/>
    <mergeCell ref="B3:B4"/>
    <mergeCell ref="C3:D3"/>
    <mergeCell ref="E3:F3"/>
    <mergeCell ref="C4:D4"/>
    <mergeCell ref="E4:F4"/>
    <mergeCell ref="K3:K4"/>
  </mergeCells>
  <phoneticPr fontId="232" type="noConversion"/>
  <pageMargins left="0.75" right="0.75" top="1" bottom="1" header="0.5" footer="0.5"/>
  <pageSetup paperSize="9" fitToWidth="0" fitToHeight="0"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tabColor theme="9" tint="0.79998168889431442"/>
  </sheetPr>
  <dimension ref="A1:M88"/>
  <sheetViews>
    <sheetView topLeftCell="A54" zoomScale="85" zoomScaleNormal="85" workbookViewId="0">
      <selection activeCell="C70" sqref="C70:D70"/>
    </sheetView>
  </sheetViews>
  <sheetFormatPr defaultColWidth="11.5" defaultRowHeight="15"/>
  <cols>
    <col min="1" max="1" width="11.5" style="831"/>
    <col min="2" max="2" width="34.0703125" style="831" customWidth="1"/>
    <col min="3" max="6" width="17.5" style="831" customWidth="1"/>
    <col min="7" max="8" width="11.5" style="831"/>
    <col min="9" max="9" width="32.85546875" style="831" bestFit="1" customWidth="1"/>
    <col min="10" max="10" width="15.5" style="831" customWidth="1"/>
    <col min="11" max="11" width="21.140625" style="831" customWidth="1"/>
    <col min="12" max="257" width="11.5" style="831"/>
    <col min="258" max="258" width="34.0703125" style="831" customWidth="1"/>
    <col min="259" max="262" width="17.5" style="831" customWidth="1"/>
    <col min="263" max="513" width="11.5" style="831"/>
    <col min="514" max="514" width="34.0703125" style="831" customWidth="1"/>
    <col min="515" max="518" width="17.5" style="831" customWidth="1"/>
    <col min="519" max="769" width="11.5" style="831"/>
    <col min="770" max="770" width="34.0703125" style="831" customWidth="1"/>
    <col min="771" max="774" width="17.5" style="831" customWidth="1"/>
    <col min="775" max="1025" width="11.5" style="831"/>
    <col min="1026" max="1026" width="34.0703125" style="831" customWidth="1"/>
    <col min="1027" max="1030" width="17.5" style="831" customWidth="1"/>
    <col min="1031" max="1281" width="11.5" style="831"/>
    <col min="1282" max="1282" width="34.0703125" style="831" customWidth="1"/>
    <col min="1283" max="1286" width="17.5" style="831" customWidth="1"/>
    <col min="1287" max="1537" width="11.5" style="831"/>
    <col min="1538" max="1538" width="34.0703125" style="831" customWidth="1"/>
    <col min="1539" max="1542" width="17.5" style="831" customWidth="1"/>
    <col min="1543" max="1793" width="11.5" style="831"/>
    <col min="1794" max="1794" width="34.0703125" style="831" customWidth="1"/>
    <col min="1795" max="1798" width="17.5" style="831" customWidth="1"/>
    <col min="1799" max="2049" width="11.5" style="831"/>
    <col min="2050" max="2050" width="34.0703125" style="831" customWidth="1"/>
    <col min="2051" max="2054" width="17.5" style="831" customWidth="1"/>
    <col min="2055" max="2305" width="11.5" style="831"/>
    <col min="2306" max="2306" width="34.0703125" style="831" customWidth="1"/>
    <col min="2307" max="2310" width="17.5" style="831" customWidth="1"/>
    <col min="2311" max="2561" width="11.5" style="831"/>
    <col min="2562" max="2562" width="34.0703125" style="831" customWidth="1"/>
    <col min="2563" max="2566" width="17.5" style="831" customWidth="1"/>
    <col min="2567" max="2817" width="11.5" style="831"/>
    <col min="2818" max="2818" width="34.0703125" style="831" customWidth="1"/>
    <col min="2819" max="2822" width="17.5" style="831" customWidth="1"/>
    <col min="2823" max="3073" width="11.5" style="831"/>
    <col min="3074" max="3074" width="34.0703125" style="831" customWidth="1"/>
    <col min="3075" max="3078" width="17.5" style="831" customWidth="1"/>
    <col min="3079" max="3329" width="11.5" style="831"/>
    <col min="3330" max="3330" width="34.0703125" style="831" customWidth="1"/>
    <col min="3331" max="3334" width="17.5" style="831" customWidth="1"/>
    <col min="3335" max="3585" width="11.5" style="831"/>
    <col min="3586" max="3586" width="34.0703125" style="831" customWidth="1"/>
    <col min="3587" max="3590" width="17.5" style="831" customWidth="1"/>
    <col min="3591" max="3841" width="11.5" style="831"/>
    <col min="3842" max="3842" width="34.0703125" style="831" customWidth="1"/>
    <col min="3843" max="3846" width="17.5" style="831" customWidth="1"/>
    <col min="3847" max="4097" width="11.5" style="831"/>
    <col min="4098" max="4098" width="34.0703125" style="831" customWidth="1"/>
    <col min="4099" max="4102" width="17.5" style="831" customWidth="1"/>
    <col min="4103" max="4353" width="11.5" style="831"/>
    <col min="4354" max="4354" width="34.0703125" style="831" customWidth="1"/>
    <col min="4355" max="4358" width="17.5" style="831" customWidth="1"/>
    <col min="4359" max="4609" width="11.5" style="831"/>
    <col min="4610" max="4610" width="34.0703125" style="831" customWidth="1"/>
    <col min="4611" max="4614" width="17.5" style="831" customWidth="1"/>
    <col min="4615" max="4865" width="11.5" style="831"/>
    <col min="4866" max="4866" width="34.0703125" style="831" customWidth="1"/>
    <col min="4867" max="4870" width="17.5" style="831" customWidth="1"/>
    <col min="4871" max="5121" width="11.5" style="831"/>
    <col min="5122" max="5122" width="34.0703125" style="831" customWidth="1"/>
    <col min="5123" max="5126" width="17.5" style="831" customWidth="1"/>
    <col min="5127" max="5377" width="11.5" style="831"/>
    <col min="5378" max="5378" width="34.0703125" style="831" customWidth="1"/>
    <col min="5379" max="5382" width="17.5" style="831" customWidth="1"/>
    <col min="5383" max="5633" width="11.5" style="831"/>
    <col min="5634" max="5634" width="34.0703125" style="831" customWidth="1"/>
    <col min="5635" max="5638" width="17.5" style="831" customWidth="1"/>
    <col min="5639" max="5889" width="11.5" style="831"/>
    <col min="5890" max="5890" width="34.0703125" style="831" customWidth="1"/>
    <col min="5891" max="5894" width="17.5" style="831" customWidth="1"/>
    <col min="5895" max="6145" width="11.5" style="831"/>
    <col min="6146" max="6146" width="34.0703125" style="831" customWidth="1"/>
    <col min="6147" max="6150" width="17.5" style="831" customWidth="1"/>
    <col min="6151" max="6401" width="11.5" style="831"/>
    <col min="6402" max="6402" width="34.0703125" style="831" customWidth="1"/>
    <col min="6403" max="6406" width="17.5" style="831" customWidth="1"/>
    <col min="6407" max="6657" width="11.5" style="831"/>
    <col min="6658" max="6658" width="34.0703125" style="831" customWidth="1"/>
    <col min="6659" max="6662" width="17.5" style="831" customWidth="1"/>
    <col min="6663" max="6913" width="11.5" style="831"/>
    <col min="6914" max="6914" width="34.0703125" style="831" customWidth="1"/>
    <col min="6915" max="6918" width="17.5" style="831" customWidth="1"/>
    <col min="6919" max="7169" width="11.5" style="831"/>
    <col min="7170" max="7170" width="34.0703125" style="831" customWidth="1"/>
    <col min="7171" max="7174" width="17.5" style="831" customWidth="1"/>
    <col min="7175" max="7425" width="11.5" style="831"/>
    <col min="7426" max="7426" width="34.0703125" style="831" customWidth="1"/>
    <col min="7427" max="7430" width="17.5" style="831" customWidth="1"/>
    <col min="7431" max="7681" width="11.5" style="831"/>
    <col min="7682" max="7682" width="34.0703125" style="831" customWidth="1"/>
    <col min="7683" max="7686" width="17.5" style="831" customWidth="1"/>
    <col min="7687" max="7937" width="11.5" style="831"/>
    <col min="7938" max="7938" width="34.0703125" style="831" customWidth="1"/>
    <col min="7939" max="7942" width="17.5" style="831" customWidth="1"/>
    <col min="7943" max="8193" width="11.5" style="831"/>
    <col min="8194" max="8194" width="34.0703125" style="831" customWidth="1"/>
    <col min="8195" max="8198" width="17.5" style="831" customWidth="1"/>
    <col min="8199" max="8449" width="11.5" style="831"/>
    <col min="8450" max="8450" width="34.0703125" style="831" customWidth="1"/>
    <col min="8451" max="8454" width="17.5" style="831" customWidth="1"/>
    <col min="8455" max="8705" width="11.5" style="831"/>
    <col min="8706" max="8706" width="34.0703125" style="831" customWidth="1"/>
    <col min="8707" max="8710" width="17.5" style="831" customWidth="1"/>
    <col min="8711" max="8961" width="11.5" style="831"/>
    <col min="8962" max="8962" width="34.0703125" style="831" customWidth="1"/>
    <col min="8963" max="8966" width="17.5" style="831" customWidth="1"/>
    <col min="8967" max="9217" width="11.5" style="831"/>
    <col min="9218" max="9218" width="34.0703125" style="831" customWidth="1"/>
    <col min="9219" max="9222" width="17.5" style="831" customWidth="1"/>
    <col min="9223" max="9473" width="11.5" style="831"/>
    <col min="9474" max="9474" width="34.0703125" style="831" customWidth="1"/>
    <col min="9475" max="9478" width="17.5" style="831" customWidth="1"/>
    <col min="9479" max="9729" width="11.5" style="831"/>
    <col min="9730" max="9730" width="34.0703125" style="831" customWidth="1"/>
    <col min="9731" max="9734" width="17.5" style="831" customWidth="1"/>
    <col min="9735" max="9985" width="11.5" style="831"/>
    <col min="9986" max="9986" width="34.0703125" style="831" customWidth="1"/>
    <col min="9987" max="9990" width="17.5" style="831" customWidth="1"/>
    <col min="9991" max="10241" width="11.5" style="831"/>
    <col min="10242" max="10242" width="34.0703125" style="831" customWidth="1"/>
    <col min="10243" max="10246" width="17.5" style="831" customWidth="1"/>
    <col min="10247" max="10497" width="11.5" style="831"/>
    <col min="10498" max="10498" width="34.0703125" style="831" customWidth="1"/>
    <col min="10499" max="10502" width="17.5" style="831" customWidth="1"/>
    <col min="10503" max="10753" width="11.5" style="831"/>
    <col min="10754" max="10754" width="34.0703125" style="831" customWidth="1"/>
    <col min="10755" max="10758" width="17.5" style="831" customWidth="1"/>
    <col min="10759" max="11009" width="11.5" style="831"/>
    <col min="11010" max="11010" width="34.0703125" style="831" customWidth="1"/>
    <col min="11011" max="11014" width="17.5" style="831" customWidth="1"/>
    <col min="11015" max="11265" width="11.5" style="831"/>
    <col min="11266" max="11266" width="34.0703125" style="831" customWidth="1"/>
    <col min="11267" max="11270" width="17.5" style="831" customWidth="1"/>
    <col min="11271" max="11521" width="11.5" style="831"/>
    <col min="11522" max="11522" width="34.0703125" style="831" customWidth="1"/>
    <col min="11523" max="11526" width="17.5" style="831" customWidth="1"/>
    <col min="11527" max="11777" width="11.5" style="831"/>
    <col min="11778" max="11778" width="34.0703125" style="831" customWidth="1"/>
    <col min="11779" max="11782" width="17.5" style="831" customWidth="1"/>
    <col min="11783" max="12033" width="11.5" style="831"/>
    <col min="12034" max="12034" width="34.0703125" style="831" customWidth="1"/>
    <col min="12035" max="12038" width="17.5" style="831" customWidth="1"/>
    <col min="12039" max="12289" width="11.5" style="831"/>
    <col min="12290" max="12290" width="34.0703125" style="831" customWidth="1"/>
    <col min="12291" max="12294" width="17.5" style="831" customWidth="1"/>
    <col min="12295" max="12545" width="11.5" style="831"/>
    <col min="12546" max="12546" width="34.0703125" style="831" customWidth="1"/>
    <col min="12547" max="12550" width="17.5" style="831" customWidth="1"/>
    <col min="12551" max="12801" width="11.5" style="831"/>
    <col min="12802" max="12802" width="34.0703125" style="831" customWidth="1"/>
    <col min="12803" max="12806" width="17.5" style="831" customWidth="1"/>
    <col min="12807" max="13057" width="11.5" style="831"/>
    <col min="13058" max="13058" width="34.0703125" style="831" customWidth="1"/>
    <col min="13059" max="13062" width="17.5" style="831" customWidth="1"/>
    <col min="13063" max="13313" width="11.5" style="831"/>
    <col min="13314" max="13314" width="34.0703125" style="831" customWidth="1"/>
    <col min="13315" max="13318" width="17.5" style="831" customWidth="1"/>
    <col min="13319" max="13569" width="11.5" style="831"/>
    <col min="13570" max="13570" width="34.0703125" style="831" customWidth="1"/>
    <col min="13571" max="13574" width="17.5" style="831" customWidth="1"/>
    <col min="13575" max="13825" width="11.5" style="831"/>
    <col min="13826" max="13826" width="34.0703125" style="831" customWidth="1"/>
    <col min="13827" max="13830" width="17.5" style="831" customWidth="1"/>
    <col min="13831" max="14081" width="11.5" style="831"/>
    <col min="14082" max="14082" width="34.0703125" style="831" customWidth="1"/>
    <col min="14083" max="14086" width="17.5" style="831" customWidth="1"/>
    <col min="14087" max="14337" width="11.5" style="831"/>
    <col min="14338" max="14338" width="34.0703125" style="831" customWidth="1"/>
    <col min="14339" max="14342" width="17.5" style="831" customWidth="1"/>
    <col min="14343" max="14593" width="11.5" style="831"/>
    <col min="14594" max="14594" width="34.0703125" style="831" customWidth="1"/>
    <col min="14595" max="14598" width="17.5" style="831" customWidth="1"/>
    <col min="14599" max="14849" width="11.5" style="831"/>
    <col min="14850" max="14850" width="34.0703125" style="831" customWidth="1"/>
    <col min="14851" max="14854" width="17.5" style="831" customWidth="1"/>
    <col min="14855" max="15105" width="11.5" style="831"/>
    <col min="15106" max="15106" width="34.0703125" style="831" customWidth="1"/>
    <col min="15107" max="15110" width="17.5" style="831" customWidth="1"/>
    <col min="15111" max="15361" width="11.5" style="831"/>
    <col min="15362" max="15362" width="34.0703125" style="831" customWidth="1"/>
    <col min="15363" max="15366" width="17.5" style="831" customWidth="1"/>
    <col min="15367" max="15617" width="11.5" style="831"/>
    <col min="15618" max="15618" width="34.0703125" style="831" customWidth="1"/>
    <col min="15619" max="15622" width="17.5" style="831" customWidth="1"/>
    <col min="15623" max="15873" width="11.5" style="831"/>
    <col min="15874" max="15874" width="34.0703125" style="831" customWidth="1"/>
    <col min="15875" max="15878" width="17.5" style="831" customWidth="1"/>
    <col min="15879" max="16129" width="11.5" style="831"/>
    <col min="16130" max="16130" width="34.0703125" style="831" customWidth="1"/>
    <col min="16131" max="16134" width="17.5" style="831" customWidth="1"/>
    <col min="16135" max="16384" width="11.5" style="831"/>
  </cols>
  <sheetData>
    <row r="1" spans="1:11">
      <c r="A1" s="846" t="str">
        <f>제시BS!A1</f>
        <v>26_2Q_재무제표</v>
      </c>
    </row>
    <row r="2" spans="1:11">
      <c r="I2" s="831" t="s">
        <v>1829</v>
      </c>
    </row>
    <row r="3" spans="1:11" ht="18.75" customHeight="1">
      <c r="B3" s="1330" t="s">
        <v>1692</v>
      </c>
      <c r="C3" s="1330" t="s">
        <v>2038</v>
      </c>
      <c r="D3" s="1330" t="s">
        <v>1693</v>
      </c>
      <c r="E3" s="1330" t="s">
        <v>2039</v>
      </c>
      <c r="F3" s="1330" t="s">
        <v>1694</v>
      </c>
      <c r="I3" s="1329" t="s">
        <v>1692</v>
      </c>
      <c r="J3" s="853" t="s">
        <v>1135</v>
      </c>
      <c r="K3" s="853" t="s">
        <v>1135</v>
      </c>
    </row>
    <row r="4" spans="1:11" ht="18.75" customHeight="1">
      <c r="B4" s="1330" t="s">
        <v>1692</v>
      </c>
      <c r="C4" s="850" t="s">
        <v>165</v>
      </c>
      <c r="D4" s="850" t="s">
        <v>165</v>
      </c>
      <c r="E4" s="1330" t="s">
        <v>1695</v>
      </c>
      <c r="F4" s="1330" t="s">
        <v>1695</v>
      </c>
      <c r="I4" s="1329" t="s">
        <v>1692</v>
      </c>
      <c r="J4" s="853" t="s">
        <v>165</v>
      </c>
      <c r="K4" s="853" t="s">
        <v>165</v>
      </c>
    </row>
    <row r="5" spans="1:11">
      <c r="B5" s="832" t="s">
        <v>279</v>
      </c>
      <c r="C5" s="1126"/>
      <c r="D5" s="1126">
        <v>8288170687</v>
      </c>
      <c r="E5" s="1126"/>
      <c r="F5" s="1126">
        <v>16191501663</v>
      </c>
      <c r="I5" s="854" t="s">
        <v>279</v>
      </c>
      <c r="J5" s="855"/>
      <c r="K5" s="855">
        <v>13266589908</v>
      </c>
    </row>
    <row r="6" spans="1:11">
      <c r="A6" s="831">
        <v>40100</v>
      </c>
      <c r="B6" s="832" t="s">
        <v>444</v>
      </c>
      <c r="C6" s="1126">
        <v>278070981</v>
      </c>
      <c r="D6" s="1126">
        <v>0</v>
      </c>
      <c r="E6" s="1126">
        <v>170353422</v>
      </c>
      <c r="F6" s="1126">
        <v>0</v>
      </c>
      <c r="H6" s="831" t="b">
        <f>I6=B6</f>
        <v>1</v>
      </c>
      <c r="I6" s="854" t="s">
        <v>444</v>
      </c>
      <c r="J6" s="855">
        <v>365857634</v>
      </c>
      <c r="K6" s="855"/>
    </row>
    <row r="7" spans="1:11">
      <c r="A7" s="831">
        <v>40400</v>
      </c>
      <c r="B7" s="832" t="s">
        <v>445</v>
      </c>
      <c r="C7" s="1126">
        <v>7974892686</v>
      </c>
      <c r="D7" s="1126">
        <v>0</v>
      </c>
      <c r="E7" s="1126">
        <v>15928492137</v>
      </c>
      <c r="F7" s="1126">
        <v>0</v>
      </c>
      <c r="H7" s="831" t="b">
        <f t="shared" ref="H7:H12" si="0">I7=B7</f>
        <v>1</v>
      </c>
      <c r="I7" s="854" t="s">
        <v>445</v>
      </c>
      <c r="J7" s="855">
        <v>12851710072</v>
      </c>
      <c r="K7" s="855"/>
    </row>
    <row r="8" spans="1:11">
      <c r="A8" s="831">
        <v>41300</v>
      </c>
      <c r="B8" s="832" t="s">
        <v>1136</v>
      </c>
      <c r="C8" s="1126">
        <v>35207020</v>
      </c>
      <c r="D8" s="1126">
        <v>0</v>
      </c>
      <c r="E8" s="1126">
        <v>92656104</v>
      </c>
      <c r="F8" s="1126">
        <v>0</v>
      </c>
      <c r="I8" s="854" t="s">
        <v>1136</v>
      </c>
      <c r="J8" s="855">
        <v>49022202</v>
      </c>
      <c r="K8" s="855"/>
    </row>
    <row r="9" spans="1:11">
      <c r="B9" s="832" t="s">
        <v>280</v>
      </c>
      <c r="C9" s="1126"/>
      <c r="D9" s="1126">
        <v>3596633522</v>
      </c>
      <c r="E9" s="1126"/>
      <c r="F9" s="1126">
        <v>7239299241</v>
      </c>
      <c r="H9" s="831" t="b">
        <f t="shared" si="0"/>
        <v>1</v>
      </c>
      <c r="I9" s="854" t="s">
        <v>280</v>
      </c>
      <c r="J9" s="855"/>
      <c r="K9" s="855">
        <v>5102507636</v>
      </c>
    </row>
    <row r="10" spans="1:11">
      <c r="A10" s="831">
        <v>45100</v>
      </c>
      <c r="B10" s="832" t="s">
        <v>446</v>
      </c>
      <c r="C10" s="1126">
        <v>0</v>
      </c>
      <c r="D10" s="1126">
        <v>197040606</v>
      </c>
      <c r="E10" s="1126">
        <v>0</v>
      </c>
      <c r="F10" s="1126">
        <v>91627100</v>
      </c>
      <c r="H10" s="831" t="b">
        <f t="shared" si="0"/>
        <v>1</v>
      </c>
      <c r="I10" s="854" t="s">
        <v>446</v>
      </c>
      <c r="J10" s="855"/>
      <c r="K10" s="855">
        <v>161415520</v>
      </c>
    </row>
    <row r="11" spans="1:11">
      <c r="A11" s="831">
        <v>14600</v>
      </c>
      <c r="B11" s="832" t="s">
        <v>447</v>
      </c>
      <c r="C11" s="1126">
        <v>42227029</v>
      </c>
      <c r="D11" s="1126"/>
      <c r="E11" s="1126">
        <v>32112993</v>
      </c>
      <c r="F11" s="1126">
        <v>0</v>
      </c>
      <c r="H11" s="831" t="b">
        <f t="shared" si="0"/>
        <v>1</v>
      </c>
      <c r="I11" s="854" t="s">
        <v>447</v>
      </c>
      <c r="J11" s="855">
        <v>108140856</v>
      </c>
      <c r="K11" s="855"/>
    </row>
    <row r="12" spans="1:11">
      <c r="A12" s="831">
        <v>14600</v>
      </c>
      <c r="B12" s="832" t="s">
        <v>448</v>
      </c>
      <c r="C12" s="1126">
        <v>202680409</v>
      </c>
      <c r="D12" s="1126"/>
      <c r="E12" s="1126">
        <v>101727047</v>
      </c>
      <c r="F12" s="1126">
        <v>0</v>
      </c>
      <c r="H12" s="831" t="b">
        <f t="shared" si="0"/>
        <v>1</v>
      </c>
      <c r="I12" s="854" t="s">
        <v>448</v>
      </c>
      <c r="J12" s="855">
        <v>215599997</v>
      </c>
      <c r="K12" s="855"/>
    </row>
    <row r="13" spans="1:11">
      <c r="A13" s="831">
        <v>14600</v>
      </c>
      <c r="B13" s="832" t="s">
        <v>619</v>
      </c>
      <c r="C13" s="1126"/>
      <c r="D13" s="1126"/>
      <c r="E13" s="1126"/>
      <c r="F13" s="1126">
        <v>0</v>
      </c>
      <c r="I13" s="854" t="s">
        <v>619</v>
      </c>
      <c r="J13" s="855">
        <v>-93782596</v>
      </c>
      <c r="K13" s="855"/>
    </row>
    <row r="14" spans="1:11">
      <c r="A14" s="831">
        <v>14600</v>
      </c>
      <c r="B14" s="1054" t="s">
        <v>1961</v>
      </c>
      <c r="C14" s="1126">
        <v>0</v>
      </c>
      <c r="D14" s="1126"/>
      <c r="E14" s="1126">
        <v>14089</v>
      </c>
      <c r="F14" s="1126">
        <v>0</v>
      </c>
      <c r="I14" s="1056"/>
      <c r="J14" s="1057"/>
      <c r="K14" s="1057"/>
    </row>
    <row r="15" spans="1:11">
      <c r="A15" s="831">
        <v>14600</v>
      </c>
      <c r="B15" s="832" t="s">
        <v>449</v>
      </c>
      <c r="C15" s="1126">
        <v>14089</v>
      </c>
      <c r="D15" s="1126"/>
      <c r="E15" s="1126">
        <v>0</v>
      </c>
      <c r="F15" s="1126">
        <v>0</v>
      </c>
      <c r="H15" s="831" t="b">
        <f>I15=B15</f>
        <v>1</v>
      </c>
      <c r="I15" s="854" t="s">
        <v>449</v>
      </c>
      <c r="J15" s="855">
        <v>21173172</v>
      </c>
      <c r="K15" s="855"/>
    </row>
    <row r="16" spans="1:11">
      <c r="A16" s="831">
        <v>14600</v>
      </c>
      <c r="B16" s="832" t="s">
        <v>450</v>
      </c>
      <c r="C16" s="1126">
        <v>47852743</v>
      </c>
      <c r="D16" s="1126"/>
      <c r="E16" s="1126">
        <v>42227029</v>
      </c>
      <c r="F16" s="1126">
        <v>0</v>
      </c>
      <c r="H16" s="831" t="b">
        <f t="shared" ref="H16:H19" si="1">I16=B16</f>
        <v>1</v>
      </c>
      <c r="I16" s="854" t="s">
        <v>450</v>
      </c>
      <c r="J16" s="855">
        <v>47369565</v>
      </c>
      <c r="K16" s="855"/>
    </row>
    <row r="17" spans="1:11">
      <c r="A17" s="831">
        <v>45500</v>
      </c>
      <c r="B17" s="832" t="s">
        <v>451</v>
      </c>
      <c r="C17" s="1126">
        <v>0</v>
      </c>
      <c r="D17" s="1126">
        <v>3389356072</v>
      </c>
      <c r="E17" s="1126">
        <v>0</v>
      </c>
      <c r="F17" s="1126">
        <v>7114427608</v>
      </c>
      <c r="H17" s="831" t="b">
        <f t="shared" si="1"/>
        <v>1</v>
      </c>
      <c r="I17" s="854" t="s">
        <v>451</v>
      </c>
      <c r="J17" s="855"/>
      <c r="K17" s="855">
        <v>4924867501</v>
      </c>
    </row>
    <row r="18" spans="1:11">
      <c r="A18" s="831">
        <v>14700</v>
      </c>
      <c r="B18" s="832" t="s">
        <v>452</v>
      </c>
      <c r="C18" s="1126">
        <v>2349819825</v>
      </c>
      <c r="D18" s="1126"/>
      <c r="E18" s="1126">
        <v>2459042471</v>
      </c>
      <c r="F18" s="1126">
        <v>0</v>
      </c>
      <c r="H18" s="831" t="b">
        <f t="shared" si="1"/>
        <v>1</v>
      </c>
      <c r="I18" s="854" t="s">
        <v>452</v>
      </c>
      <c r="J18" s="855">
        <v>2042293184</v>
      </c>
      <c r="K18" s="855"/>
    </row>
    <row r="19" spans="1:11">
      <c r="A19" s="831">
        <v>14700</v>
      </c>
      <c r="B19" s="832" t="s">
        <v>453</v>
      </c>
      <c r="C19" s="1126">
        <v>3476800819</v>
      </c>
      <c r="D19" s="1126"/>
      <c r="E19" s="1126">
        <v>6956945784</v>
      </c>
      <c r="F19" s="1126">
        <v>0</v>
      </c>
      <c r="H19" s="831" t="b">
        <f t="shared" si="1"/>
        <v>1</v>
      </c>
      <c r="I19" s="854" t="s">
        <v>453</v>
      </c>
      <c r="J19" s="855">
        <v>5089482578</v>
      </c>
      <c r="K19" s="855"/>
    </row>
    <row r="20" spans="1:11">
      <c r="A20" s="831">
        <v>14700</v>
      </c>
      <c r="B20" s="832" t="s">
        <v>751</v>
      </c>
      <c r="C20" s="1126">
        <v>0</v>
      </c>
      <c r="D20" s="1126">
        <v>0</v>
      </c>
      <c r="E20" s="1126">
        <v>0</v>
      </c>
      <c r="F20" s="1126">
        <v>0</v>
      </c>
      <c r="I20" s="854" t="s">
        <v>751</v>
      </c>
      <c r="J20" s="855">
        <v>93782596</v>
      </c>
      <c r="K20" s="855"/>
    </row>
    <row r="21" spans="1:11">
      <c r="A21" s="831">
        <v>14700</v>
      </c>
      <c r="B21" s="832" t="s">
        <v>454</v>
      </c>
      <c r="C21" s="1126">
        <v>5296679</v>
      </c>
      <c r="D21" s="1126"/>
      <c r="E21" s="1126">
        <v>13741727</v>
      </c>
      <c r="F21" s="1126">
        <v>0</v>
      </c>
      <c r="I21" s="856" t="s">
        <v>454</v>
      </c>
      <c r="J21" s="577">
        <v>0</v>
      </c>
      <c r="K21" s="577">
        <v>0</v>
      </c>
    </row>
    <row r="22" spans="1:11">
      <c r="A22" s="831">
        <v>14700</v>
      </c>
      <c r="B22" s="832" t="s">
        <v>455</v>
      </c>
      <c r="C22" s="1126">
        <v>102749779</v>
      </c>
      <c r="D22" s="1126"/>
      <c r="E22" s="1126">
        <v>62000905</v>
      </c>
      <c r="F22" s="1126">
        <v>0</v>
      </c>
      <c r="I22" s="854" t="s">
        <v>455</v>
      </c>
      <c r="J22" s="855">
        <v>82414788</v>
      </c>
      <c r="K22" s="855"/>
    </row>
    <row r="23" spans="1:11">
      <c r="A23" s="831">
        <v>14700</v>
      </c>
      <c r="B23" s="832" t="s">
        <v>657</v>
      </c>
      <c r="C23" s="1126">
        <v>0</v>
      </c>
      <c r="D23" s="1126">
        <v>0</v>
      </c>
      <c r="E23" s="1126">
        <v>0</v>
      </c>
      <c r="F23" s="1126">
        <v>0</v>
      </c>
      <c r="H23" s="831" t="b">
        <f t="shared" ref="H23:H24" si="2">I23=B23</f>
        <v>1</v>
      </c>
      <c r="I23" s="854" t="s">
        <v>657</v>
      </c>
      <c r="J23" s="855">
        <v>16230066</v>
      </c>
      <c r="K23" s="855"/>
    </row>
    <row r="24" spans="1:11">
      <c r="A24" s="831">
        <v>14700</v>
      </c>
      <c r="B24" s="832" t="s">
        <v>456</v>
      </c>
      <c r="C24" s="1126">
        <v>2534717672</v>
      </c>
      <c r="D24" s="1126"/>
      <c r="E24" s="1126">
        <v>2349819825</v>
      </c>
      <c r="F24" s="1126">
        <v>0</v>
      </c>
      <c r="H24" s="831" t="b">
        <f t="shared" si="2"/>
        <v>1</v>
      </c>
      <c r="I24" s="854" t="s">
        <v>456</v>
      </c>
      <c r="J24" s="855">
        <v>2366875579</v>
      </c>
      <c r="K24" s="855"/>
    </row>
    <row r="25" spans="1:11">
      <c r="A25" s="831">
        <v>45700</v>
      </c>
      <c r="B25" s="832" t="s">
        <v>1137</v>
      </c>
      <c r="C25" s="1126">
        <v>0</v>
      </c>
      <c r="D25" s="1126">
        <v>10236844</v>
      </c>
      <c r="E25" s="1126">
        <v>0</v>
      </c>
      <c r="F25" s="1126">
        <v>33244533</v>
      </c>
      <c r="I25" s="854" t="s">
        <v>1137</v>
      </c>
      <c r="J25" s="855"/>
      <c r="K25" s="855">
        <v>16224615</v>
      </c>
    </row>
    <row r="26" spans="1:11">
      <c r="A26" s="831">
        <v>16300</v>
      </c>
      <c r="B26" s="832" t="s">
        <v>1138</v>
      </c>
      <c r="C26" s="1126">
        <v>0</v>
      </c>
      <c r="D26" s="1126"/>
      <c r="E26" s="1126">
        <v>0</v>
      </c>
      <c r="F26" s="1126">
        <v>0</v>
      </c>
      <c r="I26" s="854" t="s">
        <v>1138</v>
      </c>
      <c r="J26" s="855"/>
      <c r="K26" s="855"/>
    </row>
    <row r="27" spans="1:11">
      <c r="A27" s="831">
        <v>16300</v>
      </c>
      <c r="B27" s="832" t="s">
        <v>1139</v>
      </c>
      <c r="C27" s="1126">
        <v>10236844</v>
      </c>
      <c r="D27" s="1126"/>
      <c r="E27" s="1126">
        <v>33244533</v>
      </c>
      <c r="F27" s="1126">
        <v>0</v>
      </c>
      <c r="I27" s="854" t="s">
        <v>1139</v>
      </c>
      <c r="J27" s="855">
        <v>16224615</v>
      </c>
      <c r="K27" s="855"/>
    </row>
    <row r="28" spans="1:11">
      <c r="A28" s="831">
        <v>16300</v>
      </c>
      <c r="B28" s="832" t="s">
        <v>1140</v>
      </c>
      <c r="C28" s="1126">
        <v>0</v>
      </c>
      <c r="D28" s="1126"/>
      <c r="E28" s="1126">
        <v>0</v>
      </c>
      <c r="F28" s="1126">
        <v>0</v>
      </c>
      <c r="I28" s="854" t="s">
        <v>1140</v>
      </c>
      <c r="J28" s="855"/>
      <c r="K28" s="855"/>
    </row>
    <row r="29" spans="1:11">
      <c r="B29" s="832" t="s">
        <v>457</v>
      </c>
      <c r="C29" s="1126"/>
      <c r="D29" s="1126">
        <v>4691537165</v>
      </c>
      <c r="E29" s="1126"/>
      <c r="F29" s="1126">
        <v>8952202422</v>
      </c>
      <c r="H29" s="831" t="b">
        <f t="shared" ref="H29:H67" si="3">I29=B29</f>
        <v>1</v>
      </c>
      <c r="I29" s="854" t="s">
        <v>457</v>
      </c>
      <c r="J29" s="855"/>
      <c r="K29" s="855">
        <v>8164082272</v>
      </c>
    </row>
    <row r="30" spans="1:11">
      <c r="B30" s="832" t="s">
        <v>281</v>
      </c>
      <c r="C30" s="1126"/>
      <c r="D30" s="1126">
        <v>5378351282</v>
      </c>
      <c r="E30" s="1126"/>
      <c r="F30" s="1126">
        <v>7836152984</v>
      </c>
      <c r="H30" s="831" t="b">
        <f t="shared" si="3"/>
        <v>1</v>
      </c>
      <c r="I30" s="854" t="s">
        <v>281</v>
      </c>
      <c r="J30" s="855"/>
      <c r="K30" s="855">
        <v>6523698717</v>
      </c>
    </row>
    <row r="31" spans="1:11">
      <c r="A31" s="848" t="s">
        <v>870</v>
      </c>
      <c r="B31" s="832" t="s">
        <v>458</v>
      </c>
      <c r="C31" s="1126">
        <v>1126155722</v>
      </c>
      <c r="D31" s="1126">
        <v>0</v>
      </c>
      <c r="E31" s="1126">
        <v>2515811607</v>
      </c>
      <c r="F31" s="1126">
        <v>0</v>
      </c>
      <c r="H31" s="831" t="b">
        <f t="shared" si="3"/>
        <v>1</v>
      </c>
      <c r="I31" s="854" t="s">
        <v>458</v>
      </c>
      <c r="J31" s="855">
        <v>1771940929</v>
      </c>
      <c r="K31" s="855"/>
    </row>
    <row r="32" spans="1:11">
      <c r="A32" s="848" t="s">
        <v>870</v>
      </c>
      <c r="B32" s="832" t="s">
        <v>459</v>
      </c>
      <c r="C32" s="1126">
        <v>66119503</v>
      </c>
      <c r="D32" s="1126">
        <v>0</v>
      </c>
      <c r="E32" s="1126">
        <v>180901939</v>
      </c>
      <c r="F32" s="1126">
        <v>0</v>
      </c>
      <c r="H32" s="831" t="b">
        <f t="shared" si="3"/>
        <v>1</v>
      </c>
      <c r="I32" s="854" t="s">
        <v>459</v>
      </c>
      <c r="J32" s="855">
        <v>155390991</v>
      </c>
      <c r="K32" s="855"/>
    </row>
    <row r="33" spans="1:11">
      <c r="A33" s="831">
        <v>80800</v>
      </c>
      <c r="B33" s="832" t="s">
        <v>460</v>
      </c>
      <c r="C33" s="1126">
        <v>110359296</v>
      </c>
      <c r="D33" s="1126">
        <v>0</v>
      </c>
      <c r="E33" s="1126">
        <v>225081520</v>
      </c>
      <c r="F33" s="1126">
        <v>0</v>
      </c>
      <c r="H33" s="831" t="b">
        <f t="shared" si="3"/>
        <v>1</v>
      </c>
      <c r="I33" s="854" t="s">
        <v>460</v>
      </c>
      <c r="J33" s="855">
        <v>140155507</v>
      </c>
      <c r="K33" s="855"/>
    </row>
    <row r="34" spans="1:11">
      <c r="A34" s="848" t="s">
        <v>2043</v>
      </c>
      <c r="B34" s="1132" t="s">
        <v>2040</v>
      </c>
      <c r="C34" s="1133">
        <v>45930430</v>
      </c>
      <c r="D34" s="1133">
        <v>0</v>
      </c>
      <c r="E34" s="1133">
        <v>0</v>
      </c>
      <c r="F34" s="1133">
        <v>0</v>
      </c>
      <c r="I34" s="1056"/>
      <c r="J34" s="1057"/>
      <c r="K34" s="1057"/>
    </row>
    <row r="35" spans="1:11">
      <c r="A35" s="831">
        <v>81000</v>
      </c>
      <c r="B35" s="832" t="s">
        <v>461</v>
      </c>
      <c r="C35" s="1126">
        <v>0</v>
      </c>
      <c r="D35" s="1126">
        <v>0</v>
      </c>
      <c r="E35" s="1126">
        <v>135571460</v>
      </c>
      <c r="F35" s="1126">
        <v>0</v>
      </c>
      <c r="H35" s="831" t="b">
        <f t="shared" si="3"/>
        <v>1</v>
      </c>
      <c r="I35" s="854" t="s">
        <v>461</v>
      </c>
      <c r="J35" s="855">
        <v>16802105</v>
      </c>
      <c r="K35" s="855"/>
    </row>
    <row r="36" spans="1:11">
      <c r="A36" s="831">
        <v>81100</v>
      </c>
      <c r="B36" s="832" t="s">
        <v>462</v>
      </c>
      <c r="C36" s="1126">
        <v>187719099</v>
      </c>
      <c r="D36" s="1126">
        <v>0</v>
      </c>
      <c r="E36" s="1126">
        <v>355583840</v>
      </c>
      <c r="F36" s="1126">
        <v>0</v>
      </c>
      <c r="H36" s="831" t="b">
        <f t="shared" si="3"/>
        <v>1</v>
      </c>
      <c r="I36" s="854" t="s">
        <v>462</v>
      </c>
      <c r="J36" s="855">
        <v>286921198</v>
      </c>
      <c r="K36" s="855"/>
    </row>
    <row r="37" spans="1:11">
      <c r="A37" s="831">
        <v>81200</v>
      </c>
      <c r="B37" s="832" t="s">
        <v>463</v>
      </c>
      <c r="C37" s="1126">
        <v>224812833</v>
      </c>
      <c r="D37" s="1126">
        <v>0</v>
      </c>
      <c r="E37" s="1126">
        <v>612954578</v>
      </c>
      <c r="F37" s="1126">
        <v>0</v>
      </c>
      <c r="H37" s="831" t="b">
        <f t="shared" si="3"/>
        <v>1</v>
      </c>
      <c r="I37" s="854" t="s">
        <v>463</v>
      </c>
      <c r="J37" s="855">
        <v>406005356</v>
      </c>
      <c r="K37" s="855"/>
    </row>
    <row r="38" spans="1:11">
      <c r="A38" s="831">
        <v>81300</v>
      </c>
      <c r="B38" s="832" t="s">
        <v>464</v>
      </c>
      <c r="C38" s="1126">
        <v>25692474</v>
      </c>
      <c r="D38" s="1126">
        <v>0</v>
      </c>
      <c r="E38" s="1126">
        <v>138874977</v>
      </c>
      <c r="F38" s="1126">
        <v>0</v>
      </c>
      <c r="H38" s="831" t="b">
        <f t="shared" si="3"/>
        <v>1</v>
      </c>
      <c r="I38" s="854" t="s">
        <v>464</v>
      </c>
      <c r="J38" s="855">
        <v>81579044</v>
      </c>
      <c r="K38" s="855"/>
    </row>
    <row r="39" spans="1:11">
      <c r="A39" s="831">
        <v>81400</v>
      </c>
      <c r="B39" s="832" t="s">
        <v>465</v>
      </c>
      <c r="C39" s="1126">
        <v>8042843</v>
      </c>
      <c r="D39" s="1126">
        <v>0</v>
      </c>
      <c r="E39" s="1126">
        <v>16357589</v>
      </c>
      <c r="F39" s="1126">
        <v>0</v>
      </c>
      <c r="H39" s="831" t="b">
        <f t="shared" si="3"/>
        <v>1</v>
      </c>
      <c r="I39" s="854" t="s">
        <v>465</v>
      </c>
      <c r="J39" s="855">
        <v>11333292</v>
      </c>
      <c r="K39" s="855"/>
    </row>
    <row r="40" spans="1:11">
      <c r="A40" s="831">
        <v>81500</v>
      </c>
      <c r="B40" s="832" t="s">
        <v>466</v>
      </c>
      <c r="C40" s="1126">
        <v>2933840</v>
      </c>
      <c r="D40" s="1126">
        <v>0</v>
      </c>
      <c r="E40" s="1126">
        <v>5590040</v>
      </c>
      <c r="F40" s="1126">
        <v>0</v>
      </c>
      <c r="H40" s="831" t="b">
        <f t="shared" si="3"/>
        <v>1</v>
      </c>
      <c r="I40" s="854" t="s">
        <v>466</v>
      </c>
      <c r="J40" s="855">
        <v>4089150</v>
      </c>
      <c r="K40" s="855"/>
    </row>
    <row r="41" spans="1:11">
      <c r="A41" s="831">
        <v>81600</v>
      </c>
      <c r="B41" s="832" t="s">
        <v>1141</v>
      </c>
      <c r="C41" s="1126">
        <v>3879022</v>
      </c>
      <c r="D41" s="1126">
        <v>0</v>
      </c>
      <c r="E41" s="1126">
        <v>6785322</v>
      </c>
      <c r="F41" s="1126">
        <v>0</v>
      </c>
      <c r="H41" s="831" t="b">
        <f t="shared" si="3"/>
        <v>1</v>
      </c>
      <c r="I41" s="854" t="s">
        <v>1141</v>
      </c>
      <c r="J41" s="855">
        <v>3372068</v>
      </c>
      <c r="K41" s="855"/>
    </row>
    <row r="42" spans="1:11">
      <c r="A42" s="831">
        <v>81700</v>
      </c>
      <c r="B42" s="832" t="s">
        <v>467</v>
      </c>
      <c r="C42" s="1126">
        <v>8506220</v>
      </c>
      <c r="D42" s="1126">
        <v>0</v>
      </c>
      <c r="E42" s="1126">
        <v>22333999</v>
      </c>
      <c r="F42" s="1126">
        <v>0</v>
      </c>
      <c r="H42" s="831" t="b">
        <f t="shared" si="3"/>
        <v>1</v>
      </c>
      <c r="I42" s="854" t="s">
        <v>467</v>
      </c>
      <c r="J42" s="855">
        <v>82065850</v>
      </c>
      <c r="K42" s="855"/>
    </row>
    <row r="43" spans="1:11">
      <c r="A43" s="831">
        <v>81800</v>
      </c>
      <c r="B43" s="832" t="s">
        <v>468</v>
      </c>
      <c r="C43" s="1126">
        <v>119880341</v>
      </c>
      <c r="D43" s="1126">
        <v>0</v>
      </c>
      <c r="E43" s="1126">
        <v>190488791</v>
      </c>
      <c r="F43" s="1126">
        <v>0</v>
      </c>
      <c r="H43" s="831" t="b">
        <f t="shared" si="3"/>
        <v>1</v>
      </c>
      <c r="I43" s="854" t="s">
        <v>468</v>
      </c>
      <c r="J43" s="855">
        <v>148738787</v>
      </c>
      <c r="K43" s="855"/>
    </row>
    <row r="44" spans="1:11">
      <c r="A44" s="831">
        <v>81900</v>
      </c>
      <c r="B44" s="832" t="s">
        <v>469</v>
      </c>
      <c r="C44" s="1126">
        <v>508414</v>
      </c>
      <c r="D44" s="1126">
        <v>0</v>
      </c>
      <c r="E44" s="1126">
        <v>40651800</v>
      </c>
      <c r="F44" s="1126">
        <v>0</v>
      </c>
      <c r="H44" s="831" t="b">
        <f t="shared" si="3"/>
        <v>1</v>
      </c>
      <c r="I44" s="854" t="s">
        <v>469</v>
      </c>
      <c r="J44" s="855">
        <v>8463364</v>
      </c>
      <c r="K44" s="855"/>
    </row>
    <row r="45" spans="1:11">
      <c r="A45" s="831">
        <v>82000</v>
      </c>
      <c r="B45" s="832" t="s">
        <v>470</v>
      </c>
      <c r="C45" s="1126">
        <v>1111000</v>
      </c>
      <c r="D45" s="1126">
        <v>0</v>
      </c>
      <c r="E45" s="1126">
        <v>946937</v>
      </c>
      <c r="F45" s="1126">
        <v>0</v>
      </c>
      <c r="H45" s="831" t="b">
        <f t="shared" si="3"/>
        <v>1</v>
      </c>
      <c r="I45" s="854" t="s">
        <v>470</v>
      </c>
      <c r="J45" s="855">
        <v>232909</v>
      </c>
      <c r="K45" s="855"/>
    </row>
    <row r="46" spans="1:11">
      <c r="A46" s="831">
        <v>82100</v>
      </c>
      <c r="B46" s="832" t="s">
        <v>471</v>
      </c>
      <c r="C46" s="1126">
        <v>3257116</v>
      </c>
      <c r="D46" s="1126">
        <v>0</v>
      </c>
      <c r="E46" s="1126">
        <v>7138571</v>
      </c>
      <c r="F46" s="1126">
        <v>0</v>
      </c>
      <c r="H46" s="831" t="b">
        <f t="shared" si="3"/>
        <v>1</v>
      </c>
      <c r="I46" s="854" t="s">
        <v>471</v>
      </c>
      <c r="J46" s="855">
        <v>7658199</v>
      </c>
      <c r="K46" s="855"/>
    </row>
    <row r="47" spans="1:11">
      <c r="A47" s="831">
        <v>82200</v>
      </c>
      <c r="B47" s="832" t="s">
        <v>472</v>
      </c>
      <c r="C47" s="1126">
        <v>720800</v>
      </c>
      <c r="D47" s="1126">
        <v>0</v>
      </c>
      <c r="E47" s="1126">
        <v>5437546</v>
      </c>
      <c r="F47" s="1126">
        <v>0</v>
      </c>
      <c r="H47" s="831" t="b">
        <f t="shared" si="3"/>
        <v>1</v>
      </c>
      <c r="I47" s="854" t="s">
        <v>472</v>
      </c>
      <c r="J47" s="855">
        <v>4643320</v>
      </c>
      <c r="K47" s="855"/>
    </row>
    <row r="48" spans="1:11">
      <c r="A48" s="831">
        <v>82300</v>
      </c>
      <c r="B48" s="832" t="s">
        <v>473</v>
      </c>
      <c r="C48" s="1126">
        <v>364625079</v>
      </c>
      <c r="D48" s="1126">
        <v>0</v>
      </c>
      <c r="E48" s="1126">
        <v>710644571</v>
      </c>
      <c r="F48" s="1126">
        <v>0</v>
      </c>
      <c r="H48" s="831" t="b">
        <f t="shared" si="3"/>
        <v>1</v>
      </c>
      <c r="I48" s="854" t="s">
        <v>473</v>
      </c>
      <c r="J48" s="855">
        <v>552907003</v>
      </c>
      <c r="K48" s="855"/>
    </row>
    <row r="49" spans="1:11">
      <c r="A49" s="831">
        <v>82400</v>
      </c>
      <c r="B49" s="832" t="s">
        <v>474</v>
      </c>
      <c r="C49" s="1126">
        <v>9018081</v>
      </c>
      <c r="D49" s="1126">
        <v>0</v>
      </c>
      <c r="E49" s="1126">
        <v>20056265</v>
      </c>
      <c r="F49" s="1126">
        <v>0</v>
      </c>
      <c r="H49" s="831" t="b">
        <f t="shared" si="3"/>
        <v>1</v>
      </c>
      <c r="I49" s="854" t="s">
        <v>474</v>
      </c>
      <c r="J49" s="855">
        <v>14931152</v>
      </c>
      <c r="K49" s="855"/>
    </row>
    <row r="50" spans="1:11">
      <c r="A50" s="831">
        <v>82500</v>
      </c>
      <c r="B50" s="832" t="s">
        <v>475</v>
      </c>
      <c r="C50" s="1126">
        <v>1066181</v>
      </c>
      <c r="D50" s="1126">
        <v>0</v>
      </c>
      <c r="E50" s="1126">
        <v>6942000</v>
      </c>
      <c r="F50" s="1126">
        <v>0</v>
      </c>
      <c r="H50" s="831" t="b">
        <f t="shared" si="3"/>
        <v>1</v>
      </c>
      <c r="I50" s="854" t="s">
        <v>475</v>
      </c>
      <c r="J50" s="855">
        <v>13461800</v>
      </c>
      <c r="K50" s="855"/>
    </row>
    <row r="51" spans="1:11">
      <c r="A51" s="831">
        <v>82600</v>
      </c>
      <c r="B51" s="832" t="s">
        <v>476</v>
      </c>
      <c r="C51" s="1126">
        <v>4820923</v>
      </c>
      <c r="D51" s="1126">
        <v>0</v>
      </c>
      <c r="E51" s="1126">
        <v>13626737</v>
      </c>
      <c r="F51" s="1126">
        <v>0</v>
      </c>
      <c r="H51" s="831" t="b">
        <f t="shared" si="3"/>
        <v>1</v>
      </c>
      <c r="I51" s="854" t="s">
        <v>476</v>
      </c>
      <c r="J51" s="855">
        <v>3022395</v>
      </c>
      <c r="K51" s="855"/>
    </row>
    <row r="52" spans="1:11">
      <c r="A52" s="831">
        <v>82900</v>
      </c>
      <c r="B52" s="832" t="s">
        <v>477</v>
      </c>
      <c r="C52" s="1126">
        <v>236327</v>
      </c>
      <c r="D52" s="1126">
        <v>0</v>
      </c>
      <c r="E52" s="1126">
        <v>3286259</v>
      </c>
      <c r="F52" s="1126">
        <v>0</v>
      </c>
      <c r="H52" s="831" t="b">
        <f t="shared" si="3"/>
        <v>1</v>
      </c>
      <c r="I52" s="854" t="s">
        <v>477</v>
      </c>
      <c r="J52" s="855">
        <v>3881541</v>
      </c>
      <c r="K52" s="855"/>
    </row>
    <row r="53" spans="1:11">
      <c r="A53" s="831">
        <v>83000</v>
      </c>
      <c r="B53" s="832" t="s">
        <v>478</v>
      </c>
      <c r="C53" s="1126">
        <v>19873909</v>
      </c>
      <c r="D53" s="1126">
        <v>0</v>
      </c>
      <c r="E53" s="1126">
        <v>60468440</v>
      </c>
      <c r="F53" s="1126">
        <v>0</v>
      </c>
      <c r="H53" s="831" t="b">
        <f t="shared" si="3"/>
        <v>1</v>
      </c>
      <c r="I53" s="854" t="s">
        <v>478</v>
      </c>
      <c r="J53" s="855">
        <v>35709589</v>
      </c>
      <c r="K53" s="855"/>
    </row>
    <row r="54" spans="1:11">
      <c r="A54" s="831">
        <v>83100</v>
      </c>
      <c r="B54" s="832" t="s">
        <v>479</v>
      </c>
      <c r="C54" s="1126">
        <v>1082143476</v>
      </c>
      <c r="D54" s="1126">
        <v>0</v>
      </c>
      <c r="E54" s="1126">
        <v>605210200</v>
      </c>
      <c r="F54" s="1126">
        <v>0</v>
      </c>
      <c r="H54" s="831" t="b">
        <f t="shared" si="3"/>
        <v>1</v>
      </c>
      <c r="I54" s="854" t="s">
        <v>479</v>
      </c>
      <c r="J54" s="855">
        <v>403791064</v>
      </c>
      <c r="K54" s="855"/>
    </row>
    <row r="55" spans="1:11">
      <c r="A55" s="831">
        <v>83300</v>
      </c>
      <c r="B55" s="832" t="s">
        <v>480</v>
      </c>
      <c r="C55" s="1126">
        <v>1875294553</v>
      </c>
      <c r="D55" s="1126">
        <v>0</v>
      </c>
      <c r="E55" s="1126">
        <v>1618010683</v>
      </c>
      <c r="F55" s="1126">
        <v>0</v>
      </c>
      <c r="H55" s="831" t="b">
        <f t="shared" si="3"/>
        <v>1</v>
      </c>
      <c r="I55" s="854" t="s">
        <v>480</v>
      </c>
      <c r="J55" s="855">
        <v>1070021883</v>
      </c>
      <c r="K55" s="855"/>
    </row>
    <row r="56" spans="1:11">
      <c r="A56" s="831">
        <v>83500</v>
      </c>
      <c r="B56" s="832" t="s">
        <v>481</v>
      </c>
      <c r="C56" s="1126">
        <v>-82887417</v>
      </c>
      <c r="D56" s="1126">
        <v>0</v>
      </c>
      <c r="E56" s="1126">
        <v>-4709632</v>
      </c>
      <c r="F56" s="1126">
        <v>0</v>
      </c>
      <c r="H56" s="831" t="b">
        <f t="shared" si="3"/>
        <v>1</v>
      </c>
      <c r="I56" s="854" t="s">
        <v>481</v>
      </c>
      <c r="J56" s="855">
        <v>171581331</v>
      </c>
      <c r="K56" s="855"/>
    </row>
    <row r="57" spans="1:11">
      <c r="A57" s="831">
        <v>83700</v>
      </c>
      <c r="B57" s="832" t="s">
        <v>482</v>
      </c>
      <c r="C57" s="1126">
        <v>16390898</v>
      </c>
      <c r="D57" s="1126">
        <v>0</v>
      </c>
      <c r="E57" s="1126">
        <v>41198904</v>
      </c>
      <c r="F57" s="1126">
        <v>0</v>
      </c>
      <c r="H57" s="831" t="b">
        <f t="shared" si="3"/>
        <v>1</v>
      </c>
      <c r="I57" s="854" t="s">
        <v>482</v>
      </c>
      <c r="J57" s="855">
        <v>30198167</v>
      </c>
      <c r="K57" s="855"/>
    </row>
    <row r="58" spans="1:11">
      <c r="A58" s="831">
        <v>83800</v>
      </c>
      <c r="B58" s="832" t="s">
        <v>483</v>
      </c>
      <c r="C58" s="1126">
        <v>33162410</v>
      </c>
      <c r="D58" s="1126">
        <v>0</v>
      </c>
      <c r="E58" s="1126">
        <v>66271840</v>
      </c>
      <c r="F58" s="1126">
        <v>0</v>
      </c>
      <c r="H58" s="831" t="b">
        <f t="shared" si="3"/>
        <v>1</v>
      </c>
      <c r="I58" s="854" t="s">
        <v>483</v>
      </c>
      <c r="J58" s="855">
        <v>47765483</v>
      </c>
      <c r="K58" s="855"/>
    </row>
    <row r="59" spans="1:11">
      <c r="A59" s="831">
        <v>83900</v>
      </c>
      <c r="B59" s="832" t="s">
        <v>484</v>
      </c>
      <c r="C59" s="1126">
        <v>96068802</v>
      </c>
      <c r="D59" s="1126">
        <v>0</v>
      </c>
      <c r="E59" s="1126">
        <v>198371855</v>
      </c>
      <c r="F59" s="1126">
        <v>0</v>
      </c>
      <c r="H59" s="831" t="b">
        <f t="shared" si="3"/>
        <v>1</v>
      </c>
      <c r="I59" s="854" t="s">
        <v>484</v>
      </c>
      <c r="J59" s="855">
        <v>1010148898</v>
      </c>
      <c r="K59" s="855"/>
    </row>
    <row r="60" spans="1:11">
      <c r="A60" s="831">
        <v>84000</v>
      </c>
      <c r="B60" s="832" t="s">
        <v>485</v>
      </c>
      <c r="C60" s="1126">
        <v>21529107</v>
      </c>
      <c r="D60" s="1126">
        <v>0</v>
      </c>
      <c r="E60" s="1126">
        <v>33505647</v>
      </c>
      <c r="F60" s="1126">
        <v>0</v>
      </c>
      <c r="H60" s="831" t="b">
        <f t="shared" si="3"/>
        <v>1</v>
      </c>
      <c r="I60" s="854" t="s">
        <v>485</v>
      </c>
      <c r="J60" s="855">
        <v>34816342</v>
      </c>
      <c r="K60" s="855"/>
    </row>
    <row r="61" spans="1:11">
      <c r="A61" s="831">
        <v>85000</v>
      </c>
      <c r="B61" s="832" t="s">
        <v>1705</v>
      </c>
      <c r="C61" s="1126">
        <v>0</v>
      </c>
      <c r="D61" s="1126">
        <v>0</v>
      </c>
      <c r="E61" s="1126">
        <v>0</v>
      </c>
      <c r="F61" s="1126">
        <v>0</v>
      </c>
      <c r="I61" s="854"/>
      <c r="J61" s="855"/>
      <c r="K61" s="855"/>
    </row>
    <row r="62" spans="1:11">
      <c r="A62" s="831">
        <v>85100</v>
      </c>
      <c r="B62" s="832" t="s">
        <v>747</v>
      </c>
      <c r="C62" s="1126">
        <v>1380000</v>
      </c>
      <c r="D62" s="1126">
        <v>0</v>
      </c>
      <c r="E62" s="1126">
        <v>2758699</v>
      </c>
      <c r="F62" s="1126">
        <v>0</v>
      </c>
      <c r="H62" s="831" t="b">
        <f t="shared" si="3"/>
        <v>1</v>
      </c>
      <c r="I62" s="854" t="s">
        <v>747</v>
      </c>
      <c r="J62" s="855">
        <v>2070000</v>
      </c>
      <c r="K62" s="855"/>
    </row>
    <row r="63" spans="1:11">
      <c r="B63" s="832" t="s">
        <v>620</v>
      </c>
      <c r="C63" s="1126">
        <v>0</v>
      </c>
      <c r="D63" s="1126">
        <f>D29-D30</f>
        <v>-686814117</v>
      </c>
      <c r="E63" s="1126">
        <v>0</v>
      </c>
      <c r="F63" s="1126">
        <f>F29-F30</f>
        <v>1116049438</v>
      </c>
      <c r="H63" s="831" t="b">
        <f t="shared" si="3"/>
        <v>1</v>
      </c>
      <c r="I63" s="854" t="s">
        <v>620</v>
      </c>
      <c r="J63" s="855"/>
      <c r="K63" s="855">
        <v>1640383555</v>
      </c>
    </row>
    <row r="64" spans="1:11">
      <c r="B64" s="832" t="s">
        <v>282</v>
      </c>
      <c r="C64" s="1126">
        <v>0</v>
      </c>
      <c r="D64" s="1126">
        <f>SUM(C65:C70)</f>
        <v>173939832</v>
      </c>
      <c r="E64" s="1126">
        <v>0</v>
      </c>
      <c r="F64" s="1126">
        <f>SUM(E65:E70)</f>
        <v>193017892</v>
      </c>
      <c r="H64" s="831" t="b">
        <f t="shared" si="3"/>
        <v>1</v>
      </c>
      <c r="I64" s="854" t="s">
        <v>282</v>
      </c>
      <c r="J64" s="855"/>
      <c r="K64" s="855">
        <v>174057316</v>
      </c>
    </row>
    <row r="65" spans="1:13">
      <c r="A65" s="831">
        <v>90100</v>
      </c>
      <c r="B65" s="832" t="s">
        <v>486</v>
      </c>
      <c r="C65" s="1126">
        <v>22098561</v>
      </c>
      <c r="D65" s="1126">
        <v>0</v>
      </c>
      <c r="E65" s="1126">
        <v>57433036</v>
      </c>
      <c r="F65" s="1126">
        <v>0</v>
      </c>
      <c r="H65" s="831" t="b">
        <f t="shared" si="3"/>
        <v>1</v>
      </c>
      <c r="I65" s="854" t="s">
        <v>486</v>
      </c>
      <c r="J65" s="855">
        <v>50683598</v>
      </c>
      <c r="K65" s="855"/>
    </row>
    <row r="66" spans="1:13">
      <c r="A66" s="831">
        <v>90500</v>
      </c>
      <c r="B66" s="832" t="s">
        <v>1706</v>
      </c>
      <c r="C66" s="1126">
        <v>3000000</v>
      </c>
      <c r="D66" s="1126">
        <v>0</v>
      </c>
      <c r="E66" s="1126">
        <v>15181850</v>
      </c>
      <c r="F66" s="1126">
        <v>0</v>
      </c>
      <c r="I66" s="854"/>
      <c r="J66" s="855"/>
      <c r="K66" s="855"/>
    </row>
    <row r="67" spans="1:13">
      <c r="A67" s="831">
        <v>90700</v>
      </c>
      <c r="B67" s="832" t="s">
        <v>487</v>
      </c>
      <c r="C67" s="1126">
        <v>109841433</v>
      </c>
      <c r="D67" s="1126">
        <v>0</v>
      </c>
      <c r="E67" s="1126">
        <v>88128596</v>
      </c>
      <c r="F67" s="1126">
        <v>0</v>
      </c>
      <c r="H67" s="831" t="b">
        <f t="shared" si="3"/>
        <v>1</v>
      </c>
      <c r="I67" s="854" t="s">
        <v>487</v>
      </c>
      <c r="J67" s="855">
        <v>123096030</v>
      </c>
      <c r="K67" s="855"/>
    </row>
    <row r="68" spans="1:13">
      <c r="A68" s="831">
        <v>91000</v>
      </c>
      <c r="B68" s="832" t="s">
        <v>488</v>
      </c>
      <c r="C68" s="1126">
        <v>37603839</v>
      </c>
      <c r="D68" s="1126">
        <v>0</v>
      </c>
      <c r="E68" s="1126">
        <v>12280034</v>
      </c>
      <c r="F68" s="1126">
        <v>0</v>
      </c>
      <c r="H68" s="831" t="b">
        <f t="shared" ref="H68" si="4">I68=B68</f>
        <v>1</v>
      </c>
      <c r="I68" s="854" t="s">
        <v>488</v>
      </c>
      <c r="J68" s="855">
        <v>247172</v>
      </c>
      <c r="K68" s="855"/>
    </row>
    <row r="69" spans="1:13">
      <c r="A69" s="831">
        <v>91400</v>
      </c>
      <c r="B69" s="832" t="s">
        <v>752</v>
      </c>
      <c r="C69" s="1126">
        <v>1202135</v>
      </c>
      <c r="D69" s="1126">
        <v>0</v>
      </c>
      <c r="E69" s="1126">
        <v>1054000</v>
      </c>
      <c r="F69" s="1126">
        <v>0</v>
      </c>
      <c r="I69" s="854"/>
      <c r="J69" s="855"/>
      <c r="K69" s="855"/>
    </row>
    <row r="70" spans="1:13">
      <c r="A70" s="831">
        <v>93000</v>
      </c>
      <c r="B70" s="832" t="s">
        <v>489</v>
      </c>
      <c r="C70" s="1126">
        <v>193864</v>
      </c>
      <c r="D70" s="1126">
        <v>0</v>
      </c>
      <c r="E70" s="1126">
        <v>18940376</v>
      </c>
      <c r="F70" s="1126">
        <v>0</v>
      </c>
      <c r="H70" s="831" t="b">
        <f t="shared" ref="H70:H75" si="5">I70=B70</f>
        <v>1</v>
      </c>
      <c r="I70" s="854" t="s">
        <v>489</v>
      </c>
      <c r="J70" s="855">
        <v>30516</v>
      </c>
      <c r="K70" s="855"/>
    </row>
    <row r="71" spans="1:13">
      <c r="B71" s="832" t="s">
        <v>283</v>
      </c>
      <c r="C71" s="1126"/>
      <c r="D71" s="1126">
        <f>SUM(C72:C81)</f>
        <v>266883506</v>
      </c>
      <c r="E71" s="1126"/>
      <c r="F71" s="1126">
        <f>SUM(E72:E81)</f>
        <v>530380121</v>
      </c>
      <c r="H71" s="831" t="b">
        <f t="shared" si="5"/>
        <v>1</v>
      </c>
      <c r="I71" s="854" t="s">
        <v>283</v>
      </c>
      <c r="J71" s="855"/>
      <c r="K71" s="855">
        <v>193408365</v>
      </c>
    </row>
    <row r="72" spans="1:13">
      <c r="A72" s="831">
        <v>93100</v>
      </c>
      <c r="B72" s="832" t="s">
        <v>490</v>
      </c>
      <c r="C72" s="1126">
        <v>89862932</v>
      </c>
      <c r="D72" s="1126">
        <v>0</v>
      </c>
      <c r="E72" s="1126">
        <v>84221312</v>
      </c>
      <c r="F72" s="1126">
        <v>0</v>
      </c>
      <c r="H72" s="831" t="b">
        <f t="shared" si="5"/>
        <v>1</v>
      </c>
      <c r="I72" s="854" t="s">
        <v>490</v>
      </c>
      <c r="J72" s="855">
        <v>121731078</v>
      </c>
      <c r="K72" s="855"/>
      <c r="L72" s="950"/>
      <c r="M72" s="951"/>
    </row>
    <row r="73" spans="1:13">
      <c r="A73" s="831">
        <v>93200</v>
      </c>
      <c r="B73" s="832" t="s">
        <v>491</v>
      </c>
      <c r="C73" s="1126">
        <v>172194962</v>
      </c>
      <c r="D73" s="1126">
        <v>0</v>
      </c>
      <c r="E73" s="1126">
        <v>59911720</v>
      </c>
      <c r="F73" s="1126">
        <v>0</v>
      </c>
      <c r="H73" s="831" t="b">
        <f t="shared" si="5"/>
        <v>1</v>
      </c>
      <c r="I73" s="854" t="s">
        <v>491</v>
      </c>
      <c r="J73" s="855">
        <v>29726741</v>
      </c>
      <c r="K73" s="855"/>
    </row>
    <row r="74" spans="1:13">
      <c r="A74" s="831">
        <v>93300</v>
      </c>
      <c r="B74" s="929" t="s">
        <v>748</v>
      </c>
      <c r="C74" s="1126">
        <v>0</v>
      </c>
      <c r="D74" s="1126">
        <v>0</v>
      </c>
      <c r="E74" s="1126"/>
      <c r="F74" s="1126"/>
      <c r="H74" s="831" t="b">
        <f t="shared" si="5"/>
        <v>1</v>
      </c>
      <c r="I74" s="854" t="s">
        <v>748</v>
      </c>
      <c r="J74" s="855"/>
      <c r="K74" s="855"/>
    </row>
    <row r="75" spans="1:13">
      <c r="A75" s="831">
        <v>93500</v>
      </c>
      <c r="B75" s="832" t="s">
        <v>492</v>
      </c>
      <c r="C75" s="1126">
        <v>0</v>
      </c>
      <c r="D75" s="1126">
        <v>0</v>
      </c>
      <c r="E75" s="1126">
        <v>5037882</v>
      </c>
      <c r="F75" s="1126">
        <v>0</v>
      </c>
      <c r="H75" s="831" t="b">
        <f t="shared" si="5"/>
        <v>1</v>
      </c>
      <c r="I75" s="854" t="s">
        <v>492</v>
      </c>
      <c r="J75" s="855">
        <v>33052322</v>
      </c>
      <c r="K75" s="855"/>
    </row>
    <row r="76" spans="1:13">
      <c r="A76" s="831">
        <v>94900</v>
      </c>
      <c r="B76" s="832" t="s">
        <v>1707</v>
      </c>
      <c r="C76" s="1126">
        <v>0</v>
      </c>
      <c r="D76" s="1126">
        <v>0</v>
      </c>
      <c r="E76" s="1126">
        <v>0</v>
      </c>
      <c r="F76" s="1126">
        <v>0</v>
      </c>
      <c r="I76" s="854"/>
      <c r="J76" s="855"/>
      <c r="K76" s="855"/>
    </row>
    <row r="77" spans="1:13">
      <c r="A77" s="831">
        <v>93600</v>
      </c>
      <c r="B77" s="832" t="s">
        <v>1708</v>
      </c>
      <c r="C77" s="1126">
        <v>4825402</v>
      </c>
      <c r="D77" s="1126">
        <v>0</v>
      </c>
      <c r="E77" s="1126">
        <v>3098042</v>
      </c>
      <c r="F77" s="1126">
        <v>0</v>
      </c>
      <c r="I77" s="924" t="s">
        <v>1928</v>
      </c>
      <c r="J77" s="925">
        <v>8802455</v>
      </c>
      <c r="K77" s="925"/>
    </row>
    <row r="78" spans="1:13">
      <c r="A78" s="831">
        <v>95200</v>
      </c>
      <c r="B78" s="832" t="s">
        <v>493</v>
      </c>
      <c r="C78" s="1126">
        <v>0</v>
      </c>
      <c r="D78" s="1126">
        <v>0</v>
      </c>
      <c r="E78" s="1126">
        <v>361482494</v>
      </c>
      <c r="F78" s="1126">
        <v>0</v>
      </c>
      <c r="I78" s="854"/>
      <c r="J78" s="855"/>
      <c r="K78" s="855"/>
    </row>
    <row r="79" spans="1:13">
      <c r="A79" s="831" t="s">
        <v>1986</v>
      </c>
      <c r="B79" s="1054" t="s">
        <v>2041</v>
      </c>
      <c r="C79" s="1131">
        <v>0</v>
      </c>
      <c r="D79" s="1131">
        <v>0</v>
      </c>
      <c r="E79" s="1131">
        <v>16566501</v>
      </c>
      <c r="F79" s="1131">
        <v>0</v>
      </c>
      <c r="I79" s="1056"/>
      <c r="J79" s="1057"/>
      <c r="K79" s="1057"/>
    </row>
    <row r="80" spans="1:13">
      <c r="A80" s="831">
        <v>95300</v>
      </c>
      <c r="B80" s="832" t="s">
        <v>1709</v>
      </c>
      <c r="C80" s="1126"/>
      <c r="D80" s="1126"/>
      <c r="E80" s="1126"/>
      <c r="F80" s="1126"/>
      <c r="I80" s="924"/>
      <c r="J80" s="925"/>
      <c r="K80" s="925"/>
    </row>
    <row r="81" spans="1:11">
      <c r="A81" s="831">
        <v>96000</v>
      </c>
      <c r="B81" s="832" t="s">
        <v>494</v>
      </c>
      <c r="C81" s="1126">
        <v>210</v>
      </c>
      <c r="D81" s="1126">
        <v>0</v>
      </c>
      <c r="E81" s="1126">
        <v>62170</v>
      </c>
      <c r="F81" s="1126">
        <v>0</v>
      </c>
      <c r="H81" s="831" t="b">
        <f t="shared" ref="H81" si="6">I81=B81</f>
        <v>1</v>
      </c>
      <c r="I81" s="854" t="s">
        <v>494</v>
      </c>
      <c r="J81" s="855">
        <v>95769</v>
      </c>
      <c r="K81" s="855"/>
    </row>
    <row r="82" spans="1:11">
      <c r="B82" s="832" t="s">
        <v>621</v>
      </c>
      <c r="C82" s="1126"/>
      <c r="D82" s="1126">
        <f>D63+D64-D71</f>
        <v>-779757791</v>
      </c>
      <c r="E82" s="1126"/>
      <c r="F82" s="1126">
        <f>F63+F64-F71</f>
        <v>778687209</v>
      </c>
      <c r="I82" s="854" t="s">
        <v>621</v>
      </c>
      <c r="J82" s="855">
        <v>0</v>
      </c>
      <c r="K82" s="855">
        <v>1621032506</v>
      </c>
    </row>
    <row r="83" spans="1:11">
      <c r="B83" s="832" t="s">
        <v>284</v>
      </c>
      <c r="C83" s="1126"/>
      <c r="D83" s="1126">
        <f>C84</f>
        <v>0</v>
      </c>
      <c r="E83" s="1126"/>
      <c r="F83" s="1126">
        <f>E84</f>
        <v>-177150683</v>
      </c>
      <c r="I83" s="854" t="s">
        <v>284</v>
      </c>
      <c r="J83" s="855">
        <v>0</v>
      </c>
      <c r="K83" s="855">
        <v>0</v>
      </c>
    </row>
    <row r="84" spans="1:11">
      <c r="A84" s="831">
        <v>99800</v>
      </c>
      <c r="B84" s="832" t="s">
        <v>495</v>
      </c>
      <c r="C84" s="1126">
        <v>0</v>
      </c>
      <c r="D84" s="1126">
        <v>0</v>
      </c>
      <c r="E84" s="1126">
        <v>-177150683</v>
      </c>
      <c r="F84" s="1126">
        <v>0</v>
      </c>
      <c r="I84" s="854" t="s">
        <v>495</v>
      </c>
      <c r="J84" s="855">
        <v>0</v>
      </c>
      <c r="K84" s="855">
        <v>0</v>
      </c>
    </row>
    <row r="85" spans="1:11">
      <c r="B85" s="832" t="s">
        <v>622</v>
      </c>
      <c r="C85" s="1126"/>
      <c r="D85" s="1126">
        <f>D82-D83</f>
        <v>-779757791</v>
      </c>
      <c r="E85" s="1126"/>
      <c r="F85" s="1126">
        <f>F82-F83</f>
        <v>955837892</v>
      </c>
      <c r="I85" s="854" t="s">
        <v>622</v>
      </c>
      <c r="J85" s="855">
        <v>0</v>
      </c>
      <c r="K85" s="855">
        <v>1621032506</v>
      </c>
    </row>
    <row r="86" spans="1:11">
      <c r="I86" s="854" t="s">
        <v>1726</v>
      </c>
      <c r="J86" s="855">
        <v>0</v>
      </c>
      <c r="K86" s="855">
        <v>0</v>
      </c>
    </row>
    <row r="87" spans="1:11">
      <c r="I87" s="854" t="s">
        <v>1727</v>
      </c>
      <c r="J87" s="855">
        <v>0</v>
      </c>
      <c r="K87" s="855">
        <v>0</v>
      </c>
    </row>
    <row r="88" spans="1:11">
      <c r="I88" s="854" t="s">
        <v>1728</v>
      </c>
      <c r="J88" s="855">
        <v>0</v>
      </c>
      <c r="K88" s="855">
        <v>0</v>
      </c>
    </row>
  </sheetData>
  <mergeCells count="5">
    <mergeCell ref="I3:I4"/>
    <mergeCell ref="B3:B4"/>
    <mergeCell ref="E3:F3"/>
    <mergeCell ref="E4:F4"/>
    <mergeCell ref="C3:D3"/>
  </mergeCells>
  <phoneticPr fontId="232"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5">
    <tabColor theme="9" tint="0.79998168889431442"/>
  </sheetPr>
  <dimension ref="A1:K56"/>
  <sheetViews>
    <sheetView showGridLines="0" topLeftCell="A7" zoomScaleNormal="100" workbookViewId="0">
      <selection activeCell="C13" sqref="C13"/>
    </sheetView>
  </sheetViews>
  <sheetFormatPr defaultColWidth="11.5" defaultRowHeight="15"/>
  <cols>
    <col min="1" max="1" width="11.5" style="831"/>
    <col min="2" max="2" width="26.140625" style="831" customWidth="1"/>
    <col min="3" max="6" width="17.5" style="831" customWidth="1"/>
    <col min="7" max="8" width="11.5" style="831"/>
    <col min="9" max="9" width="29.35546875" style="831" bestFit="1" customWidth="1"/>
    <col min="10" max="255" width="11.5" style="831"/>
    <col min="256" max="256" width="26.140625" style="831" customWidth="1"/>
    <col min="257" max="260" width="17.5" style="831" customWidth="1"/>
    <col min="261" max="511" width="11.5" style="831"/>
    <col min="512" max="512" width="26.140625" style="831" customWidth="1"/>
    <col min="513" max="516" width="17.5" style="831" customWidth="1"/>
    <col min="517" max="767" width="11.5" style="831"/>
    <col min="768" max="768" width="26.140625" style="831" customWidth="1"/>
    <col min="769" max="772" width="17.5" style="831" customWidth="1"/>
    <col min="773" max="1023" width="11.5" style="831"/>
    <col min="1024" max="1024" width="26.140625" style="831" customWidth="1"/>
    <col min="1025" max="1028" width="17.5" style="831" customWidth="1"/>
    <col min="1029" max="1279" width="11.5" style="831"/>
    <col min="1280" max="1280" width="26.140625" style="831" customWidth="1"/>
    <col min="1281" max="1284" width="17.5" style="831" customWidth="1"/>
    <col min="1285" max="1535" width="11.5" style="831"/>
    <col min="1536" max="1536" width="26.140625" style="831" customWidth="1"/>
    <col min="1537" max="1540" width="17.5" style="831" customWidth="1"/>
    <col min="1541" max="1791" width="11.5" style="831"/>
    <col min="1792" max="1792" width="26.140625" style="831" customWidth="1"/>
    <col min="1793" max="1796" width="17.5" style="831" customWidth="1"/>
    <col min="1797" max="2047" width="11.5" style="831"/>
    <col min="2048" max="2048" width="26.140625" style="831" customWidth="1"/>
    <col min="2049" max="2052" width="17.5" style="831" customWidth="1"/>
    <col min="2053" max="2303" width="11.5" style="831"/>
    <col min="2304" max="2304" width="26.140625" style="831" customWidth="1"/>
    <col min="2305" max="2308" width="17.5" style="831" customWidth="1"/>
    <col min="2309" max="2559" width="11.5" style="831"/>
    <col min="2560" max="2560" width="26.140625" style="831" customWidth="1"/>
    <col min="2561" max="2564" width="17.5" style="831" customWidth="1"/>
    <col min="2565" max="2815" width="11.5" style="831"/>
    <col min="2816" max="2816" width="26.140625" style="831" customWidth="1"/>
    <col min="2817" max="2820" width="17.5" style="831" customWidth="1"/>
    <col min="2821" max="3071" width="11.5" style="831"/>
    <col min="3072" max="3072" width="26.140625" style="831" customWidth="1"/>
    <col min="3073" max="3076" width="17.5" style="831" customWidth="1"/>
    <col min="3077" max="3327" width="11.5" style="831"/>
    <col min="3328" max="3328" width="26.140625" style="831" customWidth="1"/>
    <col min="3329" max="3332" width="17.5" style="831" customWidth="1"/>
    <col min="3333" max="3583" width="11.5" style="831"/>
    <col min="3584" max="3584" width="26.140625" style="831" customWidth="1"/>
    <col min="3585" max="3588" width="17.5" style="831" customWidth="1"/>
    <col min="3589" max="3839" width="11.5" style="831"/>
    <col min="3840" max="3840" width="26.140625" style="831" customWidth="1"/>
    <col min="3841" max="3844" width="17.5" style="831" customWidth="1"/>
    <col min="3845" max="4095" width="11.5" style="831"/>
    <col min="4096" max="4096" width="26.140625" style="831" customWidth="1"/>
    <col min="4097" max="4100" width="17.5" style="831" customWidth="1"/>
    <col min="4101" max="4351" width="11.5" style="831"/>
    <col min="4352" max="4352" width="26.140625" style="831" customWidth="1"/>
    <col min="4353" max="4356" width="17.5" style="831" customWidth="1"/>
    <col min="4357" max="4607" width="11.5" style="831"/>
    <col min="4608" max="4608" width="26.140625" style="831" customWidth="1"/>
    <col min="4609" max="4612" width="17.5" style="831" customWidth="1"/>
    <col min="4613" max="4863" width="11.5" style="831"/>
    <col min="4864" max="4864" width="26.140625" style="831" customWidth="1"/>
    <col min="4865" max="4868" width="17.5" style="831" customWidth="1"/>
    <col min="4869" max="5119" width="11.5" style="831"/>
    <col min="5120" max="5120" width="26.140625" style="831" customWidth="1"/>
    <col min="5121" max="5124" width="17.5" style="831" customWidth="1"/>
    <col min="5125" max="5375" width="11.5" style="831"/>
    <col min="5376" max="5376" width="26.140625" style="831" customWidth="1"/>
    <col min="5377" max="5380" width="17.5" style="831" customWidth="1"/>
    <col min="5381" max="5631" width="11.5" style="831"/>
    <col min="5632" max="5632" width="26.140625" style="831" customWidth="1"/>
    <col min="5633" max="5636" width="17.5" style="831" customWidth="1"/>
    <col min="5637" max="5887" width="11.5" style="831"/>
    <col min="5888" max="5888" width="26.140625" style="831" customWidth="1"/>
    <col min="5889" max="5892" width="17.5" style="831" customWidth="1"/>
    <col min="5893" max="6143" width="11.5" style="831"/>
    <col min="6144" max="6144" width="26.140625" style="831" customWidth="1"/>
    <col min="6145" max="6148" width="17.5" style="831" customWidth="1"/>
    <col min="6149" max="6399" width="11.5" style="831"/>
    <col min="6400" max="6400" width="26.140625" style="831" customWidth="1"/>
    <col min="6401" max="6404" width="17.5" style="831" customWidth="1"/>
    <col min="6405" max="6655" width="11.5" style="831"/>
    <col min="6656" max="6656" width="26.140625" style="831" customWidth="1"/>
    <col min="6657" max="6660" width="17.5" style="831" customWidth="1"/>
    <col min="6661" max="6911" width="11.5" style="831"/>
    <col min="6912" max="6912" width="26.140625" style="831" customWidth="1"/>
    <col min="6913" max="6916" width="17.5" style="831" customWidth="1"/>
    <col min="6917" max="7167" width="11.5" style="831"/>
    <col min="7168" max="7168" width="26.140625" style="831" customWidth="1"/>
    <col min="7169" max="7172" width="17.5" style="831" customWidth="1"/>
    <col min="7173" max="7423" width="11.5" style="831"/>
    <col min="7424" max="7424" width="26.140625" style="831" customWidth="1"/>
    <col min="7425" max="7428" width="17.5" style="831" customWidth="1"/>
    <col min="7429" max="7679" width="11.5" style="831"/>
    <col min="7680" max="7680" width="26.140625" style="831" customWidth="1"/>
    <col min="7681" max="7684" width="17.5" style="831" customWidth="1"/>
    <col min="7685" max="7935" width="11.5" style="831"/>
    <col min="7936" max="7936" width="26.140625" style="831" customWidth="1"/>
    <col min="7937" max="7940" width="17.5" style="831" customWidth="1"/>
    <col min="7941" max="8191" width="11.5" style="831"/>
    <col min="8192" max="8192" width="26.140625" style="831" customWidth="1"/>
    <col min="8193" max="8196" width="17.5" style="831" customWidth="1"/>
    <col min="8197" max="8447" width="11.5" style="831"/>
    <col min="8448" max="8448" width="26.140625" style="831" customWidth="1"/>
    <col min="8449" max="8452" width="17.5" style="831" customWidth="1"/>
    <col min="8453" max="8703" width="11.5" style="831"/>
    <col min="8704" max="8704" width="26.140625" style="831" customWidth="1"/>
    <col min="8705" max="8708" width="17.5" style="831" customWidth="1"/>
    <col min="8709" max="8959" width="11.5" style="831"/>
    <col min="8960" max="8960" width="26.140625" style="831" customWidth="1"/>
    <col min="8961" max="8964" width="17.5" style="831" customWidth="1"/>
    <col min="8965" max="9215" width="11.5" style="831"/>
    <col min="9216" max="9216" width="26.140625" style="831" customWidth="1"/>
    <col min="9217" max="9220" width="17.5" style="831" customWidth="1"/>
    <col min="9221" max="9471" width="11.5" style="831"/>
    <col min="9472" max="9472" width="26.140625" style="831" customWidth="1"/>
    <col min="9473" max="9476" width="17.5" style="831" customWidth="1"/>
    <col min="9477" max="9727" width="11.5" style="831"/>
    <col min="9728" max="9728" width="26.140625" style="831" customWidth="1"/>
    <col min="9729" max="9732" width="17.5" style="831" customWidth="1"/>
    <col min="9733" max="9983" width="11.5" style="831"/>
    <col min="9984" max="9984" width="26.140625" style="831" customWidth="1"/>
    <col min="9985" max="9988" width="17.5" style="831" customWidth="1"/>
    <col min="9989" max="10239" width="11.5" style="831"/>
    <col min="10240" max="10240" width="26.140625" style="831" customWidth="1"/>
    <col min="10241" max="10244" width="17.5" style="831" customWidth="1"/>
    <col min="10245" max="10495" width="11.5" style="831"/>
    <col min="10496" max="10496" width="26.140625" style="831" customWidth="1"/>
    <col min="10497" max="10500" width="17.5" style="831" customWidth="1"/>
    <col min="10501" max="10751" width="11.5" style="831"/>
    <col min="10752" max="10752" width="26.140625" style="831" customWidth="1"/>
    <col min="10753" max="10756" width="17.5" style="831" customWidth="1"/>
    <col min="10757" max="11007" width="11.5" style="831"/>
    <col min="11008" max="11008" width="26.140625" style="831" customWidth="1"/>
    <col min="11009" max="11012" width="17.5" style="831" customWidth="1"/>
    <col min="11013" max="11263" width="11.5" style="831"/>
    <col min="11264" max="11264" width="26.140625" style="831" customWidth="1"/>
    <col min="11265" max="11268" width="17.5" style="831" customWidth="1"/>
    <col min="11269" max="11519" width="11.5" style="831"/>
    <col min="11520" max="11520" width="26.140625" style="831" customWidth="1"/>
    <col min="11521" max="11524" width="17.5" style="831" customWidth="1"/>
    <col min="11525" max="11775" width="11.5" style="831"/>
    <col min="11776" max="11776" width="26.140625" style="831" customWidth="1"/>
    <col min="11777" max="11780" width="17.5" style="831" customWidth="1"/>
    <col min="11781" max="12031" width="11.5" style="831"/>
    <col min="12032" max="12032" width="26.140625" style="831" customWidth="1"/>
    <col min="12033" max="12036" width="17.5" style="831" customWidth="1"/>
    <col min="12037" max="12287" width="11.5" style="831"/>
    <col min="12288" max="12288" width="26.140625" style="831" customWidth="1"/>
    <col min="12289" max="12292" width="17.5" style="831" customWidth="1"/>
    <col min="12293" max="12543" width="11.5" style="831"/>
    <col min="12544" max="12544" width="26.140625" style="831" customWidth="1"/>
    <col min="12545" max="12548" width="17.5" style="831" customWidth="1"/>
    <col min="12549" max="12799" width="11.5" style="831"/>
    <col min="12800" max="12800" width="26.140625" style="831" customWidth="1"/>
    <col min="12801" max="12804" width="17.5" style="831" customWidth="1"/>
    <col min="12805" max="13055" width="11.5" style="831"/>
    <col min="13056" max="13056" width="26.140625" style="831" customWidth="1"/>
    <col min="13057" max="13060" width="17.5" style="831" customWidth="1"/>
    <col min="13061" max="13311" width="11.5" style="831"/>
    <col min="13312" max="13312" width="26.140625" style="831" customWidth="1"/>
    <col min="13313" max="13316" width="17.5" style="831" customWidth="1"/>
    <col min="13317" max="13567" width="11.5" style="831"/>
    <col min="13568" max="13568" width="26.140625" style="831" customWidth="1"/>
    <col min="13569" max="13572" width="17.5" style="831" customWidth="1"/>
    <col min="13573" max="13823" width="11.5" style="831"/>
    <col min="13824" max="13824" width="26.140625" style="831" customWidth="1"/>
    <col min="13825" max="13828" width="17.5" style="831" customWidth="1"/>
    <col min="13829" max="14079" width="11.5" style="831"/>
    <col min="14080" max="14080" width="26.140625" style="831" customWidth="1"/>
    <col min="14081" max="14084" width="17.5" style="831" customWidth="1"/>
    <col min="14085" max="14335" width="11.5" style="831"/>
    <col min="14336" max="14336" width="26.140625" style="831" customWidth="1"/>
    <col min="14337" max="14340" width="17.5" style="831" customWidth="1"/>
    <col min="14341" max="14591" width="11.5" style="831"/>
    <col min="14592" max="14592" width="26.140625" style="831" customWidth="1"/>
    <col min="14593" max="14596" width="17.5" style="831" customWidth="1"/>
    <col min="14597" max="14847" width="11.5" style="831"/>
    <col min="14848" max="14848" width="26.140625" style="831" customWidth="1"/>
    <col min="14849" max="14852" width="17.5" style="831" customWidth="1"/>
    <col min="14853" max="15103" width="11.5" style="831"/>
    <col min="15104" max="15104" width="26.140625" style="831" customWidth="1"/>
    <col min="15105" max="15108" width="17.5" style="831" customWidth="1"/>
    <col min="15109" max="15359" width="11.5" style="831"/>
    <col min="15360" max="15360" width="26.140625" style="831" customWidth="1"/>
    <col min="15361" max="15364" width="17.5" style="831" customWidth="1"/>
    <col min="15365" max="15615" width="11.5" style="831"/>
    <col min="15616" max="15616" width="26.140625" style="831" customWidth="1"/>
    <col min="15617" max="15620" width="17.5" style="831" customWidth="1"/>
    <col min="15621" max="15871" width="11.5" style="831"/>
    <col min="15872" max="15872" width="26.140625" style="831" customWidth="1"/>
    <col min="15873" max="15876" width="17.5" style="831" customWidth="1"/>
    <col min="15877" max="16127" width="11.5" style="831"/>
    <col min="16128" max="16128" width="26.140625" style="831" customWidth="1"/>
    <col min="16129" max="16132" width="17.5" style="831" customWidth="1"/>
    <col min="16133" max="16384" width="11.5" style="831"/>
  </cols>
  <sheetData>
    <row r="1" spans="1:11">
      <c r="A1" s="846" t="str">
        <f>제시PL!A1</f>
        <v>26_2Q_재무제표</v>
      </c>
    </row>
    <row r="2" spans="1:11">
      <c r="I2" s="831" t="s">
        <v>1929</v>
      </c>
    </row>
    <row r="3" spans="1:11" ht="18.75" customHeight="1">
      <c r="B3" s="1330" t="s">
        <v>1692</v>
      </c>
      <c r="C3" s="1330" t="s">
        <v>2038</v>
      </c>
      <c r="D3" s="1330" t="s">
        <v>1693</v>
      </c>
      <c r="E3" s="1330" t="s">
        <v>2039</v>
      </c>
      <c r="F3" s="1330" t="s">
        <v>1694</v>
      </c>
      <c r="I3" s="1331" t="s">
        <v>1692</v>
      </c>
      <c r="J3" s="859" t="s">
        <v>1135</v>
      </c>
      <c r="K3" s="859" t="s">
        <v>1135</v>
      </c>
    </row>
    <row r="4" spans="1:11" ht="18.75" customHeight="1">
      <c r="B4" s="1330" t="s">
        <v>1692</v>
      </c>
      <c r="C4" s="850" t="s">
        <v>165</v>
      </c>
      <c r="D4" s="850" t="s">
        <v>165</v>
      </c>
      <c r="E4" s="850" t="s">
        <v>165</v>
      </c>
      <c r="F4" s="850" t="s">
        <v>165</v>
      </c>
      <c r="I4" s="1331" t="s">
        <v>1692</v>
      </c>
      <c r="J4" s="859" t="s">
        <v>165</v>
      </c>
      <c r="K4" s="859" t="s">
        <v>165</v>
      </c>
    </row>
    <row r="5" spans="1:11">
      <c r="B5" s="832" t="s">
        <v>166</v>
      </c>
      <c r="C5" s="847" t="s">
        <v>1111</v>
      </c>
      <c r="D5" s="847">
        <v>1269271841</v>
      </c>
      <c r="E5" s="847" t="s">
        <v>1111</v>
      </c>
      <c r="F5" s="847">
        <v>3174427725</v>
      </c>
      <c r="I5" s="857" t="s">
        <v>166</v>
      </c>
      <c r="J5" s="858">
        <v>0</v>
      </c>
      <c r="K5" s="858">
        <v>2664836596</v>
      </c>
    </row>
    <row r="6" spans="1:11">
      <c r="A6" s="831">
        <v>50100</v>
      </c>
      <c r="B6" s="832" t="s">
        <v>1356</v>
      </c>
      <c r="C6" s="847" t="s">
        <v>1111</v>
      </c>
      <c r="D6" s="847">
        <v>1269271841</v>
      </c>
      <c r="E6" s="847" t="s">
        <v>1111</v>
      </c>
      <c r="F6" s="847">
        <v>3174427725</v>
      </c>
      <c r="H6" s="831" t="b">
        <f>I6=B6</f>
        <v>1</v>
      </c>
      <c r="I6" s="857" t="s">
        <v>1356</v>
      </c>
      <c r="J6" s="858">
        <v>0</v>
      </c>
      <c r="K6" s="858">
        <v>2664836596</v>
      </c>
    </row>
    <row r="7" spans="1:11">
      <c r="A7" s="831">
        <v>14900</v>
      </c>
      <c r="B7" s="832" t="s">
        <v>1357</v>
      </c>
      <c r="C7" s="847">
        <v>354984836</v>
      </c>
      <c r="D7" s="847" t="s">
        <v>1111</v>
      </c>
      <c r="E7" s="847">
        <v>384811784</v>
      </c>
      <c r="F7" s="847" t="s">
        <v>1111</v>
      </c>
      <c r="H7" s="831" t="b">
        <f t="shared" ref="H7:H14" si="0">I7=B7</f>
        <v>1</v>
      </c>
      <c r="I7" s="857" t="s">
        <v>1357</v>
      </c>
      <c r="J7" s="858">
        <v>370430844</v>
      </c>
      <c r="K7" s="858">
        <v>0</v>
      </c>
    </row>
    <row r="8" spans="1:11">
      <c r="A8" s="831">
        <v>14900</v>
      </c>
      <c r="B8" s="832" t="s">
        <v>1358</v>
      </c>
      <c r="C8" s="847">
        <v>1394047472</v>
      </c>
      <c r="D8" s="847" t="s">
        <v>1111</v>
      </c>
      <c r="E8" s="847">
        <v>3284522310</v>
      </c>
      <c r="F8" s="847" t="s">
        <v>1111</v>
      </c>
      <c r="H8" s="831" t="b">
        <f t="shared" si="0"/>
        <v>1</v>
      </c>
      <c r="I8" s="857" t="s">
        <v>1358</v>
      </c>
      <c r="J8" s="858">
        <v>2679386830</v>
      </c>
      <c r="K8" s="858">
        <v>0</v>
      </c>
    </row>
    <row r="9" spans="1:11">
      <c r="A9" s="831">
        <v>14900</v>
      </c>
      <c r="B9" s="832" t="s">
        <v>1359</v>
      </c>
      <c r="C9" s="847">
        <v>189114028</v>
      </c>
      <c r="D9" s="847" t="s">
        <v>1111</v>
      </c>
      <c r="E9" s="847">
        <v>9128857</v>
      </c>
      <c r="F9" s="847" t="s">
        <v>1111</v>
      </c>
      <c r="H9" s="831" t="b">
        <f t="shared" si="0"/>
        <v>1</v>
      </c>
      <c r="I9" s="857" t="s">
        <v>1359</v>
      </c>
      <c r="J9" s="858">
        <v>4018258</v>
      </c>
      <c r="K9" s="858">
        <v>0</v>
      </c>
    </row>
    <row r="10" spans="1:11">
      <c r="A10" s="831">
        <v>14900</v>
      </c>
      <c r="B10" s="832" t="s">
        <v>1360</v>
      </c>
      <c r="C10" s="847">
        <v>214240828</v>
      </c>
      <c r="D10" s="847" t="s">
        <v>1111</v>
      </c>
      <c r="E10" s="847">
        <v>149321066</v>
      </c>
      <c r="F10" s="847" t="s">
        <v>1111</v>
      </c>
      <c r="H10" s="831" t="b">
        <f t="shared" si="0"/>
        <v>1</v>
      </c>
      <c r="I10" s="857" t="s">
        <v>1360</v>
      </c>
      <c r="J10" s="858">
        <v>66343477</v>
      </c>
      <c r="K10" s="858">
        <v>0</v>
      </c>
    </row>
    <row r="11" spans="1:11">
      <c r="A11" s="831">
        <v>14900</v>
      </c>
      <c r="B11" s="832" t="s">
        <v>1361</v>
      </c>
      <c r="C11" s="847">
        <v>10217848</v>
      </c>
      <c r="D11" s="847" t="s">
        <v>1111</v>
      </c>
      <c r="E11" s="847">
        <v>4694588</v>
      </c>
      <c r="F11" s="847" t="s">
        <v>1111</v>
      </c>
      <c r="H11" s="831" t="b">
        <f t="shared" si="0"/>
        <v>1</v>
      </c>
      <c r="I11" s="857" t="s">
        <v>1361</v>
      </c>
      <c r="J11" s="858">
        <v>18081579</v>
      </c>
      <c r="K11" s="858">
        <v>0</v>
      </c>
    </row>
    <row r="12" spans="1:11">
      <c r="A12" s="831">
        <v>14900</v>
      </c>
      <c r="B12" s="832" t="s">
        <v>1362</v>
      </c>
      <c r="C12" s="847">
        <v>0</v>
      </c>
      <c r="D12" s="847" t="s">
        <v>1111</v>
      </c>
      <c r="E12" s="847">
        <v>4423912</v>
      </c>
      <c r="F12" s="847" t="s">
        <v>1111</v>
      </c>
      <c r="H12" s="831" t="b">
        <f t="shared" si="0"/>
        <v>1</v>
      </c>
      <c r="I12" s="857" t="s">
        <v>1362</v>
      </c>
      <c r="J12" s="858">
        <v>0</v>
      </c>
      <c r="K12" s="858">
        <v>0</v>
      </c>
    </row>
    <row r="13" spans="1:11">
      <c r="A13" s="831">
        <v>14900</v>
      </c>
      <c r="B13" s="832" t="s">
        <v>1363</v>
      </c>
      <c r="C13" s="847">
        <v>464851515</v>
      </c>
      <c r="D13" s="847" t="s">
        <v>1111</v>
      </c>
      <c r="E13" s="847">
        <v>354984836</v>
      </c>
      <c r="F13" s="847" t="s">
        <v>1111</v>
      </c>
      <c r="H13" s="831" t="b">
        <f t="shared" si="0"/>
        <v>1</v>
      </c>
      <c r="I13" s="857" t="s">
        <v>1363</v>
      </c>
      <c r="J13" s="858">
        <v>340737438</v>
      </c>
      <c r="K13" s="858">
        <v>0</v>
      </c>
    </row>
    <row r="14" spans="1:11">
      <c r="B14" s="832" t="s">
        <v>167</v>
      </c>
      <c r="C14" s="847" t="s">
        <v>1111</v>
      </c>
      <c r="D14" s="847">
        <v>41376041</v>
      </c>
      <c r="E14" s="847" t="s">
        <v>1111</v>
      </c>
      <c r="F14" s="847">
        <v>53916184</v>
      </c>
      <c r="H14" s="831" t="b">
        <f t="shared" si="0"/>
        <v>1</v>
      </c>
      <c r="I14" s="857" t="s">
        <v>167</v>
      </c>
      <c r="J14" s="858">
        <v>0</v>
      </c>
      <c r="K14" s="858">
        <v>42933596</v>
      </c>
    </row>
    <row r="15" spans="1:11">
      <c r="A15" s="831">
        <v>50200</v>
      </c>
      <c r="B15" s="832" t="s">
        <v>1364</v>
      </c>
      <c r="C15" s="847" t="s">
        <v>1111</v>
      </c>
      <c r="D15" s="847">
        <v>41376041</v>
      </c>
      <c r="E15" s="847" t="s">
        <v>1111</v>
      </c>
      <c r="F15" s="847">
        <v>53916184</v>
      </c>
      <c r="I15" s="857" t="s">
        <v>1364</v>
      </c>
      <c r="J15" s="858">
        <v>0</v>
      </c>
      <c r="K15" s="858">
        <v>42933596</v>
      </c>
    </row>
    <row r="16" spans="1:11">
      <c r="A16" s="831">
        <v>15200</v>
      </c>
      <c r="B16" s="832" t="s">
        <v>1365</v>
      </c>
      <c r="C16" s="847">
        <v>49267189</v>
      </c>
      <c r="D16" s="847" t="s">
        <v>1111</v>
      </c>
      <c r="E16" s="847">
        <v>29982360</v>
      </c>
      <c r="F16" s="847" t="s">
        <v>1111</v>
      </c>
      <c r="I16" s="857" t="s">
        <v>1365</v>
      </c>
      <c r="J16" s="858">
        <v>0</v>
      </c>
      <c r="K16" s="858">
        <v>0</v>
      </c>
    </row>
    <row r="17" spans="1:11">
      <c r="A17" s="831">
        <v>15200</v>
      </c>
      <c r="B17" s="832" t="s">
        <v>1366</v>
      </c>
      <c r="C17" s="847">
        <v>36192605</v>
      </c>
      <c r="D17" s="847" t="s">
        <v>1111</v>
      </c>
      <c r="E17" s="847">
        <v>88176904</v>
      </c>
      <c r="F17" s="847" t="s">
        <v>1111</v>
      </c>
      <c r="I17" s="857" t="s">
        <v>1366</v>
      </c>
      <c r="J17" s="858">
        <v>95653311</v>
      </c>
      <c r="K17" s="858">
        <v>0</v>
      </c>
    </row>
    <row r="18" spans="1:11">
      <c r="A18" s="831">
        <v>15200</v>
      </c>
      <c r="B18" s="832" t="s">
        <v>1367</v>
      </c>
      <c r="C18" s="847">
        <v>13918317</v>
      </c>
      <c r="D18" s="847" t="s">
        <v>1111</v>
      </c>
      <c r="E18" s="847">
        <v>15574243</v>
      </c>
      <c r="F18" s="847" t="s">
        <v>1111</v>
      </c>
      <c r="I18" s="857" t="s">
        <v>1367</v>
      </c>
      <c r="J18" s="858">
        <v>14990724</v>
      </c>
      <c r="K18" s="858">
        <v>0</v>
      </c>
    </row>
    <row r="19" spans="1:11">
      <c r="A19" s="831">
        <v>15200</v>
      </c>
      <c r="B19" s="832" t="s">
        <v>1368</v>
      </c>
      <c r="C19" s="847">
        <v>18239636</v>
      </c>
      <c r="D19" s="847" t="s">
        <v>1111</v>
      </c>
      <c r="E19" s="847">
        <v>1897177</v>
      </c>
      <c r="F19" s="847" t="s">
        <v>1111</v>
      </c>
      <c r="I19" s="857" t="s">
        <v>1368</v>
      </c>
      <c r="J19" s="858">
        <v>13789649</v>
      </c>
      <c r="K19" s="858">
        <v>0</v>
      </c>
    </row>
    <row r="20" spans="1:11">
      <c r="A20" s="831">
        <v>15200</v>
      </c>
      <c r="B20" s="1054" t="s">
        <v>1962</v>
      </c>
      <c r="C20" s="1055">
        <v>0</v>
      </c>
      <c r="D20" s="1055" t="s">
        <v>1111</v>
      </c>
      <c r="E20" s="1055">
        <v>1298825</v>
      </c>
      <c r="F20" s="1055" t="s">
        <v>1111</v>
      </c>
      <c r="I20" s="1044"/>
      <c r="J20" s="1058"/>
      <c r="K20" s="1058"/>
    </row>
    <row r="21" spans="1:11">
      <c r="A21" s="831">
        <v>15200</v>
      </c>
      <c r="B21" s="832" t="s">
        <v>1369</v>
      </c>
      <c r="C21" s="847">
        <v>48405072</v>
      </c>
      <c r="D21" s="847" t="s">
        <v>1111</v>
      </c>
      <c r="E21" s="847">
        <v>49267189</v>
      </c>
      <c r="F21" s="847" t="s">
        <v>1111</v>
      </c>
      <c r="I21" s="857" t="s">
        <v>1369</v>
      </c>
      <c r="J21" s="858">
        <v>51518640</v>
      </c>
      <c r="K21" s="858">
        <v>0</v>
      </c>
    </row>
    <row r="22" spans="1:11">
      <c r="B22" s="832" t="s">
        <v>168</v>
      </c>
      <c r="C22" s="847" t="s">
        <v>1111</v>
      </c>
      <c r="D22" s="847">
        <v>895653615</v>
      </c>
      <c r="E22" s="847" t="s">
        <v>1111</v>
      </c>
      <c r="F22" s="847">
        <v>1657944938</v>
      </c>
      <c r="H22" s="831" t="b">
        <f t="shared" ref="H22:H55" si="1">I22=B22</f>
        <v>1</v>
      </c>
      <c r="I22" s="857" t="s">
        <v>168</v>
      </c>
      <c r="J22" s="858">
        <v>0</v>
      </c>
      <c r="K22" s="858">
        <v>960575691</v>
      </c>
    </row>
    <row r="23" spans="1:11">
      <c r="A23" s="831">
        <v>50300</v>
      </c>
      <c r="B23" s="832" t="s">
        <v>1370</v>
      </c>
      <c r="C23" s="847">
        <v>821715965</v>
      </c>
      <c r="D23" s="847" t="s">
        <v>1111</v>
      </c>
      <c r="E23" s="847">
        <v>1533181686</v>
      </c>
      <c r="F23" s="847" t="s">
        <v>1111</v>
      </c>
      <c r="H23" s="831" t="b">
        <f t="shared" si="1"/>
        <v>1</v>
      </c>
      <c r="I23" s="857" t="s">
        <v>1370</v>
      </c>
      <c r="J23" s="858">
        <v>880409757</v>
      </c>
      <c r="K23" s="858">
        <v>0</v>
      </c>
    </row>
    <row r="24" spans="1:11">
      <c r="A24" s="831">
        <v>50500</v>
      </c>
      <c r="B24" s="832" t="s">
        <v>1371</v>
      </c>
      <c r="C24" s="847">
        <v>11650000</v>
      </c>
      <c r="D24" s="847" t="s">
        <v>1111</v>
      </c>
      <c r="E24" s="847" t="s">
        <v>1111</v>
      </c>
      <c r="F24" s="847" t="s">
        <v>1111</v>
      </c>
      <c r="H24" s="831" t="b">
        <f t="shared" si="1"/>
        <v>1</v>
      </c>
      <c r="I24" s="857" t="s">
        <v>1371</v>
      </c>
      <c r="J24" s="858">
        <v>7750000</v>
      </c>
      <c r="K24" s="858">
        <v>0</v>
      </c>
    </row>
    <row r="25" spans="1:11">
      <c r="A25" s="831">
        <v>51000</v>
      </c>
      <c r="B25" s="832" t="s">
        <v>1372</v>
      </c>
      <c r="C25" s="847">
        <v>60130770</v>
      </c>
      <c r="D25" s="847" t="s">
        <v>1111</v>
      </c>
      <c r="E25" s="847">
        <v>124763252</v>
      </c>
      <c r="F25" s="847" t="s">
        <v>1111</v>
      </c>
      <c r="H25" s="831" t="b">
        <f t="shared" si="1"/>
        <v>1</v>
      </c>
      <c r="I25" s="857" t="s">
        <v>1372</v>
      </c>
      <c r="J25" s="858">
        <v>72415934</v>
      </c>
      <c r="K25" s="858">
        <v>0</v>
      </c>
    </row>
    <row r="26" spans="1:11">
      <c r="A26" s="1135">
        <v>54100</v>
      </c>
      <c r="B26" s="1132" t="s">
        <v>2040</v>
      </c>
      <c r="C26" s="1134">
        <v>2156880</v>
      </c>
      <c r="D26" s="1134" t="s">
        <v>1111</v>
      </c>
      <c r="E26" s="1134" t="s">
        <v>1111</v>
      </c>
      <c r="F26" s="1134" t="s">
        <v>1111</v>
      </c>
      <c r="I26" s="1044"/>
      <c r="J26" s="1058"/>
      <c r="K26" s="1058"/>
    </row>
    <row r="27" spans="1:11">
      <c r="B27" s="832" t="s">
        <v>169</v>
      </c>
      <c r="C27" s="847" t="s">
        <v>1111</v>
      </c>
      <c r="D27" s="847">
        <v>1270499322</v>
      </c>
      <c r="E27" s="847" t="s">
        <v>1111</v>
      </c>
      <c r="F27" s="847">
        <v>2070656937</v>
      </c>
      <c r="H27" s="831" t="b">
        <f t="shared" si="1"/>
        <v>1</v>
      </c>
      <c r="I27" s="857" t="s">
        <v>169</v>
      </c>
      <c r="J27" s="858">
        <v>0</v>
      </c>
      <c r="K27" s="858">
        <v>1421136695</v>
      </c>
    </row>
    <row r="28" spans="1:11">
      <c r="A28" s="831">
        <v>51100</v>
      </c>
      <c r="B28" s="832" t="s">
        <v>1373</v>
      </c>
      <c r="C28" s="847">
        <v>112120568</v>
      </c>
      <c r="D28" s="847" t="s">
        <v>1111</v>
      </c>
      <c r="E28" s="847">
        <v>203532348</v>
      </c>
      <c r="F28" s="847" t="s">
        <v>1111</v>
      </c>
      <c r="H28" s="831" t="b">
        <f t="shared" si="1"/>
        <v>1</v>
      </c>
      <c r="I28" s="857" t="s">
        <v>1373</v>
      </c>
      <c r="J28" s="858">
        <v>99494840</v>
      </c>
      <c r="K28" s="858">
        <v>0</v>
      </c>
    </row>
    <row r="29" spans="1:11">
      <c r="A29" s="831">
        <v>51200</v>
      </c>
      <c r="B29" s="832" t="s">
        <v>1374</v>
      </c>
      <c r="C29" s="847">
        <v>6914025</v>
      </c>
      <c r="D29" s="847" t="s">
        <v>1111</v>
      </c>
      <c r="E29" s="847">
        <v>10186833</v>
      </c>
      <c r="F29" s="847" t="s">
        <v>1111</v>
      </c>
      <c r="H29" s="831" t="b">
        <f t="shared" si="1"/>
        <v>1</v>
      </c>
      <c r="I29" s="857" t="s">
        <v>1374</v>
      </c>
      <c r="J29" s="858">
        <v>4375864</v>
      </c>
      <c r="K29" s="858">
        <v>0</v>
      </c>
    </row>
    <row r="30" spans="1:11">
      <c r="A30" s="831">
        <v>51300</v>
      </c>
      <c r="B30" s="832" t="s">
        <v>1710</v>
      </c>
      <c r="C30" s="847" t="s">
        <v>1111</v>
      </c>
      <c r="D30" s="847" t="s">
        <v>1111</v>
      </c>
      <c r="E30" s="847">
        <v>2243459</v>
      </c>
      <c r="F30" s="847" t="s">
        <v>1111</v>
      </c>
      <c r="I30" s="857"/>
      <c r="J30" s="858">
        <v>0</v>
      </c>
      <c r="K30" s="858">
        <v>0</v>
      </c>
    </row>
    <row r="31" spans="1:11">
      <c r="A31" s="831">
        <v>51400</v>
      </c>
      <c r="B31" s="832" t="s">
        <v>1375</v>
      </c>
      <c r="C31" s="847">
        <v>2873574</v>
      </c>
      <c r="D31" s="847" t="s">
        <v>1111</v>
      </c>
      <c r="E31" s="847">
        <v>6160530</v>
      </c>
      <c r="F31" s="847" t="s">
        <v>1111</v>
      </c>
      <c r="H31" s="831" t="b">
        <f t="shared" si="1"/>
        <v>1</v>
      </c>
      <c r="I31" s="857" t="s">
        <v>1375</v>
      </c>
      <c r="J31" s="858">
        <v>1940812</v>
      </c>
      <c r="K31" s="858">
        <v>0</v>
      </c>
    </row>
    <row r="32" spans="1:11">
      <c r="A32" s="831">
        <v>51500</v>
      </c>
      <c r="B32" s="832" t="s">
        <v>1376</v>
      </c>
      <c r="C32" s="847">
        <v>6397944</v>
      </c>
      <c r="D32" s="847" t="s">
        <v>1111</v>
      </c>
      <c r="E32" s="847">
        <v>6432999</v>
      </c>
      <c r="F32" s="847" t="s">
        <v>1111</v>
      </c>
      <c r="I32" s="857" t="s">
        <v>1376</v>
      </c>
      <c r="J32" s="858">
        <v>124778</v>
      </c>
      <c r="K32" s="858">
        <v>0</v>
      </c>
    </row>
    <row r="33" spans="1:11">
      <c r="A33" s="831">
        <v>51600</v>
      </c>
      <c r="B33" s="832" t="s">
        <v>1377</v>
      </c>
      <c r="C33" s="847">
        <v>105424362</v>
      </c>
      <c r="D33" s="847" t="s">
        <v>1111</v>
      </c>
      <c r="E33" s="847">
        <v>180012080</v>
      </c>
      <c r="F33" s="847" t="s">
        <v>1111</v>
      </c>
      <c r="H33" s="831" t="b">
        <f t="shared" si="1"/>
        <v>1</v>
      </c>
      <c r="I33" s="857" t="s">
        <v>1377</v>
      </c>
      <c r="J33" s="858">
        <v>63413320</v>
      </c>
      <c r="K33" s="858">
        <v>0</v>
      </c>
    </row>
    <row r="34" spans="1:11">
      <c r="A34" s="831">
        <v>51700</v>
      </c>
      <c r="B34" s="832" t="s">
        <v>1378</v>
      </c>
      <c r="C34" s="847">
        <v>40500</v>
      </c>
      <c r="D34" s="847" t="s">
        <v>1111</v>
      </c>
      <c r="E34" s="847">
        <v>8374080</v>
      </c>
      <c r="F34" s="847" t="s">
        <v>1111</v>
      </c>
      <c r="H34" s="831" t="b">
        <f t="shared" si="1"/>
        <v>1</v>
      </c>
      <c r="I34" s="857" t="s">
        <v>1378</v>
      </c>
      <c r="J34" s="858">
        <v>192500</v>
      </c>
      <c r="K34" s="858">
        <v>0</v>
      </c>
    </row>
    <row r="35" spans="1:11">
      <c r="A35" s="831">
        <v>51800</v>
      </c>
      <c r="B35" s="832" t="s">
        <v>1379</v>
      </c>
      <c r="C35" s="847">
        <v>394973529</v>
      </c>
      <c r="D35" s="847" t="s">
        <v>1111</v>
      </c>
      <c r="E35" s="847">
        <v>512747119</v>
      </c>
      <c r="F35" s="847" t="s">
        <v>1111</v>
      </c>
      <c r="H35" s="831" t="b">
        <f t="shared" si="1"/>
        <v>1</v>
      </c>
      <c r="I35" s="857" t="s">
        <v>1379</v>
      </c>
      <c r="J35" s="858">
        <v>308732477</v>
      </c>
      <c r="K35" s="858">
        <v>0</v>
      </c>
    </row>
    <row r="36" spans="1:11">
      <c r="A36" s="831">
        <v>51900</v>
      </c>
      <c r="B36" s="832" t="s">
        <v>1380</v>
      </c>
      <c r="C36" s="847" t="s">
        <v>1111</v>
      </c>
      <c r="D36" s="847" t="s">
        <v>1111</v>
      </c>
      <c r="E36" s="847">
        <v>26900000</v>
      </c>
      <c r="F36" s="847" t="s">
        <v>1111</v>
      </c>
      <c r="I36" s="857"/>
      <c r="J36" s="858"/>
      <c r="K36" s="858"/>
    </row>
    <row r="37" spans="1:11">
      <c r="A37" s="831">
        <v>52000</v>
      </c>
      <c r="B37" s="832" t="s">
        <v>1381</v>
      </c>
      <c r="C37" s="847">
        <v>24369000</v>
      </c>
      <c r="D37" s="847" t="s">
        <v>1111</v>
      </c>
      <c r="E37" s="847">
        <v>24424909</v>
      </c>
      <c r="F37" s="847" t="s">
        <v>1111</v>
      </c>
      <c r="H37" s="831" t="b">
        <f t="shared" si="1"/>
        <v>1</v>
      </c>
      <c r="I37" s="857" t="s">
        <v>1381</v>
      </c>
      <c r="J37" s="858">
        <v>42561660</v>
      </c>
      <c r="K37" s="858">
        <v>0</v>
      </c>
    </row>
    <row r="38" spans="1:11">
      <c r="A38" s="831">
        <v>52100</v>
      </c>
      <c r="B38" s="832" t="s">
        <v>1382</v>
      </c>
      <c r="C38" s="847">
        <v>11211332</v>
      </c>
      <c r="D38" s="847" t="s">
        <v>1111</v>
      </c>
      <c r="E38" s="847">
        <v>14490590</v>
      </c>
      <c r="F38" s="847" t="s">
        <v>1111</v>
      </c>
      <c r="H38" s="831" t="b">
        <f t="shared" si="1"/>
        <v>1</v>
      </c>
      <c r="I38" s="857" t="s">
        <v>1382</v>
      </c>
      <c r="J38" s="858">
        <v>2496849</v>
      </c>
      <c r="K38" s="858">
        <v>0</v>
      </c>
    </row>
    <row r="39" spans="1:11">
      <c r="A39" s="831">
        <v>52200</v>
      </c>
      <c r="B39" s="832" t="s">
        <v>1383</v>
      </c>
      <c r="C39" s="847">
        <v>562830</v>
      </c>
      <c r="D39" s="847" t="s">
        <v>1111</v>
      </c>
      <c r="E39" s="847">
        <v>458300</v>
      </c>
      <c r="F39" s="847" t="s">
        <v>1111</v>
      </c>
      <c r="I39" s="857"/>
      <c r="J39" s="858"/>
      <c r="K39" s="858"/>
    </row>
    <row r="40" spans="1:11">
      <c r="A40" s="831">
        <v>52400</v>
      </c>
      <c r="B40" s="832" t="s">
        <v>1384</v>
      </c>
      <c r="C40" s="847">
        <v>37225103</v>
      </c>
      <c r="D40" s="847" t="s">
        <v>1111</v>
      </c>
      <c r="E40" s="847">
        <v>79040260</v>
      </c>
      <c r="F40" s="847" t="s">
        <v>1111</v>
      </c>
      <c r="H40" s="831" t="b">
        <f t="shared" si="1"/>
        <v>1</v>
      </c>
      <c r="I40" s="857" t="s">
        <v>1384</v>
      </c>
      <c r="J40" s="858">
        <v>60810768</v>
      </c>
      <c r="K40" s="858">
        <v>0</v>
      </c>
    </row>
    <row r="41" spans="1:11">
      <c r="A41" s="831">
        <v>52500</v>
      </c>
      <c r="B41" s="832" t="s">
        <v>1385</v>
      </c>
      <c r="C41" s="847">
        <v>655000</v>
      </c>
      <c r="D41" s="847" t="s">
        <v>1111</v>
      </c>
      <c r="E41" s="847">
        <v>1003455</v>
      </c>
      <c r="F41" s="847" t="s">
        <v>1111</v>
      </c>
      <c r="H41" s="831" t="b">
        <f t="shared" si="1"/>
        <v>1</v>
      </c>
      <c r="I41" s="857" t="s">
        <v>1385</v>
      </c>
      <c r="J41" s="858">
        <v>700000</v>
      </c>
      <c r="K41" s="858">
        <v>0</v>
      </c>
    </row>
    <row r="42" spans="1:11">
      <c r="A42" s="831">
        <v>52600</v>
      </c>
      <c r="B42" s="832" t="s">
        <v>1386</v>
      </c>
      <c r="C42" s="847">
        <v>199000</v>
      </c>
      <c r="D42" s="847" t="s">
        <v>1111</v>
      </c>
      <c r="E42" s="847">
        <v>1174364</v>
      </c>
      <c r="F42" s="847" t="s">
        <v>1111</v>
      </c>
      <c r="H42" s="831" t="b">
        <f t="shared" si="1"/>
        <v>1</v>
      </c>
      <c r="I42" s="857" t="s">
        <v>1386</v>
      </c>
      <c r="J42" s="858">
        <v>40000</v>
      </c>
      <c r="K42" s="858">
        <v>0</v>
      </c>
    </row>
    <row r="43" spans="1:11">
      <c r="A43" s="831">
        <v>52900</v>
      </c>
      <c r="B43" s="832" t="s">
        <v>1387</v>
      </c>
      <c r="C43" s="847">
        <v>104843</v>
      </c>
      <c r="D43" s="847" t="s">
        <v>1111</v>
      </c>
      <c r="E43" s="847">
        <v>918140</v>
      </c>
      <c r="F43" s="847" t="s">
        <v>1111</v>
      </c>
      <c r="H43" s="831" t="b">
        <f t="shared" si="1"/>
        <v>1</v>
      </c>
      <c r="I43" s="857" t="s">
        <v>1387</v>
      </c>
      <c r="J43" s="858">
        <v>844559</v>
      </c>
      <c r="K43" s="858">
        <v>0</v>
      </c>
    </row>
    <row r="44" spans="1:11">
      <c r="A44" s="831">
        <v>53000</v>
      </c>
      <c r="B44" s="832" t="s">
        <v>1388</v>
      </c>
      <c r="C44" s="847">
        <v>149978542</v>
      </c>
      <c r="D44" s="847" t="s">
        <v>1111</v>
      </c>
      <c r="E44" s="847">
        <v>165863845</v>
      </c>
      <c r="F44" s="847" t="s">
        <v>1111</v>
      </c>
      <c r="H44" s="831" t="b">
        <f t="shared" si="1"/>
        <v>1</v>
      </c>
      <c r="I44" s="857" t="s">
        <v>1388</v>
      </c>
      <c r="J44" s="858">
        <v>121496583</v>
      </c>
      <c r="K44" s="858">
        <v>0</v>
      </c>
    </row>
    <row r="45" spans="1:11" ht="16" customHeight="1">
      <c r="A45" s="831">
        <v>53100</v>
      </c>
      <c r="B45" s="832" t="s">
        <v>1389</v>
      </c>
      <c r="C45" s="847">
        <v>223641137</v>
      </c>
      <c r="D45" s="847" t="s">
        <v>1111</v>
      </c>
      <c r="E45" s="847">
        <v>242301858</v>
      </c>
      <c r="F45" s="847" t="s">
        <v>1111</v>
      </c>
      <c r="H45" s="831" t="b">
        <f t="shared" si="1"/>
        <v>1</v>
      </c>
      <c r="I45" s="857" t="s">
        <v>1389</v>
      </c>
      <c r="J45" s="858">
        <v>109251579</v>
      </c>
      <c r="K45" s="858">
        <v>0</v>
      </c>
    </row>
    <row r="46" spans="1:11">
      <c r="A46" s="831">
        <v>53300</v>
      </c>
      <c r="B46" s="832" t="s">
        <v>1390</v>
      </c>
      <c r="C46" s="847">
        <v>152649406</v>
      </c>
      <c r="D46" s="847" t="s">
        <v>1111</v>
      </c>
      <c r="E46" s="847">
        <v>375522009</v>
      </c>
      <c r="F46" s="847" t="s">
        <v>1111</v>
      </c>
      <c r="H46" s="831" t="b">
        <f t="shared" si="1"/>
        <v>1</v>
      </c>
      <c r="I46" s="857" t="s">
        <v>1390</v>
      </c>
      <c r="J46" s="858">
        <v>377115700</v>
      </c>
      <c r="K46" s="858">
        <v>0</v>
      </c>
    </row>
    <row r="47" spans="1:11">
      <c r="A47" s="831">
        <v>53700</v>
      </c>
      <c r="B47" s="832" t="s">
        <v>1391</v>
      </c>
      <c r="C47" s="847">
        <v>41158627</v>
      </c>
      <c r="D47" s="847" t="s">
        <v>1111</v>
      </c>
      <c r="E47" s="847">
        <v>66955177</v>
      </c>
      <c r="F47" s="847" t="s">
        <v>1111</v>
      </c>
      <c r="H47" s="831" t="b">
        <f t="shared" si="1"/>
        <v>1</v>
      </c>
      <c r="I47" s="857" t="s">
        <v>1391</v>
      </c>
      <c r="J47" s="858">
        <v>39104215</v>
      </c>
      <c r="K47" s="858">
        <v>0</v>
      </c>
    </row>
    <row r="48" spans="1:11">
      <c r="A48" s="831">
        <v>54000</v>
      </c>
      <c r="B48" s="832" t="s">
        <v>1392</v>
      </c>
      <c r="C48" s="847" t="s">
        <v>1111</v>
      </c>
      <c r="D48" s="847" t="s">
        <v>1111</v>
      </c>
      <c r="E48" s="847">
        <v>141914582</v>
      </c>
      <c r="F48" s="847" t="s">
        <v>1111</v>
      </c>
      <c r="H48" s="831" t="b">
        <f t="shared" si="1"/>
        <v>1</v>
      </c>
      <c r="I48" s="857" t="s">
        <v>1392</v>
      </c>
      <c r="J48" s="858">
        <v>188440191</v>
      </c>
      <c r="K48" s="858">
        <v>0</v>
      </c>
    </row>
    <row r="49" spans="2:11">
      <c r="B49" s="832" t="s">
        <v>170</v>
      </c>
      <c r="C49" s="847" t="s">
        <v>1111</v>
      </c>
      <c r="D49" s="847">
        <v>3476800819</v>
      </c>
      <c r="E49" s="847" t="s">
        <v>1111</v>
      </c>
      <c r="F49" s="847">
        <v>6956945784</v>
      </c>
      <c r="H49" s="831" t="b">
        <f t="shared" si="1"/>
        <v>1</v>
      </c>
      <c r="I49" s="857" t="s">
        <v>170</v>
      </c>
      <c r="J49" s="858">
        <v>0</v>
      </c>
      <c r="K49" s="858">
        <v>5089482578</v>
      </c>
    </row>
    <row r="50" spans="2:11">
      <c r="B50" s="832" t="s">
        <v>171</v>
      </c>
      <c r="C50" s="847" t="s">
        <v>1111</v>
      </c>
      <c r="D50" s="847" t="s">
        <v>1111</v>
      </c>
      <c r="E50" s="847" t="s">
        <v>1111</v>
      </c>
      <c r="F50" s="847" t="s">
        <v>1111</v>
      </c>
      <c r="H50" s="831" t="b">
        <f t="shared" si="1"/>
        <v>1</v>
      </c>
      <c r="I50" s="857" t="s">
        <v>171</v>
      </c>
      <c r="J50" s="858">
        <v>0</v>
      </c>
      <c r="K50" s="858">
        <v>0</v>
      </c>
    </row>
    <row r="51" spans="2:11">
      <c r="B51" s="832" t="s">
        <v>172</v>
      </c>
      <c r="C51" s="847" t="s">
        <v>1111</v>
      </c>
      <c r="D51" s="847" t="s">
        <v>1111</v>
      </c>
      <c r="E51" s="847" t="s">
        <v>1111</v>
      </c>
      <c r="F51" s="847" t="s">
        <v>1111</v>
      </c>
      <c r="H51" s="831" t="b">
        <f t="shared" si="1"/>
        <v>1</v>
      </c>
      <c r="I51" s="857" t="s">
        <v>172</v>
      </c>
      <c r="J51" s="858">
        <v>0</v>
      </c>
      <c r="K51" s="858">
        <v>0</v>
      </c>
    </row>
    <row r="52" spans="2:11">
      <c r="B52" s="832" t="s">
        <v>173</v>
      </c>
      <c r="C52" s="847" t="s">
        <v>1111</v>
      </c>
      <c r="D52" s="847">
        <v>3476800819</v>
      </c>
      <c r="E52" s="847" t="s">
        <v>1111</v>
      </c>
      <c r="F52" s="847">
        <v>6956945784</v>
      </c>
      <c r="H52" s="831" t="b">
        <f t="shared" si="1"/>
        <v>1</v>
      </c>
      <c r="I52" s="857" t="s">
        <v>173</v>
      </c>
      <c r="J52" s="858">
        <v>0</v>
      </c>
      <c r="K52" s="858">
        <v>5089482578</v>
      </c>
    </row>
    <row r="53" spans="2:11">
      <c r="B53" s="832" t="s">
        <v>174</v>
      </c>
      <c r="C53" s="847" t="s">
        <v>1111</v>
      </c>
      <c r="D53" s="847" t="s">
        <v>1111</v>
      </c>
      <c r="E53" s="847" t="s">
        <v>1111</v>
      </c>
      <c r="F53" s="847" t="s">
        <v>1111</v>
      </c>
      <c r="H53" s="831" t="b">
        <f t="shared" si="1"/>
        <v>1</v>
      </c>
      <c r="I53" s="857" t="s">
        <v>174</v>
      </c>
      <c r="J53" s="858">
        <v>0</v>
      </c>
      <c r="K53" s="858">
        <v>0</v>
      </c>
    </row>
    <row r="54" spans="2:11">
      <c r="B54" s="832" t="s">
        <v>175</v>
      </c>
      <c r="C54" s="847" t="s">
        <v>1111</v>
      </c>
      <c r="D54" s="847" t="s">
        <v>1111</v>
      </c>
      <c r="E54" s="847" t="s">
        <v>1111</v>
      </c>
      <c r="F54" s="847" t="s">
        <v>1111</v>
      </c>
      <c r="H54" s="831" t="b">
        <f t="shared" si="1"/>
        <v>1</v>
      </c>
      <c r="I54" s="857" t="s">
        <v>175</v>
      </c>
      <c r="J54" s="858">
        <v>0</v>
      </c>
      <c r="K54" s="858">
        <v>0</v>
      </c>
    </row>
    <row r="55" spans="2:11">
      <c r="B55" s="832" t="s">
        <v>176</v>
      </c>
      <c r="C55" s="847" t="s">
        <v>1111</v>
      </c>
      <c r="D55" s="847">
        <v>3476800819</v>
      </c>
      <c r="E55" s="847" t="s">
        <v>1111</v>
      </c>
      <c r="F55" s="847">
        <v>6956945784</v>
      </c>
      <c r="H55" s="831" t="b">
        <f t="shared" si="1"/>
        <v>1</v>
      </c>
      <c r="I55" s="857" t="s">
        <v>176</v>
      </c>
      <c r="J55" s="858">
        <v>0</v>
      </c>
      <c r="K55" s="858">
        <v>5089482578</v>
      </c>
    </row>
    <row r="56" spans="2:11" ht="17.600000000000001">
      <c r="I56" s="47"/>
      <c r="J56" s="47"/>
      <c r="K56" s="47"/>
    </row>
  </sheetData>
  <mergeCells count="4">
    <mergeCell ref="B3:B4"/>
    <mergeCell ref="I3:I4"/>
    <mergeCell ref="C3:D3"/>
    <mergeCell ref="E3:F3"/>
  </mergeCells>
  <phoneticPr fontId="23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tabColor theme="7"/>
  </sheetPr>
  <dimension ref="B4:I25"/>
  <sheetViews>
    <sheetView showGridLines="0" workbookViewId="0">
      <selection activeCell="C16" sqref="C16"/>
    </sheetView>
  </sheetViews>
  <sheetFormatPr defaultRowHeight="17.600000000000001"/>
  <cols>
    <col min="2" max="2" width="19.0703125" bestFit="1" customWidth="1"/>
    <col min="3" max="3" width="13.0703125" bestFit="1" customWidth="1"/>
    <col min="4" max="4" width="11.5" bestFit="1" customWidth="1"/>
    <col min="5" max="7" width="10.5703125" bestFit="1" customWidth="1"/>
    <col min="8" max="8" width="11.5" bestFit="1" customWidth="1"/>
  </cols>
  <sheetData>
    <row r="4" spans="2:9">
      <c r="B4" s="47"/>
      <c r="C4" s="47"/>
      <c r="D4" s="47"/>
      <c r="E4" s="47"/>
      <c r="F4" s="47"/>
      <c r="G4" s="47"/>
      <c r="H4" s="47"/>
    </row>
    <row r="5" spans="2:9">
      <c r="B5" s="47"/>
      <c r="C5" s="47"/>
      <c r="D5" s="47"/>
      <c r="E5" s="47"/>
      <c r="F5" s="47"/>
      <c r="G5" s="47"/>
      <c r="H5" s="47"/>
    </row>
    <row r="6" spans="2:9">
      <c r="B6" s="860" t="s">
        <v>1671</v>
      </c>
      <c r="C6" s="861" t="s">
        <v>1672</v>
      </c>
      <c r="D6" s="862" t="s">
        <v>1673</v>
      </c>
      <c r="E6" s="862" t="s">
        <v>1674</v>
      </c>
      <c r="F6" s="862" t="s">
        <v>1675</v>
      </c>
      <c r="G6" s="862" t="s">
        <v>1676</v>
      </c>
      <c r="H6" s="862" t="s">
        <v>256</v>
      </c>
    </row>
    <row r="7" spans="2:9">
      <c r="B7" s="788">
        <v>44196</v>
      </c>
      <c r="C7" s="789">
        <v>31975435.549505979</v>
      </c>
      <c r="D7" s="789">
        <v>122304000</v>
      </c>
      <c r="E7" s="789">
        <v>40968792.200000003</v>
      </c>
      <c r="F7" s="789">
        <v>55275000</v>
      </c>
      <c r="G7" s="789"/>
      <c r="H7" s="790"/>
    </row>
    <row r="8" spans="2:9">
      <c r="B8" s="791" t="s">
        <v>1677</v>
      </c>
      <c r="C8" s="789">
        <v>86576820</v>
      </c>
      <c r="D8" s="792">
        <v>16464000</v>
      </c>
      <c r="E8" s="793">
        <v>0</v>
      </c>
      <c r="F8" s="793">
        <v>0</v>
      </c>
      <c r="G8" s="793">
        <v>0</v>
      </c>
      <c r="H8" s="790"/>
    </row>
    <row r="9" spans="2:9" ht="18" thickBot="1">
      <c r="B9" s="794">
        <v>45291</v>
      </c>
      <c r="C9" s="795">
        <v>118552255.54950599</v>
      </c>
      <c r="D9" s="795">
        <v>138768000</v>
      </c>
      <c r="E9" s="795">
        <v>40968792.200000003</v>
      </c>
      <c r="F9" s="795">
        <v>55275000</v>
      </c>
      <c r="G9" s="796">
        <v>36642896</v>
      </c>
      <c r="H9" s="796">
        <v>390206943.749506</v>
      </c>
    </row>
    <row r="10" spans="2:9" ht="18" thickTop="1">
      <c r="B10" s="791" t="s">
        <v>1678</v>
      </c>
      <c r="C10" s="789"/>
      <c r="D10" s="790"/>
      <c r="E10" s="790"/>
      <c r="F10" s="790"/>
      <c r="G10" s="790"/>
      <c r="H10" s="790"/>
    </row>
    <row r="11" spans="2:9">
      <c r="B11" s="791" t="s">
        <v>1679</v>
      </c>
      <c r="C11" s="789">
        <v>0</v>
      </c>
      <c r="D11" s="797">
        <v>0</v>
      </c>
      <c r="E11" s="797">
        <v>20440000</v>
      </c>
      <c r="F11" s="798">
        <v>0</v>
      </c>
      <c r="G11" s="798">
        <v>0</v>
      </c>
      <c r="H11" s="798">
        <v>20440000</v>
      </c>
    </row>
    <row r="12" spans="2:9">
      <c r="B12" s="791" t="s">
        <v>1680</v>
      </c>
      <c r="C12" s="799">
        <v>0</v>
      </c>
      <c r="D12" s="798">
        <v>0</v>
      </c>
      <c r="E12" s="798">
        <v>0</v>
      </c>
      <c r="F12" s="798">
        <v>0</v>
      </c>
      <c r="G12" s="797">
        <v>5007104</v>
      </c>
      <c r="H12" s="798">
        <v>5007104</v>
      </c>
    </row>
    <row r="13" spans="2:9">
      <c r="B13" s="791" t="s">
        <v>1681</v>
      </c>
      <c r="C13" s="800">
        <f>ROUNDDOWN(-C9*C20/C19,0)</f>
        <v>-37971382</v>
      </c>
      <c r="D13" s="790"/>
      <c r="E13" s="790"/>
      <c r="F13" s="790"/>
      <c r="G13" s="797"/>
      <c r="H13" s="798">
        <v>-37971382</v>
      </c>
    </row>
    <row r="14" spans="2:9" ht="18" thickBot="1">
      <c r="B14" s="794">
        <v>45657</v>
      </c>
      <c r="C14" s="801">
        <v>80580873.549505979</v>
      </c>
      <c r="D14" s="801">
        <v>138768000</v>
      </c>
      <c r="E14" s="801">
        <v>61408792.200000003</v>
      </c>
      <c r="F14" s="801">
        <v>55275000</v>
      </c>
      <c r="G14" s="801">
        <v>41650000</v>
      </c>
      <c r="H14" s="796">
        <v>377682665.749506</v>
      </c>
      <c r="I14" s="904">
        <f>H14-'1,4,5차 평가'!K41</f>
        <v>-231.96724075078964</v>
      </c>
    </row>
    <row r="15" spans="2:9" ht="18" thickTop="1">
      <c r="B15" s="791" t="s">
        <v>1681</v>
      </c>
      <c r="C15" s="797">
        <f>-'1,4,5차 평가'!M3</f>
        <v>-27842570.030815799</v>
      </c>
      <c r="D15" s="797"/>
      <c r="E15" s="797"/>
      <c r="F15" s="797"/>
      <c r="G15" s="797"/>
      <c r="H15" s="798"/>
    </row>
    <row r="16" spans="2:9" ht="18" thickBot="1">
      <c r="B16" s="794">
        <v>45747</v>
      </c>
      <c r="C16" s="801">
        <f>SUM(C14:C15)</f>
        <v>52738303.518690184</v>
      </c>
      <c r="D16" s="801">
        <f>SUM(D14:D15)</f>
        <v>138768000</v>
      </c>
      <c r="E16" s="801">
        <f>SUM(E14:E15)</f>
        <v>61408792.200000003</v>
      </c>
      <c r="F16" s="801">
        <f>SUM(F14:F15)</f>
        <v>55275000</v>
      </c>
      <c r="G16" s="801">
        <f>SUM(G14:G15)</f>
        <v>41650000</v>
      </c>
      <c r="H16" s="796">
        <f>SUM(C16:G16)</f>
        <v>349840095.71869016</v>
      </c>
      <c r="I16" s="904">
        <f>H16-'1,4,5차 평가'!N41</f>
        <v>-231.96724075078964</v>
      </c>
    </row>
    <row r="17" spans="2:8" ht="18" thickTop="1">
      <c r="B17" s="791"/>
      <c r="C17" s="789"/>
      <c r="D17" s="790"/>
      <c r="E17" s="790"/>
      <c r="F17" s="790"/>
      <c r="G17" s="790"/>
      <c r="H17" s="790"/>
    </row>
    <row r="18" spans="2:8">
      <c r="B18" s="863" t="s">
        <v>1731</v>
      </c>
      <c r="C18" s="789"/>
      <c r="D18" s="790"/>
      <c r="E18" s="790"/>
      <c r="F18" s="790"/>
      <c r="G18" s="790"/>
      <c r="H18" s="790"/>
    </row>
    <row r="19" spans="2:8">
      <c r="B19" s="791" t="s">
        <v>1732</v>
      </c>
      <c r="C19" s="789">
        <v>167459.5</v>
      </c>
      <c r="D19" s="790"/>
      <c r="E19" s="790"/>
      <c r="F19" s="790"/>
      <c r="G19" s="797">
        <v>53311324</v>
      </c>
      <c r="H19" s="790"/>
    </row>
    <row r="20" spans="2:8">
      <c r="B20" s="791" t="s">
        <v>1733</v>
      </c>
      <c r="C20" s="789">
        <v>53636</v>
      </c>
      <c r="D20" s="790"/>
      <c r="E20" s="790"/>
      <c r="F20" s="790"/>
      <c r="G20" s="790"/>
      <c r="H20" s="790"/>
    </row>
    <row r="21" spans="2:8">
      <c r="B21" s="47"/>
      <c r="C21" s="47"/>
      <c r="D21" s="47"/>
      <c r="E21" s="47"/>
      <c r="F21" s="47"/>
      <c r="G21" s="47"/>
      <c r="H21" s="47"/>
    </row>
    <row r="22" spans="2:8">
      <c r="B22" s="791"/>
      <c r="C22" s="47"/>
      <c r="D22" s="47"/>
      <c r="E22" s="47"/>
      <c r="F22" s="47"/>
      <c r="G22" s="47"/>
      <c r="H22" s="47"/>
    </row>
    <row r="23" spans="2:8">
      <c r="B23" s="47"/>
      <c r="C23" s="47"/>
      <c r="D23" s="47"/>
      <c r="E23" s="47"/>
      <c r="F23" s="47"/>
      <c r="G23" s="47"/>
      <c r="H23" s="47"/>
    </row>
    <row r="24" spans="2:8">
      <c r="B24" s="864" t="s">
        <v>294</v>
      </c>
      <c r="C24" s="865"/>
      <c r="D24" s="866">
        <f>E25</f>
        <v>37971382</v>
      </c>
      <c r="E24" s="867"/>
      <c r="F24" s="47"/>
      <c r="G24" s="47"/>
      <c r="H24" s="47"/>
    </row>
    <row r="25" spans="2:8">
      <c r="B25" s="868"/>
      <c r="C25" s="869" t="s">
        <v>56</v>
      </c>
      <c r="D25" s="870"/>
      <c r="E25" s="871">
        <f>-C13</f>
        <v>37971382</v>
      </c>
      <c r="F25" s="47"/>
      <c r="G25" s="47"/>
      <c r="H25" s="47"/>
    </row>
  </sheetData>
  <phoneticPr fontId="232"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tabColor theme="7"/>
    <pageSetUpPr fitToPage="1"/>
  </sheetPr>
  <dimension ref="A1:U43"/>
  <sheetViews>
    <sheetView zoomScale="85" zoomScaleNormal="85" zoomScaleSheetLayoutView="100" workbookViewId="0">
      <pane ySplit="2" topLeftCell="A18" activePane="bottomLeft" state="frozen"/>
      <selection activeCell="I20" sqref="I20"/>
      <selection pane="bottomLeft" activeCell="P26" sqref="P26:P27"/>
    </sheetView>
  </sheetViews>
  <sheetFormatPr defaultColWidth="8.5703125" defaultRowHeight="17.600000000000001"/>
  <cols>
    <col min="1" max="1" width="6.5" style="876" customWidth="1"/>
    <col min="2" max="2" width="10.35546875" style="876" customWidth="1"/>
    <col min="3" max="3" width="10" style="876" customWidth="1"/>
    <col min="4" max="4" width="10.0703125" style="902" customWidth="1"/>
    <col min="5" max="5" width="11.85546875" style="876" customWidth="1"/>
    <col min="6" max="6" width="11.5" style="876" customWidth="1"/>
    <col min="7" max="7" width="11" style="876" customWidth="1"/>
    <col min="8" max="8" width="10.5703125" style="876" customWidth="1"/>
    <col min="9" max="9" width="11.35546875" style="876" customWidth="1"/>
    <col min="10" max="10" width="11.0703125" style="876" customWidth="1"/>
    <col min="11" max="11" width="12.35546875" style="876" customWidth="1"/>
    <col min="12" max="12" width="11.35546875" style="876" customWidth="1"/>
    <col min="13" max="13" width="10.0703125" style="876" customWidth="1"/>
    <col min="14" max="14" width="12.5" style="876" customWidth="1"/>
    <col min="15" max="15" width="10.0703125" style="876" customWidth="1"/>
    <col min="16" max="16384" width="8.5703125" style="876"/>
  </cols>
  <sheetData>
    <row r="1" spans="1:21" ht="33.65" customHeight="1">
      <c r="A1" s="872" t="s">
        <v>1736</v>
      </c>
      <c r="B1" s="873"/>
      <c r="C1" s="873"/>
      <c r="D1" s="874"/>
      <c r="E1" s="875"/>
      <c r="F1" s="875"/>
      <c r="G1" s="875"/>
      <c r="H1" s="875"/>
      <c r="I1" s="875"/>
      <c r="J1" s="875"/>
      <c r="K1" s="875"/>
      <c r="L1" s="875"/>
      <c r="M1" s="875"/>
      <c r="N1" s="875"/>
      <c r="O1" s="875"/>
      <c r="P1" s="875"/>
      <c r="Q1" s="875"/>
      <c r="R1" s="875"/>
      <c r="S1" s="875"/>
      <c r="T1" s="875"/>
      <c r="U1" s="875"/>
    </row>
    <row r="2" spans="1:21" s="880" customFormat="1">
      <c r="A2" s="877" t="s">
        <v>1737</v>
      </c>
      <c r="B2" s="877" t="s">
        <v>1738</v>
      </c>
      <c r="C2" s="877" t="s">
        <v>1739</v>
      </c>
      <c r="D2" s="878" t="s">
        <v>1740</v>
      </c>
      <c r="E2" s="879" t="s">
        <v>1741</v>
      </c>
      <c r="F2" s="879" t="s">
        <v>1742</v>
      </c>
      <c r="G2" s="878" t="s">
        <v>1743</v>
      </c>
      <c r="H2" s="879" t="s">
        <v>1744</v>
      </c>
      <c r="I2" s="878" t="s">
        <v>1745</v>
      </c>
      <c r="J2" s="878" t="s">
        <v>1746</v>
      </c>
      <c r="K2" s="879" t="s">
        <v>1747</v>
      </c>
      <c r="L2" s="879" t="s">
        <v>1745</v>
      </c>
      <c r="M2" s="878" t="s">
        <v>1746</v>
      </c>
      <c r="N2" s="878" t="s">
        <v>1748</v>
      </c>
      <c r="O2" s="879"/>
    </row>
    <row r="3" spans="1:21" s="886" customFormat="1" ht="20.149999999999999" customHeight="1">
      <c r="A3" s="881" t="s">
        <v>1749</v>
      </c>
      <c r="B3" s="882">
        <v>42450</v>
      </c>
      <c r="C3" s="881" t="s">
        <v>1750</v>
      </c>
      <c r="D3" s="883">
        <v>395.94680304845502</v>
      </c>
      <c r="E3" s="883">
        <v>18966</v>
      </c>
      <c r="F3" s="883">
        <f>D3*E3</f>
        <v>7509527.0666169981</v>
      </c>
      <c r="G3" s="883">
        <v>20332678.964198802</v>
      </c>
      <c r="H3" s="883">
        <f>F3+G3</f>
        <v>27842206.030815799</v>
      </c>
      <c r="I3" s="884"/>
      <c r="J3" s="883">
        <v>0</v>
      </c>
      <c r="K3" s="883">
        <f>H3-J3+364</f>
        <v>27842570.030815799</v>
      </c>
      <c r="L3" s="884">
        <v>45728</v>
      </c>
      <c r="M3" s="885">
        <f>K3</f>
        <v>27842570.030815799</v>
      </c>
      <c r="N3" s="883">
        <f>K3-M3</f>
        <v>0</v>
      </c>
      <c r="O3" s="883"/>
    </row>
    <row r="4" spans="1:21" s="886" customFormat="1" ht="20.149999999999999" customHeight="1">
      <c r="A4" s="881" t="s">
        <v>1749</v>
      </c>
      <c r="B4" s="882">
        <v>42450</v>
      </c>
      <c r="C4" s="881" t="s">
        <v>1751</v>
      </c>
      <c r="D4" s="883">
        <v>750</v>
      </c>
      <c r="E4" s="883">
        <v>18966</v>
      </c>
      <c r="F4" s="883">
        <f t="shared" ref="F4:F10" si="0">D4*E4</f>
        <v>14224500</v>
      </c>
      <c r="G4" s="883">
        <v>38514035.485930935</v>
      </c>
      <c r="H4" s="883">
        <f t="shared" ref="H4:H9" si="1">F4+G4</f>
        <v>52738535.485930935</v>
      </c>
      <c r="I4" s="884"/>
      <c r="J4" s="883">
        <v>0</v>
      </c>
      <c r="K4" s="883">
        <f t="shared" ref="K4:K10" si="2">H4-J4</f>
        <v>52738535.485930935</v>
      </c>
      <c r="L4" s="883"/>
      <c r="M4" s="884"/>
      <c r="N4" s="883">
        <f t="shared" ref="N4:N10" si="3">K4-M4</f>
        <v>52738535.485930935</v>
      </c>
      <c r="O4" s="883"/>
    </row>
    <row r="5" spans="1:21" s="886" customFormat="1" ht="20.149999999999999" customHeight="1">
      <c r="A5" s="881" t="s">
        <v>1749</v>
      </c>
      <c r="B5" s="882">
        <v>42450</v>
      </c>
      <c r="C5" s="881" t="s">
        <v>1752</v>
      </c>
      <c r="D5" s="883">
        <v>130</v>
      </c>
      <c r="E5" s="883">
        <v>18966</v>
      </c>
      <c r="F5" s="883">
        <f t="shared" si="0"/>
        <v>2465580</v>
      </c>
      <c r="G5" s="883">
        <v>6675766.150894695</v>
      </c>
      <c r="H5" s="883">
        <f t="shared" si="1"/>
        <v>9141346.150894694</v>
      </c>
      <c r="I5" s="884">
        <v>45421</v>
      </c>
      <c r="J5" s="883">
        <f>H5</f>
        <v>9141346.150894694</v>
      </c>
      <c r="K5" s="883">
        <f t="shared" si="2"/>
        <v>0</v>
      </c>
      <c r="L5" s="883"/>
      <c r="M5" s="884"/>
      <c r="N5" s="883">
        <f t="shared" si="3"/>
        <v>0</v>
      </c>
      <c r="O5" s="883"/>
    </row>
    <row r="6" spans="1:21" s="886" customFormat="1" ht="20.149999999999999" customHeight="1">
      <c r="A6" s="881" t="s">
        <v>1749</v>
      </c>
      <c r="B6" s="882">
        <v>42450</v>
      </c>
      <c r="C6" s="881" t="s">
        <v>1753</v>
      </c>
      <c r="D6" s="883">
        <v>130</v>
      </c>
      <c r="E6" s="883">
        <v>18966</v>
      </c>
      <c r="F6" s="883">
        <f t="shared" si="0"/>
        <v>2465580</v>
      </c>
      <c r="G6" s="883">
        <v>6675766.150894695</v>
      </c>
      <c r="H6" s="883">
        <f t="shared" si="1"/>
        <v>9141346.150894694</v>
      </c>
      <c r="I6" s="884">
        <v>45421</v>
      </c>
      <c r="J6" s="883">
        <f t="shared" ref="J6:J10" si="4">H6</f>
        <v>9141346.150894694</v>
      </c>
      <c r="K6" s="883">
        <f t="shared" si="2"/>
        <v>0</v>
      </c>
      <c r="L6" s="883"/>
      <c r="M6" s="884"/>
      <c r="N6" s="883">
        <f t="shared" si="3"/>
        <v>0</v>
      </c>
      <c r="O6" s="883"/>
    </row>
    <row r="7" spans="1:21" s="886" customFormat="1" ht="20.149999999999999" customHeight="1">
      <c r="A7" s="881" t="s">
        <v>1749</v>
      </c>
      <c r="B7" s="882">
        <v>42450</v>
      </c>
      <c r="C7" s="881" t="s">
        <v>1754</v>
      </c>
      <c r="D7" s="883">
        <v>70</v>
      </c>
      <c r="E7" s="883">
        <v>18966</v>
      </c>
      <c r="F7" s="883">
        <f t="shared" si="0"/>
        <v>1327620</v>
      </c>
      <c r="G7" s="883">
        <v>3594643.3120202203</v>
      </c>
      <c r="H7" s="883">
        <f t="shared" si="1"/>
        <v>4922263.3120202199</v>
      </c>
      <c r="I7" s="884">
        <v>45421</v>
      </c>
      <c r="J7" s="883">
        <f t="shared" si="4"/>
        <v>4922263.3120202199</v>
      </c>
      <c r="K7" s="883">
        <f t="shared" si="2"/>
        <v>0</v>
      </c>
      <c r="L7" s="883"/>
      <c r="M7" s="884"/>
      <c r="N7" s="883">
        <f t="shared" si="3"/>
        <v>0</v>
      </c>
      <c r="O7" s="883"/>
    </row>
    <row r="8" spans="1:21" s="886" customFormat="1" ht="20.149999999999999" customHeight="1">
      <c r="A8" s="881" t="s">
        <v>1749</v>
      </c>
      <c r="B8" s="882">
        <v>42450</v>
      </c>
      <c r="C8" s="881" t="s">
        <v>1755</v>
      </c>
      <c r="D8" s="883">
        <v>70</v>
      </c>
      <c r="E8" s="883">
        <v>18966</v>
      </c>
      <c r="F8" s="883">
        <f t="shared" si="0"/>
        <v>1327620</v>
      </c>
      <c r="G8" s="883">
        <v>3594643.3120202203</v>
      </c>
      <c r="H8" s="883">
        <f t="shared" si="1"/>
        <v>4922263.3120202199</v>
      </c>
      <c r="I8" s="884">
        <v>45421</v>
      </c>
      <c r="J8" s="883">
        <f t="shared" si="4"/>
        <v>4922263.3120202199</v>
      </c>
      <c r="K8" s="883">
        <f t="shared" si="2"/>
        <v>0</v>
      </c>
      <c r="L8" s="883"/>
      <c r="M8" s="884"/>
      <c r="N8" s="883">
        <f t="shared" si="3"/>
        <v>0</v>
      </c>
      <c r="O8" s="883"/>
    </row>
    <row r="9" spans="1:21" s="886" customFormat="1" ht="20.149999999999999" customHeight="1">
      <c r="A9" s="881" t="s">
        <v>1749</v>
      </c>
      <c r="B9" s="882">
        <v>42450</v>
      </c>
      <c r="C9" s="881" t="s">
        <v>1756</v>
      </c>
      <c r="D9" s="883">
        <v>70</v>
      </c>
      <c r="E9" s="883">
        <v>18966</v>
      </c>
      <c r="F9" s="883">
        <f t="shared" si="0"/>
        <v>1327620</v>
      </c>
      <c r="G9" s="883">
        <v>3594643.3120202203</v>
      </c>
      <c r="H9" s="883">
        <f t="shared" si="1"/>
        <v>4922263.3120202199</v>
      </c>
      <c r="I9" s="884">
        <v>45421</v>
      </c>
      <c r="J9" s="883">
        <f t="shared" si="4"/>
        <v>4922263.3120202199</v>
      </c>
      <c r="K9" s="883">
        <f t="shared" si="2"/>
        <v>0</v>
      </c>
      <c r="L9" s="883"/>
      <c r="M9" s="884"/>
      <c r="N9" s="883">
        <f t="shared" si="3"/>
        <v>0</v>
      </c>
      <c r="O9" s="883"/>
    </row>
    <row r="10" spans="1:21" s="886" customFormat="1" ht="20.149999999999999" customHeight="1">
      <c r="A10" s="881" t="s">
        <v>1749</v>
      </c>
      <c r="B10" s="882">
        <v>42450</v>
      </c>
      <c r="C10" s="881" t="s">
        <v>1757</v>
      </c>
      <c r="D10" s="883">
        <v>70</v>
      </c>
      <c r="E10" s="883">
        <v>18966</v>
      </c>
      <c r="F10" s="883">
        <f t="shared" si="0"/>
        <v>1327620</v>
      </c>
      <c r="G10" s="883">
        <v>3594643.3120202203</v>
      </c>
      <c r="H10" s="883">
        <f>F10+G10</f>
        <v>4922263.3120202199</v>
      </c>
      <c r="I10" s="884">
        <v>45421</v>
      </c>
      <c r="J10" s="883">
        <f t="shared" si="4"/>
        <v>4922263.3120202199</v>
      </c>
      <c r="K10" s="883">
        <f t="shared" si="2"/>
        <v>0</v>
      </c>
      <c r="L10" s="883"/>
      <c r="M10" s="884"/>
      <c r="N10" s="883">
        <f t="shared" si="3"/>
        <v>0</v>
      </c>
      <c r="O10" s="883"/>
    </row>
    <row r="11" spans="1:21" s="886" customFormat="1" ht="20.149999999999999" customHeight="1">
      <c r="A11" s="887"/>
      <c r="B11" s="888"/>
      <c r="C11" s="888"/>
      <c r="D11" s="889">
        <f>SUM(D3:D10)</f>
        <v>1685.946803048455</v>
      </c>
      <c r="E11" s="889"/>
      <c r="F11" s="889">
        <f>SUM(F3:F10)</f>
        <v>31975667.066616997</v>
      </c>
      <c r="G11" s="890">
        <f>SUM(G3:G10)</f>
        <v>86576820.00000003</v>
      </c>
      <c r="H11" s="889">
        <f>SUM(H3:H10)</f>
        <v>118552487.06661698</v>
      </c>
      <c r="I11" s="889"/>
      <c r="J11" s="889">
        <f>SUM(J3:J10)</f>
        <v>37971745.549870268</v>
      </c>
      <c r="K11" s="889">
        <f>SUM(K3:K10)</f>
        <v>80581105.51674673</v>
      </c>
      <c r="L11" s="889"/>
      <c r="M11" s="889"/>
      <c r="N11" s="889">
        <f>SUM(N3:N10)</f>
        <v>52738535.485930935</v>
      </c>
      <c r="O11" s="889"/>
    </row>
    <row r="12" spans="1:21" s="886" customFormat="1" ht="20.149999999999999" customHeight="1">
      <c r="A12" s="881" t="s">
        <v>1758</v>
      </c>
      <c r="B12" s="882">
        <v>43188</v>
      </c>
      <c r="C12" s="881" t="s">
        <v>1750</v>
      </c>
      <c r="D12" s="891">
        <v>60000</v>
      </c>
      <c r="E12" s="892">
        <v>832</v>
      </c>
      <c r="F12" s="891">
        <f>D12*E12</f>
        <v>49920000</v>
      </c>
      <c r="G12" s="892">
        <v>6720000</v>
      </c>
      <c r="H12" s="892">
        <f>F12+G12</f>
        <v>56640000</v>
      </c>
      <c r="I12" s="893"/>
      <c r="J12" s="893"/>
      <c r="K12" s="892">
        <f>H12</f>
        <v>56640000</v>
      </c>
      <c r="L12" s="893"/>
      <c r="M12" s="893"/>
      <c r="N12" s="892">
        <f>K12</f>
        <v>56640000</v>
      </c>
      <c r="O12" s="893"/>
    </row>
    <row r="13" spans="1:21" s="886" customFormat="1" ht="20.149999999999999" customHeight="1">
      <c r="A13" s="881" t="s">
        <v>1758</v>
      </c>
      <c r="B13" s="882">
        <v>43188</v>
      </c>
      <c r="C13" s="881" t="s">
        <v>1751</v>
      </c>
      <c r="D13" s="891">
        <v>60000</v>
      </c>
      <c r="E13" s="892">
        <v>832</v>
      </c>
      <c r="F13" s="891">
        <f t="shared" ref="F13:F18" si="5">D13*E13</f>
        <v>49920000</v>
      </c>
      <c r="G13" s="892">
        <v>6720000</v>
      </c>
      <c r="H13" s="892">
        <f t="shared" ref="H13:H18" si="6">F13+G13</f>
        <v>56640000</v>
      </c>
      <c r="I13" s="893"/>
      <c r="J13" s="893"/>
      <c r="K13" s="892">
        <f t="shared" ref="K13:K18" si="7">H13</f>
        <v>56640000</v>
      </c>
      <c r="L13" s="893"/>
      <c r="M13" s="893"/>
      <c r="N13" s="892">
        <f t="shared" ref="N13:N18" si="8">K13</f>
        <v>56640000</v>
      </c>
      <c r="O13" s="893"/>
    </row>
    <row r="14" spans="1:21" s="886" customFormat="1" ht="20.149999999999999" customHeight="1">
      <c r="A14" s="881" t="s">
        <v>1758</v>
      </c>
      <c r="B14" s="882">
        <v>43188</v>
      </c>
      <c r="C14" s="881" t="s">
        <v>1759</v>
      </c>
      <c r="D14" s="891">
        <v>15000</v>
      </c>
      <c r="E14" s="892">
        <v>832</v>
      </c>
      <c r="F14" s="891">
        <f t="shared" si="5"/>
        <v>12480000</v>
      </c>
      <c r="G14" s="892">
        <v>1680000</v>
      </c>
      <c r="H14" s="892">
        <f t="shared" si="6"/>
        <v>14160000</v>
      </c>
      <c r="I14" s="893"/>
      <c r="J14" s="893"/>
      <c r="K14" s="892">
        <f t="shared" si="7"/>
        <v>14160000</v>
      </c>
      <c r="L14" s="893"/>
      <c r="M14" s="893"/>
      <c r="N14" s="892">
        <f t="shared" si="8"/>
        <v>14160000</v>
      </c>
      <c r="O14" s="893"/>
    </row>
    <row r="15" spans="1:21" s="886" customFormat="1" ht="20.149999999999999" customHeight="1">
      <c r="A15" s="881" t="s">
        <v>1758</v>
      </c>
      <c r="B15" s="882">
        <v>43188</v>
      </c>
      <c r="C15" s="881" t="s">
        <v>1760</v>
      </c>
      <c r="D15" s="891">
        <v>7000</v>
      </c>
      <c r="E15" s="892">
        <v>832</v>
      </c>
      <c r="F15" s="891">
        <f t="shared" si="5"/>
        <v>5824000</v>
      </c>
      <c r="G15" s="892">
        <v>784000</v>
      </c>
      <c r="H15" s="892">
        <f t="shared" si="6"/>
        <v>6608000</v>
      </c>
      <c r="I15" s="893"/>
      <c r="J15" s="893"/>
      <c r="K15" s="892">
        <f t="shared" si="7"/>
        <v>6608000</v>
      </c>
      <c r="L15" s="893"/>
      <c r="M15" s="893"/>
      <c r="N15" s="892">
        <f t="shared" si="8"/>
        <v>6608000</v>
      </c>
      <c r="O15" s="893"/>
    </row>
    <row r="16" spans="1:21" s="886" customFormat="1" ht="20.149999999999999" customHeight="1">
      <c r="A16" s="881" t="s">
        <v>1758</v>
      </c>
      <c r="B16" s="882">
        <v>43188</v>
      </c>
      <c r="C16" s="881" t="s">
        <v>1761</v>
      </c>
      <c r="D16" s="891">
        <v>2000</v>
      </c>
      <c r="E16" s="892">
        <v>832</v>
      </c>
      <c r="F16" s="891">
        <f t="shared" si="5"/>
        <v>1664000</v>
      </c>
      <c r="G16" s="892">
        <v>224000</v>
      </c>
      <c r="H16" s="892">
        <f t="shared" si="6"/>
        <v>1888000</v>
      </c>
      <c r="I16" s="893"/>
      <c r="J16" s="893"/>
      <c r="K16" s="892">
        <f t="shared" si="7"/>
        <v>1888000</v>
      </c>
      <c r="L16" s="893"/>
      <c r="M16" s="893"/>
      <c r="N16" s="892">
        <f t="shared" si="8"/>
        <v>1888000</v>
      </c>
      <c r="O16" s="893"/>
    </row>
    <row r="17" spans="1:15" s="886" customFormat="1" ht="20.149999999999999" customHeight="1">
      <c r="A17" s="881" t="s">
        <v>1758</v>
      </c>
      <c r="B17" s="882">
        <v>43188</v>
      </c>
      <c r="C17" s="881" t="s">
        <v>1762</v>
      </c>
      <c r="D17" s="891">
        <v>1000</v>
      </c>
      <c r="E17" s="892">
        <v>832</v>
      </c>
      <c r="F17" s="891">
        <f t="shared" si="5"/>
        <v>832000</v>
      </c>
      <c r="G17" s="892">
        <v>112000</v>
      </c>
      <c r="H17" s="892">
        <f t="shared" si="6"/>
        <v>944000</v>
      </c>
      <c r="I17" s="893"/>
      <c r="J17" s="893"/>
      <c r="K17" s="892">
        <f t="shared" si="7"/>
        <v>944000</v>
      </c>
      <c r="L17" s="893"/>
      <c r="M17" s="893"/>
      <c r="N17" s="892">
        <f t="shared" si="8"/>
        <v>944000</v>
      </c>
      <c r="O17" s="893"/>
    </row>
    <row r="18" spans="1:15" s="886" customFormat="1" ht="20.149999999999999" customHeight="1">
      <c r="A18" s="881" t="s">
        <v>1758</v>
      </c>
      <c r="B18" s="882">
        <v>43188</v>
      </c>
      <c r="C18" s="881" t="s">
        <v>1763</v>
      </c>
      <c r="D18" s="891">
        <v>2000</v>
      </c>
      <c r="E18" s="892">
        <v>832</v>
      </c>
      <c r="F18" s="891">
        <f t="shared" si="5"/>
        <v>1664000</v>
      </c>
      <c r="G18" s="892">
        <v>224000</v>
      </c>
      <c r="H18" s="892">
        <f t="shared" si="6"/>
        <v>1888000</v>
      </c>
      <c r="I18" s="893"/>
      <c r="J18" s="893"/>
      <c r="K18" s="892">
        <f t="shared" si="7"/>
        <v>1888000</v>
      </c>
      <c r="L18" s="893"/>
      <c r="M18" s="893"/>
      <c r="N18" s="892">
        <f t="shared" si="8"/>
        <v>1888000</v>
      </c>
      <c r="O18" s="893"/>
    </row>
    <row r="19" spans="1:15" s="886" customFormat="1" ht="20.149999999999999" customHeight="1">
      <c r="A19" s="887"/>
      <c r="B19" s="888"/>
      <c r="C19" s="887"/>
      <c r="D19" s="889">
        <f>SUM(D12:D18)</f>
        <v>147000</v>
      </c>
      <c r="E19" s="894"/>
      <c r="F19" s="890">
        <f>SUM(F12:F18)</f>
        <v>122304000</v>
      </c>
      <c r="G19" s="890">
        <f>SUM(G12:G18)</f>
        <v>16464000</v>
      </c>
      <c r="H19" s="890">
        <f>SUM(H12:H18)</f>
        <v>138768000</v>
      </c>
      <c r="I19" s="894"/>
      <c r="J19" s="894"/>
      <c r="K19" s="890">
        <f>SUM(K12:K18)</f>
        <v>138768000</v>
      </c>
      <c r="L19" s="894"/>
      <c r="M19" s="894"/>
      <c r="N19" s="890">
        <f>SUM(N12:N18)</f>
        <v>138768000</v>
      </c>
      <c r="O19" s="894"/>
    </row>
    <row r="20" spans="1:15" s="886" customFormat="1" ht="20.149999999999999" customHeight="1">
      <c r="A20" s="881" t="s">
        <v>1764</v>
      </c>
      <c r="B20" s="882">
        <v>43551</v>
      </c>
      <c r="C20" s="881" t="s">
        <v>1765</v>
      </c>
      <c r="D20" s="891">
        <v>20000</v>
      </c>
      <c r="E20" s="892">
        <v>1170.53692</v>
      </c>
      <c r="F20" s="891">
        <f>D20*E20</f>
        <v>23410738.399999999</v>
      </c>
      <c r="G20" s="892">
        <v>11680000</v>
      </c>
      <c r="H20" s="892">
        <f>F20+G20</f>
        <v>35090738.399999999</v>
      </c>
      <c r="I20" s="893"/>
      <c r="J20" s="893"/>
      <c r="K20" s="892">
        <f>H20</f>
        <v>35090738.399999999</v>
      </c>
      <c r="L20" s="893"/>
      <c r="M20" s="893"/>
      <c r="N20" s="892">
        <f>K20</f>
        <v>35090738.399999999</v>
      </c>
      <c r="O20" s="893"/>
    </row>
    <row r="21" spans="1:15" s="886" customFormat="1" ht="20.149999999999999" customHeight="1">
      <c r="A21" s="881" t="s">
        <v>1764</v>
      </c>
      <c r="B21" s="882">
        <v>43551</v>
      </c>
      <c r="C21" s="881" t="s">
        <v>1766</v>
      </c>
      <c r="D21" s="891">
        <v>15000</v>
      </c>
      <c r="E21" s="892">
        <v>1170.53692</v>
      </c>
      <c r="F21" s="891">
        <f>D21*E21</f>
        <v>17558053.800000001</v>
      </c>
      <c r="G21" s="892">
        <v>8760000</v>
      </c>
      <c r="H21" s="892">
        <f>F21+G21</f>
        <v>26318053.800000001</v>
      </c>
      <c r="I21" s="893"/>
      <c r="J21" s="893"/>
      <c r="K21" s="892">
        <f>H21</f>
        <v>26318053.800000001</v>
      </c>
      <c r="L21" s="893"/>
      <c r="M21" s="893"/>
      <c r="N21" s="892">
        <f>K21</f>
        <v>26318053.800000001</v>
      </c>
      <c r="O21" s="893"/>
    </row>
    <row r="22" spans="1:15" s="886" customFormat="1" ht="20.149999999999999" customHeight="1">
      <c r="A22" s="887"/>
      <c r="B22" s="888"/>
      <c r="C22" s="887"/>
      <c r="D22" s="889">
        <f>SUM(D20:D21)</f>
        <v>35000</v>
      </c>
      <c r="E22" s="894"/>
      <c r="F22" s="890">
        <f>SUM(F20:F21)</f>
        <v>40968792.200000003</v>
      </c>
      <c r="G22" s="890">
        <f>SUM(G20:G21)</f>
        <v>20440000</v>
      </c>
      <c r="H22" s="890">
        <f>SUM(H20:H21)</f>
        <v>61408792.200000003</v>
      </c>
      <c r="I22" s="894"/>
      <c r="J22" s="894"/>
      <c r="K22" s="890">
        <f>SUM(K20:K21)</f>
        <v>61408792.200000003</v>
      </c>
      <c r="L22" s="894"/>
      <c r="M22" s="894"/>
      <c r="N22" s="890">
        <f>SUM(N20:N21)</f>
        <v>61408792.200000003</v>
      </c>
      <c r="O22" s="894"/>
    </row>
    <row r="23" spans="1:15" s="886" customFormat="1" ht="20.149999999999999" customHeight="1">
      <c r="A23" s="881" t="s">
        <v>1767</v>
      </c>
      <c r="B23" s="882">
        <v>43915</v>
      </c>
      <c r="C23" s="881" t="s">
        <v>1751</v>
      </c>
      <c r="D23" s="895">
        <v>30000</v>
      </c>
      <c r="E23" s="892">
        <v>825</v>
      </c>
      <c r="F23" s="891">
        <f>D23*E23</f>
        <v>24750000</v>
      </c>
      <c r="G23" s="893"/>
      <c r="H23" s="893"/>
      <c r="I23" s="893"/>
      <c r="J23" s="893"/>
      <c r="K23" s="892">
        <f>F23</f>
        <v>24750000</v>
      </c>
      <c r="L23" s="893"/>
      <c r="M23" s="893"/>
      <c r="N23" s="892">
        <f>K23</f>
        <v>24750000</v>
      </c>
      <c r="O23" s="893"/>
    </row>
    <row r="24" spans="1:15" s="886" customFormat="1" ht="20.149999999999999" customHeight="1">
      <c r="A24" s="881" t="s">
        <v>1767</v>
      </c>
      <c r="B24" s="882">
        <v>43915</v>
      </c>
      <c r="C24" s="881" t="s">
        <v>1768</v>
      </c>
      <c r="D24" s="895">
        <v>13000</v>
      </c>
      <c r="E24" s="892">
        <v>825</v>
      </c>
      <c r="F24" s="891">
        <f t="shared" ref="F24:F30" si="9">D24*E24</f>
        <v>10725000</v>
      </c>
      <c r="G24" s="893"/>
      <c r="H24" s="893"/>
      <c r="I24" s="893"/>
      <c r="J24" s="893"/>
      <c r="K24" s="892">
        <f t="shared" ref="K24:K30" si="10">F24</f>
        <v>10725000</v>
      </c>
      <c r="L24" s="893"/>
      <c r="M24" s="893"/>
      <c r="N24" s="892">
        <f t="shared" ref="N24:N30" si="11">K24</f>
        <v>10725000</v>
      </c>
      <c r="O24" s="893"/>
    </row>
    <row r="25" spans="1:15" s="886" customFormat="1" ht="20.149999999999999" customHeight="1">
      <c r="A25" s="881" t="s">
        <v>1769</v>
      </c>
      <c r="B25" s="882">
        <v>43915</v>
      </c>
      <c r="C25" s="881" t="s">
        <v>1770</v>
      </c>
      <c r="D25" s="895">
        <v>18000</v>
      </c>
      <c r="E25" s="892">
        <v>825</v>
      </c>
      <c r="F25" s="891">
        <f t="shared" si="9"/>
        <v>14850000</v>
      </c>
      <c r="G25" s="893"/>
      <c r="H25" s="893"/>
      <c r="I25" s="893"/>
      <c r="J25" s="893"/>
      <c r="K25" s="892">
        <f t="shared" si="10"/>
        <v>14850000</v>
      </c>
      <c r="L25" s="893"/>
      <c r="M25" s="893"/>
      <c r="N25" s="892">
        <f t="shared" si="11"/>
        <v>14850000</v>
      </c>
      <c r="O25" s="893"/>
    </row>
    <row r="26" spans="1:15" s="886" customFormat="1" ht="20.149999999999999" customHeight="1">
      <c r="A26" s="881" t="s">
        <v>1769</v>
      </c>
      <c r="B26" s="882">
        <v>43915</v>
      </c>
      <c r="C26" s="881" t="s">
        <v>1761</v>
      </c>
      <c r="D26" s="895">
        <v>1000</v>
      </c>
      <c r="E26" s="892">
        <v>825</v>
      </c>
      <c r="F26" s="891">
        <f t="shared" si="9"/>
        <v>825000</v>
      </c>
      <c r="G26" s="893"/>
      <c r="H26" s="893"/>
      <c r="I26" s="893"/>
      <c r="J26" s="893"/>
      <c r="K26" s="892">
        <f t="shared" si="10"/>
        <v>825000</v>
      </c>
      <c r="L26" s="893"/>
      <c r="M26" s="893"/>
      <c r="N26" s="892">
        <f t="shared" si="11"/>
        <v>825000</v>
      </c>
      <c r="O26" s="893"/>
    </row>
    <row r="27" spans="1:15" s="886" customFormat="1" ht="20.149999999999999" customHeight="1">
      <c r="A27" s="881" t="s">
        <v>1769</v>
      </c>
      <c r="B27" s="882">
        <v>43915</v>
      </c>
      <c r="C27" s="881" t="s">
        <v>1763</v>
      </c>
      <c r="D27" s="895">
        <v>1000</v>
      </c>
      <c r="E27" s="892">
        <v>825</v>
      </c>
      <c r="F27" s="891">
        <f t="shared" si="9"/>
        <v>825000</v>
      </c>
      <c r="G27" s="893"/>
      <c r="H27" s="893"/>
      <c r="I27" s="893"/>
      <c r="J27" s="893"/>
      <c r="K27" s="892">
        <f t="shared" si="10"/>
        <v>825000</v>
      </c>
      <c r="L27" s="893"/>
      <c r="M27" s="893"/>
      <c r="N27" s="892">
        <f t="shared" si="11"/>
        <v>825000</v>
      </c>
      <c r="O27" s="893"/>
    </row>
    <row r="28" spans="1:15" s="886" customFormat="1" ht="20.149999999999999" customHeight="1">
      <c r="A28" s="881" t="s">
        <v>1769</v>
      </c>
      <c r="B28" s="882">
        <v>43915</v>
      </c>
      <c r="C28" s="881" t="s">
        <v>1771</v>
      </c>
      <c r="D28" s="895">
        <v>2000</v>
      </c>
      <c r="E28" s="892">
        <v>825</v>
      </c>
      <c r="F28" s="891">
        <f t="shared" si="9"/>
        <v>1650000</v>
      </c>
      <c r="G28" s="893"/>
      <c r="H28" s="893"/>
      <c r="I28" s="893"/>
      <c r="J28" s="893"/>
      <c r="K28" s="892">
        <f t="shared" si="10"/>
        <v>1650000</v>
      </c>
      <c r="L28" s="893"/>
      <c r="M28" s="893"/>
      <c r="N28" s="892">
        <f t="shared" si="11"/>
        <v>1650000</v>
      </c>
      <c r="O28" s="893"/>
    </row>
    <row r="29" spans="1:15" s="886" customFormat="1" ht="20.149999999999999" customHeight="1">
      <c r="A29" s="881" t="s">
        <v>1769</v>
      </c>
      <c r="B29" s="882">
        <v>43915</v>
      </c>
      <c r="C29" s="881" t="s">
        <v>1772</v>
      </c>
      <c r="D29" s="895">
        <v>1000</v>
      </c>
      <c r="E29" s="892">
        <v>825</v>
      </c>
      <c r="F29" s="891">
        <f t="shared" si="9"/>
        <v>825000</v>
      </c>
      <c r="G29" s="893"/>
      <c r="H29" s="893"/>
      <c r="I29" s="893"/>
      <c r="J29" s="893"/>
      <c r="K29" s="892">
        <f t="shared" si="10"/>
        <v>825000</v>
      </c>
      <c r="L29" s="893"/>
      <c r="M29" s="893"/>
      <c r="N29" s="892">
        <f t="shared" si="11"/>
        <v>825000</v>
      </c>
      <c r="O29" s="893"/>
    </row>
    <row r="30" spans="1:15" s="886" customFormat="1" ht="20.149999999999999" customHeight="1">
      <c r="A30" s="881" t="s">
        <v>1769</v>
      </c>
      <c r="B30" s="882">
        <v>43915</v>
      </c>
      <c r="C30" s="881" t="s">
        <v>1773</v>
      </c>
      <c r="D30" s="895">
        <v>1000</v>
      </c>
      <c r="E30" s="892">
        <v>825</v>
      </c>
      <c r="F30" s="891">
        <f t="shared" si="9"/>
        <v>825000</v>
      </c>
      <c r="G30" s="893"/>
      <c r="H30" s="893"/>
      <c r="I30" s="893"/>
      <c r="J30" s="893"/>
      <c r="K30" s="892">
        <f t="shared" si="10"/>
        <v>825000</v>
      </c>
      <c r="L30" s="893"/>
      <c r="M30" s="893"/>
      <c r="N30" s="892">
        <f t="shared" si="11"/>
        <v>825000</v>
      </c>
      <c r="O30" s="893"/>
    </row>
    <row r="31" spans="1:15" s="886" customFormat="1" ht="20.149999999999999" customHeight="1">
      <c r="A31" s="887"/>
      <c r="B31" s="888"/>
      <c r="C31" s="887"/>
      <c r="D31" s="896">
        <f>SUM(D23:D30)</f>
        <v>67000</v>
      </c>
      <c r="E31" s="894"/>
      <c r="F31" s="890">
        <f>SUM(F23:F30)</f>
        <v>55275000</v>
      </c>
      <c r="G31" s="894"/>
      <c r="H31" s="894"/>
      <c r="I31" s="894"/>
      <c r="J31" s="894"/>
      <c r="K31" s="890">
        <f>SUM(K23:K30)</f>
        <v>55275000</v>
      </c>
      <c r="L31" s="894"/>
      <c r="M31" s="894"/>
      <c r="N31" s="890">
        <f>SUM(N23:N30)</f>
        <v>55275000</v>
      </c>
      <c r="O31" s="894"/>
    </row>
    <row r="32" spans="1:15" s="886" customFormat="1" ht="20.149999999999999" customHeight="1">
      <c r="A32" s="881" t="s">
        <v>1774</v>
      </c>
      <c r="B32" s="882">
        <v>44648</v>
      </c>
      <c r="C32" s="881" t="s">
        <v>1790</v>
      </c>
      <c r="D32" s="891">
        <v>10000</v>
      </c>
      <c r="E32" s="892">
        <v>833</v>
      </c>
      <c r="F32" s="891">
        <f>D32*E32</f>
        <v>8330000</v>
      </c>
      <c r="G32" s="893"/>
      <c r="H32" s="893"/>
      <c r="I32" s="893"/>
      <c r="J32" s="893"/>
      <c r="K32" s="892">
        <f>F32</f>
        <v>8330000</v>
      </c>
      <c r="L32" s="893"/>
      <c r="M32" s="893"/>
      <c r="N32" s="892">
        <f>K32</f>
        <v>8330000</v>
      </c>
      <c r="O32" s="893"/>
    </row>
    <row r="33" spans="1:15" s="886" customFormat="1" ht="20.149999999999999" customHeight="1">
      <c r="A33" s="881" t="s">
        <v>1774</v>
      </c>
      <c r="B33" s="882">
        <v>44648</v>
      </c>
      <c r="C33" s="881" t="s">
        <v>1791</v>
      </c>
      <c r="D33" s="891">
        <v>10000</v>
      </c>
      <c r="E33" s="892">
        <v>833</v>
      </c>
      <c r="F33" s="891">
        <f t="shared" ref="F33:F39" si="12">D33*E33</f>
        <v>8330000</v>
      </c>
      <c r="G33" s="893"/>
      <c r="H33" s="893"/>
      <c r="I33" s="893"/>
      <c r="J33" s="893"/>
      <c r="K33" s="892">
        <f t="shared" ref="K33:K39" si="13">F33</f>
        <v>8330000</v>
      </c>
      <c r="L33" s="893"/>
      <c r="M33" s="893"/>
      <c r="N33" s="892">
        <f t="shared" ref="N33:N39" si="14">K33</f>
        <v>8330000</v>
      </c>
      <c r="O33" s="893"/>
    </row>
    <row r="34" spans="1:15" s="898" customFormat="1" ht="20.149999999999999" customHeight="1">
      <c r="A34" s="881" t="s">
        <v>1775</v>
      </c>
      <c r="B34" s="882">
        <v>44648</v>
      </c>
      <c r="C34" s="881" t="s">
        <v>1751</v>
      </c>
      <c r="D34" s="891">
        <v>10000</v>
      </c>
      <c r="E34" s="892">
        <v>833</v>
      </c>
      <c r="F34" s="891">
        <f t="shared" si="12"/>
        <v>8330000</v>
      </c>
      <c r="G34" s="897"/>
      <c r="H34" s="897"/>
      <c r="I34" s="897"/>
      <c r="J34" s="897"/>
      <c r="K34" s="892">
        <f t="shared" si="13"/>
        <v>8330000</v>
      </c>
      <c r="L34" s="897"/>
      <c r="M34" s="897"/>
      <c r="N34" s="892">
        <f t="shared" si="14"/>
        <v>8330000</v>
      </c>
      <c r="O34" s="897"/>
    </row>
    <row r="35" spans="1:15" s="886" customFormat="1" ht="20.149999999999999" customHeight="1">
      <c r="A35" s="881" t="s">
        <v>1775</v>
      </c>
      <c r="B35" s="882">
        <v>44648</v>
      </c>
      <c r="C35" s="881" t="s">
        <v>1768</v>
      </c>
      <c r="D35" s="891">
        <v>10000</v>
      </c>
      <c r="E35" s="892">
        <v>833</v>
      </c>
      <c r="F35" s="891">
        <f t="shared" si="12"/>
        <v>8330000</v>
      </c>
      <c r="G35" s="893"/>
      <c r="H35" s="893"/>
      <c r="I35" s="893"/>
      <c r="J35" s="893"/>
      <c r="K35" s="892">
        <f t="shared" si="13"/>
        <v>8330000</v>
      </c>
      <c r="L35" s="893"/>
      <c r="M35" s="893"/>
      <c r="N35" s="892">
        <f t="shared" si="14"/>
        <v>8330000</v>
      </c>
      <c r="O35" s="893"/>
    </row>
    <row r="36" spans="1:15" s="886" customFormat="1" ht="20.149999999999999" customHeight="1">
      <c r="A36" s="881" t="s">
        <v>1775</v>
      </c>
      <c r="B36" s="882">
        <v>44648</v>
      </c>
      <c r="C36" s="881" t="s">
        <v>1792</v>
      </c>
      <c r="D36" s="891">
        <v>5000</v>
      </c>
      <c r="E36" s="892">
        <v>833</v>
      </c>
      <c r="F36" s="891">
        <f t="shared" si="12"/>
        <v>4165000</v>
      </c>
      <c r="G36" s="893"/>
      <c r="H36" s="893"/>
      <c r="I36" s="893"/>
      <c r="J36" s="893"/>
      <c r="K36" s="892">
        <f t="shared" si="13"/>
        <v>4165000</v>
      </c>
      <c r="L36" s="893"/>
      <c r="M36" s="893"/>
      <c r="N36" s="892">
        <f t="shared" si="14"/>
        <v>4165000</v>
      </c>
      <c r="O36" s="893"/>
    </row>
    <row r="37" spans="1:15" s="886" customFormat="1" ht="20.149999999999999" customHeight="1">
      <c r="A37" s="881" t="s">
        <v>1775</v>
      </c>
      <c r="B37" s="882">
        <v>44648</v>
      </c>
      <c r="C37" s="881" t="s">
        <v>1760</v>
      </c>
      <c r="D37" s="891">
        <v>2000</v>
      </c>
      <c r="E37" s="892">
        <v>833</v>
      </c>
      <c r="F37" s="891">
        <f t="shared" si="12"/>
        <v>1666000</v>
      </c>
      <c r="G37" s="893"/>
      <c r="H37" s="893"/>
      <c r="I37" s="893"/>
      <c r="J37" s="893"/>
      <c r="K37" s="892">
        <f t="shared" si="13"/>
        <v>1666000</v>
      </c>
      <c r="L37" s="893"/>
      <c r="M37" s="893"/>
      <c r="N37" s="892">
        <f t="shared" si="14"/>
        <v>1666000</v>
      </c>
      <c r="O37" s="893"/>
    </row>
    <row r="38" spans="1:15" s="886" customFormat="1" ht="20.149999999999999" customHeight="1">
      <c r="A38" s="881" t="s">
        <v>1775</v>
      </c>
      <c r="B38" s="882">
        <v>44648</v>
      </c>
      <c r="C38" s="881" t="s">
        <v>1793</v>
      </c>
      <c r="D38" s="891">
        <v>2000</v>
      </c>
      <c r="E38" s="892">
        <v>833</v>
      </c>
      <c r="F38" s="891">
        <f t="shared" si="12"/>
        <v>1666000</v>
      </c>
      <c r="G38" s="893"/>
      <c r="H38" s="893"/>
      <c r="I38" s="893"/>
      <c r="J38" s="893"/>
      <c r="K38" s="892">
        <f t="shared" si="13"/>
        <v>1666000</v>
      </c>
      <c r="L38" s="893"/>
      <c r="M38" s="893"/>
      <c r="N38" s="892">
        <f t="shared" si="14"/>
        <v>1666000</v>
      </c>
      <c r="O38" s="893"/>
    </row>
    <row r="39" spans="1:15" s="886" customFormat="1" ht="20.149999999999999" customHeight="1">
      <c r="A39" s="881" t="s">
        <v>1775</v>
      </c>
      <c r="B39" s="882">
        <v>44648</v>
      </c>
      <c r="C39" s="881" t="s">
        <v>1761</v>
      </c>
      <c r="D39" s="891">
        <v>1000</v>
      </c>
      <c r="E39" s="892">
        <v>833</v>
      </c>
      <c r="F39" s="891">
        <f t="shared" si="12"/>
        <v>833000</v>
      </c>
      <c r="G39" s="893"/>
      <c r="H39" s="893"/>
      <c r="I39" s="893"/>
      <c r="J39" s="893"/>
      <c r="K39" s="892">
        <f t="shared" si="13"/>
        <v>833000</v>
      </c>
      <c r="L39" s="893"/>
      <c r="M39" s="893"/>
      <c r="N39" s="892">
        <f t="shared" si="14"/>
        <v>833000</v>
      </c>
      <c r="O39" s="893"/>
    </row>
    <row r="40" spans="1:15" s="886" customFormat="1" ht="20.149999999999999" customHeight="1">
      <c r="A40" s="894"/>
      <c r="B40" s="894"/>
      <c r="C40" s="894"/>
      <c r="D40" s="889">
        <f>SUM(D32:D39)</f>
        <v>50000</v>
      </c>
      <c r="E40" s="894"/>
      <c r="F40" s="890">
        <f>SUM(F32:F39)</f>
        <v>41650000</v>
      </c>
      <c r="G40" s="894"/>
      <c r="H40" s="894"/>
      <c r="I40" s="894"/>
      <c r="J40" s="894"/>
      <c r="K40" s="890">
        <f>SUM(K32:K39)</f>
        <v>41650000</v>
      </c>
      <c r="L40" s="894"/>
      <c r="M40" s="894"/>
      <c r="N40" s="890">
        <f>SUM(N32:N39)</f>
        <v>41650000</v>
      </c>
      <c r="O40" s="894"/>
    </row>
    <row r="41" spans="1:15" s="886" customFormat="1" ht="20.149999999999999" customHeight="1">
      <c r="D41" s="899"/>
      <c r="K41" s="900">
        <f>K11+K19+K22+K31+K40</f>
        <v>377682897.71674675</v>
      </c>
      <c r="N41" s="900">
        <f>N11+N19+N22+N31+N40</f>
        <v>349840327.68593091</v>
      </c>
    </row>
    <row r="42" spans="1:15" s="886" customFormat="1" ht="20.149999999999999" customHeight="1">
      <c r="D42" s="899"/>
      <c r="J42" s="901" t="s">
        <v>1776</v>
      </c>
      <c r="K42" s="899">
        <v>377682898</v>
      </c>
      <c r="M42" s="901" t="s">
        <v>1776</v>
      </c>
      <c r="N42" s="899">
        <v>349840328</v>
      </c>
    </row>
    <row r="43" spans="1:15">
      <c r="K43" s="903">
        <f>K42-K41</f>
        <v>0.2832532525062561</v>
      </c>
    </row>
  </sheetData>
  <phoneticPr fontId="232" type="noConversion"/>
  <pageMargins left="0.23622047244094491" right="0.23622047244094491" top="0.35433070866141736" bottom="0.35433070866141736" header="0" footer="0"/>
  <pageSetup paperSize="9" scale="80" orientation="landscape" r:id="rId1"/>
  <drawing r:id="rId2"/>
  <legacyDrawing r:id="rId3"/>
</worksheet>
</file>

<file path=xl/worksheets/sheet58.xml><?xml version="1.0" encoding="utf-8"?>
<worksheet xmlns="http://schemas.openxmlformats.org/spreadsheetml/2006/main">
  <sheetPr>
    <tabColor rgb="001F4E78"/>
    <outlinePr summaryBelow="1" summaryRight="1"/>
    <pageSetUpPr fitToPage="1"/>
  </sheetPr>
  <dimension ref="B1:S138"/>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style="1333" min="1" max="1"/>
    <col width="10" customWidth="1" style="1333" min="2" max="2"/>
    <col width="2" customWidth="1" style="1333" min="3" max="3"/>
    <col width="34" customWidth="1" style="1333" min="4" max="4"/>
    <col width="16" customWidth="1" style="1333" min="5" max="5"/>
    <col width="14" customWidth="1" style="1333" min="6" max="6"/>
    <col width="14" customWidth="1" style="1333" min="7" max="7"/>
    <col width="16" customWidth="1" style="1333" min="8" max="8"/>
    <col width="2" customWidth="1" style="1333" min="9" max="9"/>
    <col width="16" customWidth="1" style="1333" min="10" max="10"/>
    <col width="14" customWidth="1" style="1333" min="11" max="11"/>
    <col width="14" customWidth="1" style="1333" min="12" max="12"/>
    <col width="16" customWidth="1" style="1333" min="13" max="13"/>
    <col width="2" customWidth="1" style="1333" min="14" max="14"/>
    <col width="18" customWidth="1" style="1333" min="15" max="15"/>
    <col width="18" customWidth="1" style="1333" min="16" max="16"/>
    <col width="12" customWidth="1" style="1333" min="17" max="17"/>
    <col width="7" customWidth="1" style="1333" min="18" max="18"/>
    <col width="11" customWidth="1" style="1333" min="19" max="19"/>
    <col width="9" customWidth="1" style="1333" min="20" max="20"/>
  </cols>
  <sheetData>
    <row r="1">
      <c r="B1" s="1334" t="inlineStr">
        <is>
          <t>정산표 (IFRS 18 손익계산서 기준) - 별도</t>
        </is>
      </c>
    </row>
    <row r="2">
      <c r="B2" s="1335" t="inlineStr">
        <is>
          <t>※ 기존 [정산표] 시트의 금액을 그대로 연동하여 IFRS 18 범주(영업·투자·재무·법인세)로 재분류한 정산표입니다. 재분류는 하단 [부록 1]의 P열(노란색·파란글씨)에서 변경하면 자동 반영됩니다.</t>
        </is>
      </c>
    </row>
    <row r="3">
      <c r="E3" s="1336">
        <f>'정산표'!E3</f>
        <v>46203</v>
      </c>
      <c r="J3" s="1336">
        <f>'정산표'!J3</f>
        <v>46022</v>
      </c>
    </row>
    <row r="4">
      <c r="B4" s="1337" t="inlineStr">
        <is>
          <t>Code</t>
        </is>
      </c>
      <c r="D4" s="1337" t="inlineStr">
        <is>
          <t>계정과목</t>
        </is>
      </c>
      <c r="E4" s="1337" t="inlineStr">
        <is>
          <t>수정전</t>
        </is>
      </c>
      <c r="F4" s="1337" t="inlineStr">
        <is>
          <t>차변</t>
        </is>
      </c>
      <c r="G4" s="1337" t="inlineStr">
        <is>
          <t>대변</t>
        </is>
      </c>
      <c r="H4" s="1337" t="inlineStr">
        <is>
          <t>수정후</t>
        </is>
      </c>
      <c r="J4" s="1337" t="inlineStr">
        <is>
          <t>수정전</t>
        </is>
      </c>
      <c r="K4" s="1337" t="inlineStr">
        <is>
          <t>차변</t>
        </is>
      </c>
      <c r="L4" s="1337" t="inlineStr">
        <is>
          <t>대변</t>
        </is>
      </c>
      <c r="M4" s="1337" t="inlineStr">
        <is>
          <t>수정후</t>
        </is>
      </c>
    </row>
    <row r="5">
      <c r="B5" s="1338" t="inlineStr">
        <is>
          <t>Ⅰ. 영업 범주</t>
        </is>
      </c>
      <c r="C5" s="1339" t="n"/>
      <c r="D5" s="1339" t="n"/>
      <c r="E5" s="1339" t="n"/>
      <c r="F5" s="1339" t="n"/>
      <c r="G5" s="1339" t="n"/>
      <c r="H5" s="1339" t="n"/>
      <c r="I5" s="1339" t="n"/>
      <c r="J5" s="1339" t="n"/>
      <c r="K5" s="1339" t="n"/>
      <c r="L5" s="1339" t="n"/>
      <c r="M5" s="1339" t="n"/>
    </row>
    <row r="6">
      <c r="D6" s="1340" t="inlineStr">
        <is>
          <t>매출액</t>
        </is>
      </c>
      <c r="E6" s="1341">
        <f>SUMIFS(E$63:E$121,$P$63:$P$121,$D6)</f>
        <v>8288170687</v>
      </c>
      <c r="F6" s="1341">
        <f>SUMIFS(F$63:F$121,$P$63:$P$121,$D6)</f>
        <v>0</v>
      </c>
      <c r="G6" s="1341">
        <f>SUMIFS(G$63:G$121,$P$63:$P$121,$D6)</f>
        <v>0</v>
      </c>
      <c r="H6" s="1341">
        <f>SUMIFS(H$63:H$121,$P$63:$P$121,$D6)</f>
        <v>8288170687</v>
      </c>
      <c r="J6" s="1341">
        <f>SUMIFS(J$63:J$121,$P$63:$P$121,$D6)</f>
        <v>8817426997</v>
      </c>
      <c r="K6" s="1341">
        <f>SUMIFS(K$63:K$121,$P$63:$P$121,$D6)</f>
        <v>0</v>
      </c>
      <c r="L6" s="1341">
        <f>SUMIFS(L$63:L$121,$P$63:$P$121,$D6)</f>
        <v>0</v>
      </c>
      <c r="M6" s="1341">
        <f>SUMIFS(M$63:M$121,$P$63:$P$121,$D6)</f>
        <v>8817426997</v>
      </c>
    </row>
    <row r="7">
      <c r="D7" s="1340" t="inlineStr">
        <is>
          <t>매출원가</t>
        </is>
      </c>
      <c r="E7" s="1341">
        <f>SUMIFS(E$63:E$121,$P$63:$P$121,$D7)</f>
        <v>3596633522</v>
      </c>
      <c r="F7" s="1341">
        <f>SUMIFS(F$63:F$121,$P$63:$P$121,$D7)</f>
        <v>0</v>
      </c>
      <c r="G7" s="1341">
        <f>SUMIFS(G$63:G$121,$P$63:$P$121,$D7)</f>
        <v>0</v>
      </c>
      <c r="H7" s="1341">
        <f>SUMIFS(H$63:H$121,$P$63:$P$121,$D7)</f>
        <v>3596633522</v>
      </c>
      <c r="J7" s="1341">
        <f>SUMIFS(J$63:J$121,$P$63:$P$121,$D7)</f>
        <v>3527195264</v>
      </c>
      <c r="K7" s="1341">
        <f>SUMIFS(K$63:K$121,$P$63:$P$121,$D7)</f>
        <v>0</v>
      </c>
      <c r="L7" s="1341">
        <f>SUMIFS(L$63:L$121,$P$63:$P$121,$D7)</f>
        <v>0</v>
      </c>
      <c r="M7" s="1341">
        <f>SUMIFS(M$63:M$121,$P$63:$P$121,$D7)</f>
        <v>3527195264</v>
      </c>
    </row>
    <row r="8">
      <c r="B8" s="1342" t="n"/>
      <c r="D8" s="1343" t="inlineStr">
        <is>
          <t>매출총이익</t>
        </is>
      </c>
      <c r="E8" s="1344">
        <f>E6-E7</f>
        <v>4691537165</v>
      </c>
      <c r="F8" s="1342" t="n"/>
      <c r="G8" s="1342" t="n"/>
      <c r="H8" s="1344">
        <f>H6-H7</f>
        <v>4691537165</v>
      </c>
      <c r="J8" s="1344">
        <f>J6-J7</f>
        <v>5290231733</v>
      </c>
      <c r="K8" s="1342" t="n"/>
      <c r="L8" s="1342" t="n"/>
      <c r="M8" s="1344">
        <f>M6-M7</f>
        <v>5290231733</v>
      </c>
    </row>
    <row r="9">
      <c r="D9" s="1340" t="inlineStr">
        <is>
          <t>판매비와관리비</t>
        </is>
      </c>
      <c r="E9" s="1341">
        <f>SUMIFS(E$63:E$121,$P$63:$P$121,$D9)</f>
        <v>5378351282</v>
      </c>
      <c r="F9" s="1341">
        <f>SUMIFS(F$63:F$121,$P$63:$P$121,$D9)</f>
        <v>0</v>
      </c>
      <c r="G9" s="1341">
        <f>SUMIFS(G$63:G$121,$P$63:$P$121,$D9)</f>
        <v>0</v>
      </c>
      <c r="H9" s="1341">
        <f>SUMIFS(H$63:H$121,$P$63:$P$121,$D9)</f>
        <v>5378351282</v>
      </c>
      <c r="J9" s="1341">
        <f>SUMIFS(J$63:J$121,$P$63:$P$121,$D9)</f>
        <v>3878517000</v>
      </c>
      <c r="K9" s="1341">
        <f>SUMIFS(K$63:K$121,$P$63:$P$121,$D9)</f>
        <v>0</v>
      </c>
      <c r="L9" s="1341">
        <f>SUMIFS(L$63:L$121,$P$63:$P$121,$D9)</f>
        <v>0</v>
      </c>
      <c r="M9" s="1341">
        <f>SUMIFS(M$63:M$121,$P$63:$P$121,$D9)</f>
        <v>3878517000</v>
      </c>
    </row>
    <row r="10">
      <c r="D10" s="1340" t="inlineStr">
        <is>
          <t>기타영업수익</t>
        </is>
      </c>
      <c r="E10" s="1341">
        <f>SUMIFS(E$63:E$121,$P$63:$P$121,$D10)</f>
        <v>151841271</v>
      </c>
      <c r="F10" s="1341">
        <f>SUMIFS(F$63:F$121,$P$63:$P$121,$D10)</f>
        <v>0</v>
      </c>
      <c r="G10" s="1341">
        <f>SUMIFS(G$63:G$121,$P$63:$P$121,$D10)</f>
        <v>0</v>
      </c>
      <c r="H10" s="1341">
        <f>SUMIFS(H$63:H$121,$P$63:$P$121,$D10)</f>
        <v>151841271</v>
      </c>
      <c r="J10" s="1341">
        <f>SUMIFS(J$63:J$121,$P$63:$P$121,$D10)</f>
        <v>28441829</v>
      </c>
      <c r="K10" s="1341">
        <f>SUMIFS(K$63:K$121,$P$63:$P$121,$D10)</f>
        <v>0</v>
      </c>
      <c r="L10" s="1341">
        <f>SUMIFS(L$63:L$121,$P$63:$P$121,$D10)</f>
        <v>0</v>
      </c>
      <c r="M10" s="1341">
        <f>SUMIFS(M$63:M$121,$P$63:$P$121,$D10)</f>
        <v>28441829</v>
      </c>
    </row>
    <row r="11">
      <c r="D11" s="1340" t="inlineStr">
        <is>
          <t>기타영업비용</t>
        </is>
      </c>
      <c r="E11" s="1341">
        <f>SUMIFS(E$63:E$121,$P$63:$P$121,$D11)</f>
        <v>177020574</v>
      </c>
      <c r="F11" s="1341">
        <f>SUMIFS(F$63:F$121,$P$63:$P$121,$D11)</f>
        <v>0</v>
      </c>
      <c r="G11" s="1341">
        <f>SUMIFS(G$63:G$121,$P$63:$P$121,$D11)</f>
        <v>0</v>
      </c>
      <c r="H11" s="1341">
        <f>SUMIFS(H$63:H$121,$P$63:$P$121,$D11)</f>
        <v>177020574</v>
      </c>
      <c r="J11" s="1341">
        <f>SUMIFS(J$63:J$121,$P$63:$P$121,$D11)</f>
        <v>101288328</v>
      </c>
      <c r="K11" s="1341">
        <f>SUMIFS(K$63:K$121,$P$63:$P$121,$D11)</f>
        <v>0</v>
      </c>
      <c r="L11" s="1341">
        <f>SUMIFS(L$63:L$121,$P$63:$P$121,$D11)</f>
        <v>0</v>
      </c>
      <c r="M11" s="1341">
        <f>SUMIFS(M$63:M$121,$P$63:$P$121,$D11)</f>
        <v>101288328</v>
      </c>
    </row>
    <row r="12">
      <c r="B12" s="1345" t="n"/>
      <c r="D12" s="1346" t="inlineStr">
        <is>
          <t>영업손익</t>
        </is>
      </c>
      <c r="E12" s="1347">
        <f>E8-E9+E10-E11</f>
        <v>-711993420</v>
      </c>
      <c r="F12" s="1345" t="n"/>
      <c r="G12" s="1345" t="n"/>
      <c r="H12" s="1347">
        <f>H8-H9+H10-H11</f>
        <v>-711993420</v>
      </c>
      <c r="J12" s="1347">
        <f>J8-J9+J10-J11</f>
        <v>1338868234</v>
      </c>
      <c r="K12" s="1345" t="n"/>
      <c r="L12" s="1345" t="n"/>
      <c r="M12" s="1347">
        <f>M8-M9+M10-M11</f>
        <v>1338868234</v>
      </c>
    </row>
    <row r="14">
      <c r="B14" s="1338" t="inlineStr">
        <is>
          <t>Ⅱ. 투자 범주</t>
        </is>
      </c>
      <c r="C14" s="1339" t="n"/>
      <c r="D14" s="1339" t="n"/>
      <c r="E14" s="1339" t="n"/>
      <c r="F14" s="1339" t="n"/>
      <c r="G14" s="1339" t="n"/>
      <c r="H14" s="1339" t="n"/>
      <c r="I14" s="1339" t="n"/>
      <c r="J14" s="1339" t="n"/>
      <c r="K14" s="1339" t="n"/>
      <c r="L14" s="1339" t="n"/>
      <c r="M14" s="1339" t="n"/>
    </row>
    <row r="15">
      <c r="D15" s="1340" t="inlineStr">
        <is>
          <t>투자수익</t>
        </is>
      </c>
      <c r="E15" s="1341">
        <f>SUMIFS(E$63:E$121,$P$63:$P$121,$D15)</f>
        <v>22098561</v>
      </c>
      <c r="F15" s="1341">
        <f>SUMIFS(F$63:F$121,$P$63:$P$121,$D15)</f>
        <v>0</v>
      </c>
      <c r="G15" s="1341">
        <f>SUMIFS(G$63:G$121,$P$63:$P$121,$D15)</f>
        <v>0</v>
      </c>
      <c r="H15" s="1341">
        <f>SUMIFS(H$63:H$121,$P$63:$P$121,$D15)</f>
        <v>22098561</v>
      </c>
      <c r="J15" s="1341">
        <f>SUMIFS(J$63:J$121,$P$63:$P$121,$D15)</f>
        <v>28008260</v>
      </c>
      <c r="K15" s="1341">
        <f>SUMIFS(K$63:K$121,$P$63:$P$121,$D15)</f>
        <v>0</v>
      </c>
      <c r="L15" s="1341">
        <f>SUMIFS(L$63:L$121,$P$63:$P$121,$D15)</f>
        <v>0</v>
      </c>
      <c r="M15" s="1341">
        <f>SUMIFS(M$63:M$121,$P$63:$P$121,$D15)</f>
        <v>28008260</v>
      </c>
    </row>
    <row r="16">
      <c r="D16" s="1340" t="inlineStr">
        <is>
          <t>투자비용</t>
        </is>
      </c>
      <c r="E16" s="1341">
        <f>SUMIFS(E$63:E$121,$P$63:$P$121,$D16)</f>
        <v>0</v>
      </c>
      <c r="F16" s="1341">
        <f>SUMIFS(F$63:F$121,$P$63:$P$121,$D16)</f>
        <v>0</v>
      </c>
      <c r="G16" s="1341">
        <f>SUMIFS(G$63:G$121,$P$63:$P$121,$D16)</f>
        <v>0</v>
      </c>
      <c r="H16" s="1341">
        <f>SUMIFS(H$63:H$121,$P$63:$P$121,$D16)</f>
        <v>0</v>
      </c>
      <c r="J16" s="1341">
        <f>SUMIFS(J$63:J$121,$P$63:$P$121,$D16)</f>
        <v>0</v>
      </c>
      <c r="K16" s="1341">
        <f>SUMIFS(K$63:K$121,$P$63:$P$121,$D16)</f>
        <v>0</v>
      </c>
      <c r="L16" s="1341">
        <f>SUMIFS(L$63:L$121,$P$63:$P$121,$D16)</f>
        <v>0</v>
      </c>
      <c r="M16" s="1341">
        <f>SUMIFS(M$63:M$121,$P$63:$P$121,$D16)</f>
        <v>0</v>
      </c>
    </row>
    <row r="17">
      <c r="B17" s="1342" t="n"/>
      <c r="D17" s="1343" t="inlineStr">
        <is>
          <t>투자손익</t>
        </is>
      </c>
      <c r="E17" s="1344">
        <f>E15-E16</f>
        <v>22098561</v>
      </c>
      <c r="F17" s="1342" t="n"/>
      <c r="G17" s="1342" t="n"/>
      <c r="H17" s="1344">
        <f>H15-H16</f>
        <v>22098561</v>
      </c>
      <c r="J17" s="1344">
        <f>J15-J16</f>
        <v>28008260</v>
      </c>
      <c r="K17" s="1342" t="n"/>
      <c r="L17" s="1342" t="n"/>
      <c r="M17" s="1344">
        <f>M15-M16</f>
        <v>28008260</v>
      </c>
    </row>
    <row r="18">
      <c r="B18" s="1345" t="n"/>
      <c r="D18" s="1346" t="inlineStr">
        <is>
          <t>재무 및 법인세 전 손익</t>
        </is>
      </c>
      <c r="E18" s="1347">
        <f>E12+E17</f>
        <v>-689894859</v>
      </c>
      <c r="F18" s="1345" t="n"/>
      <c r="G18" s="1345" t="n"/>
      <c r="H18" s="1347">
        <f>H12+H17</f>
        <v>-689894859</v>
      </c>
      <c r="J18" s="1347">
        <f>J12+J17</f>
        <v>1366876494</v>
      </c>
      <c r="K18" s="1345" t="n"/>
      <c r="L18" s="1345" t="n"/>
      <c r="M18" s="1347">
        <f>M12+M17</f>
        <v>1366876494</v>
      </c>
    </row>
    <row r="20">
      <c r="B20" s="1338" t="inlineStr">
        <is>
          <t>Ⅲ. 재무 범주</t>
        </is>
      </c>
      <c r="C20" s="1339" t="n"/>
      <c r="D20" s="1339" t="n"/>
      <c r="E20" s="1339" t="n"/>
      <c r="F20" s="1339" t="n"/>
      <c r="G20" s="1339" t="n"/>
      <c r="H20" s="1339" t="n"/>
      <c r="I20" s="1339" t="n"/>
      <c r="J20" s="1339" t="n"/>
      <c r="K20" s="1339" t="n"/>
      <c r="L20" s="1339" t="n"/>
      <c r="M20" s="1339" t="n"/>
    </row>
    <row r="21">
      <c r="D21" s="1340" t="inlineStr">
        <is>
          <t>재무수익</t>
        </is>
      </c>
      <c r="E21" s="1341">
        <f>SUMIFS(E$63:E$121,$P$63:$P$121,$D21)</f>
        <v>0</v>
      </c>
      <c r="F21" s="1341">
        <f>SUMIFS(F$63:F$121,$P$63:$P$121,$D21)</f>
        <v>0</v>
      </c>
      <c r="G21" s="1341">
        <f>SUMIFS(G$63:G$121,$P$63:$P$121,$D21)</f>
        <v>0</v>
      </c>
      <c r="H21" s="1341">
        <f>SUMIFS(H$63:H$121,$P$63:$P$121,$D21)</f>
        <v>0</v>
      </c>
      <c r="J21" s="1341">
        <f>SUMIFS(J$63:J$121,$P$63:$P$121,$D21)</f>
        <v>0</v>
      </c>
      <c r="K21" s="1341">
        <f>SUMIFS(K$63:K$121,$P$63:$P$121,$D21)</f>
        <v>0</v>
      </c>
      <c r="L21" s="1341">
        <f>SUMIFS(L$63:L$121,$P$63:$P$121,$D21)</f>
        <v>0</v>
      </c>
      <c r="M21" s="1341">
        <f>SUMIFS(M$63:M$121,$P$63:$P$121,$D21)</f>
        <v>0</v>
      </c>
    </row>
    <row r="22">
      <c r="D22" s="1340" t="inlineStr">
        <is>
          <t>재무비용</t>
        </is>
      </c>
      <c r="E22" s="1341">
        <f>SUMIFS(E$63:E$121,$P$63:$P$121,$D22)</f>
        <v>89862932</v>
      </c>
      <c r="F22" s="1341">
        <f>SUMIFS(F$63:F$121,$P$63:$P$121,$D22)</f>
        <v>9092019</v>
      </c>
      <c r="G22" s="1341">
        <f>SUMIFS(G$63:G$121,$P$63:$P$121,$D22)</f>
        <v>0</v>
      </c>
      <c r="H22" s="1341">
        <f>SUMIFS(H$63:H$121,$P$63:$P$121,$D22)</f>
        <v>98954951</v>
      </c>
      <c r="J22" s="1341">
        <f>SUMIFS(J$63:J$121,$P$63:$P$121,$D22)</f>
        <v>43244353</v>
      </c>
      <c r="K22" s="1341">
        <f>SUMIFS(K$63:K$121,$P$63:$P$121,$D22)</f>
        <v>0</v>
      </c>
      <c r="L22" s="1341">
        <f>SUMIFS(L$63:L$121,$P$63:$P$121,$D22)</f>
        <v>0</v>
      </c>
      <c r="M22" s="1341">
        <f>SUMIFS(M$63:M$121,$P$63:$P$121,$D22)</f>
        <v>43244353</v>
      </c>
    </row>
    <row r="23">
      <c r="B23" s="1342" t="n"/>
      <c r="D23" s="1343" t="inlineStr">
        <is>
          <t>재무손익</t>
        </is>
      </c>
      <c r="E23" s="1344">
        <f>E21-E22</f>
        <v>-89862932</v>
      </c>
      <c r="F23" s="1342" t="n"/>
      <c r="G23" s="1342" t="n"/>
      <c r="H23" s="1344">
        <f>H21-H22</f>
        <v>-98954951</v>
      </c>
      <c r="J23" s="1344">
        <f>J21-J22</f>
        <v>-43244353</v>
      </c>
      <c r="K23" s="1342" t="n"/>
      <c r="L23" s="1342" t="n"/>
      <c r="M23" s="1344">
        <f>M21-M22</f>
        <v>-43244353</v>
      </c>
    </row>
    <row r="25">
      <c r="B25" s="1345" t="n"/>
      <c r="D25" s="1346" t="inlineStr">
        <is>
          <t>법인세비용차감전손익</t>
        </is>
      </c>
      <c r="E25" s="1347">
        <f>E18+E23</f>
        <v>-779757791</v>
      </c>
      <c r="F25" s="1345" t="n"/>
      <c r="G25" s="1345" t="n"/>
      <c r="H25" s="1347">
        <f>H18+H23</f>
        <v>-788849810</v>
      </c>
      <c r="J25" s="1347">
        <f>J18+J23</f>
        <v>1323632141</v>
      </c>
      <c r="K25" s="1345" t="n"/>
      <c r="L25" s="1345" t="n"/>
      <c r="M25" s="1347">
        <f>M18+M23</f>
        <v>1323632141</v>
      </c>
    </row>
    <row r="26">
      <c r="D26" s="1340" t="inlineStr">
        <is>
          <t>법인세비용</t>
        </is>
      </c>
      <c r="E26" s="1341">
        <f>SUMIFS(E$63:E$121,$P$63:$P$121,$D26)</f>
        <v>0</v>
      </c>
      <c r="F26" s="1341">
        <f>SUMIFS(F$63:F$121,$P$63:$P$121,$D26)</f>
        <v>0</v>
      </c>
      <c r="G26" s="1341">
        <f>SUMIFS(G$63:G$121,$P$63:$P$121,$D26)</f>
        <v>0</v>
      </c>
      <c r="H26" s="1341">
        <f>SUMIFS(H$63:H$121,$P$63:$P$121,$D26)</f>
        <v>0</v>
      </c>
      <c r="J26" s="1341">
        <f>SUMIFS(J$63:J$121,$P$63:$P$121,$D26)</f>
        <v>0</v>
      </c>
      <c r="K26" s="1341">
        <f>SUMIFS(K$63:K$121,$P$63:$P$121,$D26)</f>
        <v>0</v>
      </c>
      <c r="L26" s="1341">
        <f>SUMIFS(L$63:L$121,$P$63:$P$121,$D26)</f>
        <v>0</v>
      </c>
      <c r="M26" s="1341">
        <f>SUMIFS(M$63:M$121,$P$63:$P$121,$D26)</f>
        <v>0</v>
      </c>
    </row>
    <row r="27">
      <c r="B27" s="1348" t="n"/>
      <c r="D27" s="1349" t="inlineStr">
        <is>
          <t>당기순이익(손실)</t>
        </is>
      </c>
      <c r="E27" s="1350">
        <f>E25-E26</f>
        <v>-779757791</v>
      </c>
      <c r="F27" s="1348" t="n"/>
      <c r="G27" s="1348" t="n"/>
      <c r="H27" s="1350">
        <f>H25-H26</f>
        <v>-788849810</v>
      </c>
      <c r="J27" s="1350">
        <f>J25-J26</f>
        <v>1323632141</v>
      </c>
      <c r="K27" s="1348" t="n"/>
      <c r="L27" s="1348" t="n"/>
      <c r="M27" s="1350">
        <f>M25-M26</f>
        <v>1323632141</v>
      </c>
    </row>
    <row r="28">
      <c r="D28" s="1340" t="inlineStr">
        <is>
          <t>기타포괄손익</t>
        </is>
      </c>
      <c r="E28" s="1341">
        <f>SUMIFS(E$63:E$121,$P$63:$P$121,$D28)</f>
        <v>0</v>
      </c>
      <c r="F28" s="1341">
        <f>SUMIFS(F$63:F$121,$P$63:$P$121,$D28)</f>
        <v>0</v>
      </c>
      <c r="G28" s="1341">
        <f>SUMIFS(G$63:G$121,$P$63:$P$121,$D28)</f>
        <v>0</v>
      </c>
      <c r="H28" s="1341">
        <f>SUMIFS(H$63:H$121,$P$63:$P$121,$D28)</f>
        <v>0</v>
      </c>
      <c r="J28" s="1341">
        <f>SUMIFS(J$63:J$121,$P$63:$P$121,$D28)</f>
        <v>0</v>
      </c>
      <c r="K28" s="1341">
        <f>SUMIFS(K$63:K$121,$P$63:$P$121,$D28)</f>
        <v>0</v>
      </c>
      <c r="L28" s="1341">
        <f>SUMIFS(L$63:L$121,$P$63:$P$121,$D28)</f>
        <v>0</v>
      </c>
      <c r="M28" s="1341">
        <f>SUMIFS(M$63:M$121,$P$63:$P$121,$D28)</f>
        <v>0</v>
      </c>
    </row>
    <row r="29">
      <c r="B29" s="1348" t="n"/>
      <c r="D29" s="1349" t="inlineStr">
        <is>
          <t>총포괄손익</t>
        </is>
      </c>
      <c r="E29" s="1350">
        <f>E27+E28</f>
        <v>-779757791</v>
      </c>
      <c r="F29" s="1348" t="n"/>
      <c r="G29" s="1348" t="n"/>
      <c r="H29" s="1350">
        <f>H27+H28</f>
        <v>-788849810</v>
      </c>
      <c r="J29" s="1350">
        <f>J27+J28</f>
        <v>1323632141</v>
      </c>
      <c r="K29" s="1348" t="n"/>
      <c r="L29" s="1348" t="n"/>
      <c r="M29" s="1350">
        <f>M27+M28</f>
        <v>1323632141</v>
      </c>
    </row>
    <row r="31">
      <c r="B31" s="1351" t="inlineStr">
        <is>
          <t>[검증] 기존 정산표 대비 차이 (모두 0이어야 함)</t>
        </is>
      </c>
    </row>
    <row r="32">
      <c r="D32" s="1340" t="inlineStr">
        <is>
          <t>당기순이익 - 정산표</t>
        </is>
      </c>
      <c r="E32" s="1341">
        <f>E27-'정산표'!E197</f>
        <v>0</v>
      </c>
      <c r="H32" s="1341">
        <f>H27-'정산표'!H197</f>
        <v>0</v>
      </c>
      <c r="J32" s="1341">
        <f>J27-'정산표'!J197</f>
        <v>0</v>
      </c>
      <c r="M32" s="1341">
        <f>M27-'정산표'!M197</f>
        <v>0</v>
      </c>
    </row>
    <row r="33">
      <c r="D33" s="1340" t="inlineStr">
        <is>
          <t>총포괄손익 - 정산표</t>
        </is>
      </c>
      <c r="E33" s="1341">
        <f>E29-'정산표'!E201</f>
        <v>0</v>
      </c>
      <c r="H33" s="1341">
        <f>H29-'정산표'!H201</f>
        <v>0</v>
      </c>
      <c r="J33" s="1341">
        <f>J29-'정산표'!J201</f>
        <v>0</v>
      </c>
      <c r="M33" s="1341">
        <f>M29-'정산표'!M201</f>
        <v>0</v>
      </c>
    </row>
    <row r="34">
      <c r="D34" s="1340" t="inlineStr">
        <is>
          <t>법인세비용차감전손익 - 정산표</t>
        </is>
      </c>
      <c r="E34" s="1341">
        <f>E25-'정산표'!E195</f>
        <v>0</v>
      </c>
      <c r="H34" s="1341">
        <f>H25-'정산표'!H195</f>
        <v>0</v>
      </c>
      <c r="J34" s="1341">
        <f>J25-'정산표'!J195</f>
        <v>0</v>
      </c>
      <c r="M34" s="1341">
        <f>M25-'정산표'!M195</f>
        <v>0</v>
      </c>
    </row>
    <row r="35">
      <c r="D35" s="1340" t="inlineStr">
        <is>
          <t>표시항목 미지정/오류 계정 수</t>
        </is>
      </c>
      <c r="E35" s="1341">
        <f>SUMPRODUCT(--ISNA(MATCH($P$63:$P$121,$D$127:$D$137,0)))</f>
        <v>0</v>
      </c>
    </row>
    <row r="36">
      <c r="D36" s="1340" t="inlineStr">
        <is>
          <t>종합 검증</t>
        </is>
      </c>
      <c r="E36" s="1352" t="str">
        <f>IF(AND(SUMPRODUCT(ABS(E32:M34))=0,E35=0),"OK","확인필요")</f>
        <v>OK</v>
      </c>
    </row>
    <row r="38">
      <c r="B38" s="1351" t="inlineStr">
        <is>
          <t>[조정표] 기존 영업이익 → IFRS 18 영업손익</t>
        </is>
      </c>
    </row>
    <row r="39">
      <c r="D39" s="1340" t="inlineStr">
        <is>
          <t>기존 영업이익 (정산표)</t>
        </is>
      </c>
      <c r="E39" s="1341">
        <f>'정산표'!E171</f>
        <v>-686814117</v>
      </c>
      <c r="H39" s="1341">
        <f>'정산표'!H171</f>
        <v>-686814117</v>
      </c>
      <c r="J39" s="1341">
        <f>'정산표'!J171</f>
        <v>1411714733</v>
      </c>
      <c r="M39" s="1341">
        <f>'정산표'!M171</f>
        <v>1411714733</v>
      </c>
    </row>
    <row r="40" ht="40" customHeight="1" s="1333">
      <c r="D40" s="1353" t="inlineStr">
        <is>
          <t>(+) IFRS 18 영업 범주로 편입된 기존 영업외손익 (기타영업손익·외환손익 등)</t>
        </is>
      </c>
      <c r="E40" s="1341">
        <f>SUMPRODUCT(($Q$63:$Q$121="영업")*($S$63:$S$121=0)*$R$63:$R$121*E$63:E$121)</f>
        <v>-25179303</v>
      </c>
      <c r="H40" s="1341">
        <f>SUMPRODUCT(($Q$63:$Q$121="영업")*($S$63:$S$121=0)*$R$63:$R$121*H$63:H$121)</f>
        <v>-25179303</v>
      </c>
      <c r="J40" s="1341">
        <f>SUMPRODUCT(($Q$63:$Q$121="영업")*($S$63:$S$121=0)*$R$63:$R$121*J$63:J$121)</f>
        <v>-72846499</v>
      </c>
      <c r="M40" s="1341">
        <f>SUMPRODUCT(($Q$63:$Q$121="영업")*($S$63:$S$121=0)*$R$63:$R$121*M$63:M$121)</f>
        <v>-72846499</v>
      </c>
    </row>
    <row r="41" ht="28" customHeight="1" s="1333">
      <c r="D41" s="1353" t="inlineStr">
        <is>
          <t>(-) 영업 범주에서 제외된 기존 영업손익</t>
        </is>
      </c>
      <c r="E41" s="1341">
        <f>SUMPRODUCT(($Q$63:$Q$121&lt;&gt;"영업")*($S$63:$S$121=1)*$R$63:$R$121*E$63:E$121)*-1</f>
        <v>0</v>
      </c>
      <c r="H41" s="1341">
        <f>SUMPRODUCT(($Q$63:$Q$121&lt;&gt;"영업")*($S$63:$S$121=1)*$R$63:$R$121*H$63:H$121)*-1</f>
        <v>0</v>
      </c>
      <c r="J41" s="1341">
        <f>SUMPRODUCT(($Q$63:$Q$121&lt;&gt;"영업")*($S$63:$S$121=1)*$R$63:$R$121*J$63:J$121)*-1</f>
        <v>0</v>
      </c>
      <c r="M41" s="1341">
        <f>SUMPRODUCT(($Q$63:$Q$121&lt;&gt;"영업")*($S$63:$S$121=1)*$R$63:$R$121*M$63:M$121)*-1</f>
        <v>0</v>
      </c>
    </row>
    <row r="42">
      <c r="D42" s="1351" t="inlineStr">
        <is>
          <t>IFRS 18 영업손익</t>
        </is>
      </c>
      <c r="E42" s="1354">
        <f>E39+E40+E41</f>
        <v>-711993420</v>
      </c>
      <c r="H42" s="1354">
        <f>H39+H40+H41</f>
        <v>-711993420</v>
      </c>
      <c r="J42" s="1354">
        <f>J39+J40+J41</f>
        <v>1338868234</v>
      </c>
      <c r="M42" s="1354">
        <f>M39+M40+M41</f>
        <v>1338868234</v>
      </c>
    </row>
    <row r="43">
      <c r="D43" s="1340" t="inlineStr">
        <is>
          <t>검증: 상단 영업손익과의 차이</t>
        </is>
      </c>
      <c r="E43" s="1341">
        <f>E42-E12</f>
        <v>0</v>
      </c>
      <c r="H43" s="1341">
        <f>H42-H12</f>
        <v>0</v>
      </c>
      <c r="J43" s="1341">
        <f>J42-J12</f>
        <v>0</v>
      </c>
      <c r="M43" s="1341">
        <f>M42-M12</f>
        <v>0</v>
      </c>
    </row>
    <row r="45">
      <c r="B45" s="1351" t="inlineStr">
        <is>
          <t>[참고] 성격별 비용 공시 자료 (IFRS 18 주석 대응용 - 판관비+제조경비 발생액 기준, 재고자산 이연분 미반영)</t>
        </is>
      </c>
    </row>
    <row r="46">
      <c r="D46" s="1355" t="inlineStr">
        <is>
          <t>감가상각비 (판관비 + 제조경비)</t>
        </is>
      </c>
      <c r="E46" s="1341">
        <f>'정산표'!E149+'정산표'!E235</f>
        <v>514853870</v>
      </c>
      <c r="F46" s="1341">
        <f>'정산표'!F149+'정산표'!F235</f>
        <v>0</v>
      </c>
      <c r="G46" s="1341">
        <f>'정산표'!G149+'정산표'!G235</f>
        <v>0</v>
      </c>
      <c r="H46" s="1341">
        <f>'정산표'!H149+'정산표'!H235</f>
        <v>514853870</v>
      </c>
      <c r="J46" s="1341">
        <f>'정산표'!J149+'정산표'!J235</f>
        <v>333241562</v>
      </c>
      <c r="K46" s="1341">
        <f>'정산표'!K149+'정산표'!K235</f>
        <v>0</v>
      </c>
      <c r="L46" s="1341">
        <f>'정산표'!L149+'정산표'!L235</f>
        <v>0</v>
      </c>
      <c r="M46" s="1341">
        <f>'정산표'!M149+'정산표'!M235</f>
        <v>333241562</v>
      </c>
    </row>
    <row r="47">
      <c r="D47" s="1355" t="inlineStr">
        <is>
          <t>무형자산상각비 (판관비 + 제조경비)</t>
        </is>
      </c>
      <c r="E47" s="1341">
        <f>'정산표'!E168+'정산표'!E248</f>
        <v>21529107</v>
      </c>
      <c r="F47" s="1341">
        <f>'정산표'!F168+'정산표'!F248</f>
        <v>0</v>
      </c>
      <c r="G47" s="1341">
        <f>'정산표'!G168+'정산표'!G248</f>
        <v>0</v>
      </c>
      <c r="H47" s="1341">
        <f>'정산표'!H168+'정산표'!H248</f>
        <v>21529107</v>
      </c>
      <c r="J47" s="1341">
        <f>'정산표'!J168+'정산표'!J248</f>
        <v>144426793</v>
      </c>
      <c r="K47" s="1341">
        <f>'정산표'!K168+'정산표'!K248</f>
        <v>0</v>
      </c>
      <c r="L47" s="1341">
        <f>'정산표'!L168+'정산표'!L248</f>
        <v>0</v>
      </c>
      <c r="M47" s="1341">
        <f>'정산표'!M168+'정산표'!M248</f>
        <v>144426793</v>
      </c>
    </row>
    <row r="48">
      <c r="D48" s="1355" t="inlineStr">
        <is>
          <t>종업원급여 (급여·퇴직·해고·주식보상·복리후생·상여)</t>
        </is>
      </c>
      <c r="E48" s="1341">
        <f>'정산표'!E138+'정산표'!E139+'정산표'!E140+'정산표'!E141+'정산표'!E142+'정산표'!E223+'정산표'!E224+'정산표'!E225+'정산표'!E226+'정산표'!E228</f>
        <v>2544058233</v>
      </c>
      <c r="F48" s="1341">
        <f>'정산표'!F138+'정산표'!F139+'정산표'!F140+'정산표'!F141+'정산표'!F142+'정산표'!F223+'정산표'!F224+'정산표'!F225+'정산표'!F226+'정산표'!F228</f>
        <v>0</v>
      </c>
      <c r="G48" s="1341">
        <f>'정산표'!G138+'정산표'!G139+'정산표'!G140+'정산표'!G141+'정산표'!G142+'정산표'!G223+'정산표'!G224+'정산표'!G225+'정산표'!G226+'정산표'!G228</f>
        <v>0</v>
      </c>
      <c r="H48" s="1341">
        <f>'정산표'!H138+'정산표'!H139+'정산표'!H140+'정산표'!H141+'정산표'!H142+'정산표'!H223+'정산표'!H224+'정산표'!H225+'정산표'!H226+'정산표'!H228</f>
        <v>2544058233</v>
      </c>
      <c r="J48" s="1341">
        <f>'정산표'!J138+'정산표'!J139+'정산표'!J140+'정산표'!J141+'정산표'!J142+'정산표'!J223+'정산표'!J224+'정산표'!J225+'정산표'!J226+'정산표'!J228</f>
        <v>2491017435</v>
      </c>
      <c r="K48" s="1341">
        <f>'정산표'!K138+'정산표'!K139+'정산표'!K140+'정산표'!K141+'정산표'!K142+'정산표'!K223+'정산표'!K224+'정산표'!K225+'정산표'!K226+'정산표'!K228</f>
        <v>0</v>
      </c>
      <c r="L48" s="1341">
        <f>'정산표'!L138+'정산표'!L139+'정산표'!L140+'정산표'!L141+'정산표'!L142+'정산표'!L223+'정산표'!L224+'정산표'!L225+'정산표'!L226+'정산표'!L228</f>
        <v>0</v>
      </c>
      <c r="M48" s="1341">
        <f>'정산표'!M138+'정산표'!M139+'정산표'!M140+'정산표'!M141+'정산표'!M142+'정산표'!M223+'정산표'!M224+'정산표'!M225+'정산표'!M226+'정산표'!M228</f>
        <v>2491017435</v>
      </c>
    </row>
    <row r="49">
      <c r="D49" s="1355" t="inlineStr">
        <is>
          <t>재고자산평가손실 (제품·상품·재료)</t>
        </is>
      </c>
      <c r="E49" s="1341">
        <f>'정산표'!E123+'정산표'!E130+'정산표'!E213-'정산표'!E214+'정산표'!E220</f>
        <v>131193174</v>
      </c>
      <c r="F49" s="1341">
        <f>'정산표'!F123+'정산표'!F130+'정산표'!F213-'정산표'!F214+'정산표'!F220</f>
        <v>0</v>
      </c>
      <c r="G49" s="1341">
        <f>'정산표'!G123+'정산표'!G130+'정산표'!G213-'정산표'!G214+'정산표'!G220</f>
        <v>0</v>
      </c>
      <c r="H49" s="1341">
        <f>'정산표'!H123+'정산표'!H130+'정산표'!H213-'정산표'!H214+'정산표'!H220</f>
        <v>131193174</v>
      </c>
      <c r="J49" s="1341">
        <f>'정산표'!J123+'정산표'!J130+'정산표'!J213-'정산표'!J214+'정산표'!J220</f>
        <v>15216604</v>
      </c>
      <c r="K49" s="1341">
        <f>'정산표'!K123+'정산표'!K130+'정산표'!K213-'정산표'!K214+'정산표'!K220</f>
        <v>0</v>
      </c>
      <c r="L49" s="1341">
        <f>'정산표'!L123+'정산표'!L130+'정산표'!L213-'정산표'!L214+'정산표'!L220</f>
        <v>0</v>
      </c>
      <c r="M49" s="1341">
        <f>'정산표'!M123+'정산표'!M130+'정산표'!M213-'정산표'!M214+'정산표'!M220</f>
        <v>15216604</v>
      </c>
    </row>
    <row r="51">
      <c r="B51" s="1351" t="inlineStr">
        <is>
          <t>[범례]</t>
        </is>
      </c>
    </row>
    <row r="52">
      <c r="D52" s="1356" t="inlineStr">
        <is>
          <t>파란글씨·노란 배경 = 입력(변경 가능) 셀 (부록 1의 P열 표시항목)</t>
        </is>
      </c>
    </row>
    <row r="53">
      <c r="D53" s="1340" t="inlineStr">
        <is>
          <t>검정 글씨 = 수식 (기존 [정산표] 시트 연동, 직접 수정 금지)</t>
        </is>
      </c>
    </row>
    <row r="54">
      <c r="D54" s="1340" t="inlineStr">
        <is>
          <t>당기 F·G열(차변/대변) 및 전기 K·L열은 계정별 AJE 합계이며 소계 행에는 표시하지 않음 (기존 정산표와 동일)</t>
        </is>
      </c>
    </row>
    <row r="55" ht="40" customHeight="1" s="1333">
      <c r="D55" s="1357" t="inlineStr">
        <is>
          <t>가정: 외환차손익·외화환산손익은 IFRS 18 (원가/노력 과다 시 영업 범주 분류) 단순화 가정에 따라 영업 범주로 분류 → 차입금 관련분이 식별되면 P열을 재무비용/재무수익으로 변경</t>
        </is>
      </c>
    </row>
    <row r="56" ht="40" customHeight="1" s="1333">
      <c r="D56" s="1357" t="inlineStr">
        <is>
          <t>가정: 이자수익은 투자 범주(현금및현금성자산 등), 이자비용은 재무 범주, 종속·관계기업투자 손상/처분손익 및 FVTPL 평가손익은 투자 범주로 분류 (회사 주된 사업활동 아님을 전제)</t>
        </is>
      </c>
    </row>
    <row r="61">
      <c r="B61" s="1351" t="inlineStr">
        <is>
          <t>[부록 1] 계정별 IFRS 18 표시항목 매핑 (P열을 변경하면 상단 손익계산서가 자동 갱신)</t>
        </is>
      </c>
    </row>
    <row r="62">
      <c r="B62" s="1358" t="inlineStr">
        <is>
          <t>Code</t>
        </is>
      </c>
      <c r="D62" s="1358" t="inlineStr">
        <is>
          <t>계정과목</t>
        </is>
      </c>
      <c r="E62" s="1358" t="inlineStr">
        <is>
          <t>수정전</t>
        </is>
      </c>
      <c r="F62" s="1358" t="inlineStr">
        <is>
          <t>차변</t>
        </is>
      </c>
      <c r="G62" s="1358" t="inlineStr">
        <is>
          <t>대변</t>
        </is>
      </c>
      <c r="H62" s="1358" t="inlineStr">
        <is>
          <t>수정후</t>
        </is>
      </c>
      <c r="J62" s="1358" t="inlineStr">
        <is>
          <t>수정전</t>
        </is>
      </c>
      <c r="K62" s="1358" t="inlineStr">
        <is>
          <t>차변</t>
        </is>
      </c>
      <c r="L62" s="1358" t="inlineStr">
        <is>
          <t>대변</t>
        </is>
      </c>
      <c r="M62" s="1358" t="inlineStr">
        <is>
          <t>수정후</t>
        </is>
      </c>
      <c r="O62" s="1358" t="inlineStr">
        <is>
          <t>기존 정산표 구분</t>
        </is>
      </c>
      <c r="P62" s="1358" t="inlineStr">
        <is>
          <t>IFRS 18 표시항목</t>
        </is>
      </c>
      <c r="Q62" s="1358" t="inlineStr">
        <is>
          <t>IFRS 18 구분</t>
        </is>
      </c>
      <c r="R62" s="1358" t="inlineStr">
        <is>
          <t>부호</t>
        </is>
      </c>
      <c r="S62" s="1358" t="inlineStr">
        <is>
          <t>기존영업(1/0)</t>
        </is>
      </c>
    </row>
    <row r="63">
      <c r="B63" s="1359" t="str">
        <f>IF('정산표'!B114="","",'정산표'!B114)</f>
        <v>40100</v>
      </c>
      <c r="D63" s="1340" t="str">
        <f>'정산표'!D114</f>
        <v>상품매출</v>
      </c>
      <c r="E63" s="1341">
        <f>'정산표'!E114</f>
        <v>278070981</v>
      </c>
      <c r="F63" s="1341">
        <f>'정산표'!F114</f>
        <v>0</v>
      </c>
      <c r="G63" s="1341">
        <f>'정산표'!G114</f>
        <v>0</v>
      </c>
      <c r="H63" s="1341">
        <f>'정산표'!H114</f>
        <v>278070981</v>
      </c>
      <c r="J63" s="1341">
        <f>'정산표'!J114</f>
        <v>72357415</v>
      </c>
      <c r="K63" s="1341">
        <f>'정산표'!K114</f>
        <v>0</v>
      </c>
      <c r="L63" s="1341">
        <f>'정산표'!L114</f>
        <v>0</v>
      </c>
      <c r="M63" s="1341">
        <f>'정산표'!M114</f>
        <v>72357415</v>
      </c>
      <c r="O63" s="1360" t="inlineStr">
        <is>
          <t>매출액</t>
        </is>
      </c>
      <c r="P63" s="1361" t="inlineStr">
        <is>
          <t>매출액</t>
        </is>
      </c>
      <c r="Q63" s="1360" t="str">
        <f>IFERROR(INDEX($E$127:$E$137,MATCH(P63,$D$127:$D$137,0)),"오류")</f>
        <v>영업</v>
      </c>
      <c r="R63" s="1362">
        <f>IFERROR(INDEX($F$127:$F$137,MATCH(P63,$D$127:$D$137,0)),0)</f>
        <v>1</v>
      </c>
      <c r="S63" s="1363">
        <f>IF(OR(O63="매출액",O63="매출원가",O63="판매비와관리비"),1,0)</f>
        <v>1</v>
      </c>
    </row>
    <row r="64">
      <c r="B64" s="1359" t="str">
        <f>IF('정산표'!B115="","",'정산표'!B115)</f>
        <v>40400</v>
      </c>
      <c r="D64" s="1340" t="str">
        <f>'정산표'!D115</f>
        <v>제품매출</v>
      </c>
      <c r="E64" s="1341">
        <f>'정산표'!E115</f>
        <v>7974892686</v>
      </c>
      <c r="F64" s="1341">
        <f>'정산표'!F115</f>
        <v>0</v>
      </c>
      <c r="G64" s="1341">
        <f>'정산표'!G115</f>
        <v>0</v>
      </c>
      <c r="H64" s="1341">
        <f>'정산표'!H115</f>
        <v>7974892686</v>
      </c>
      <c r="J64" s="1341">
        <f>'정산표'!J115</f>
        <v>8701040737</v>
      </c>
      <c r="K64" s="1341">
        <f>'정산표'!K115</f>
        <v>0</v>
      </c>
      <c r="L64" s="1341">
        <f>'정산표'!L115</f>
        <v>0</v>
      </c>
      <c r="M64" s="1341">
        <f>'정산표'!M115</f>
        <v>8701040737</v>
      </c>
      <c r="O64" s="1360" t="inlineStr">
        <is>
          <t>매출액</t>
        </is>
      </c>
      <c r="P64" s="1361" t="inlineStr">
        <is>
          <t>매출액</t>
        </is>
      </c>
      <c r="Q64" s="1360" t="str">
        <f>IFERROR(INDEX($E$127:$E$137,MATCH(P64,$D$127:$D$137,0)),"오류")</f>
        <v>영업</v>
      </c>
      <c r="R64" s="1362">
        <f>IFERROR(INDEX($F$127:$F$137,MATCH(P64,$D$127:$D$137,0)),0)</f>
        <v>1</v>
      </c>
      <c r="S64" s="1363">
        <f>IF(OR(O64="매출액",O64="매출원가",O64="판매비와관리비"),1,0)</f>
        <v>1</v>
      </c>
    </row>
    <row r="65">
      <c r="B65" s="1359" t="str">
        <f>IF('정산표'!B116="","",'정산표'!B116)</f>
        <v>41300</v>
      </c>
      <c r="D65" s="1340" t="str">
        <f>'정산표'!D116</f>
        <v>식음료매출</v>
      </c>
      <c r="E65" s="1341">
        <f>'정산표'!E116</f>
        <v>35207020</v>
      </c>
      <c r="F65" s="1341">
        <f>'정산표'!F116</f>
        <v>0</v>
      </c>
      <c r="G65" s="1341">
        <f>'정산표'!G116</f>
        <v>0</v>
      </c>
      <c r="H65" s="1341">
        <f>'정산표'!H116</f>
        <v>35207020</v>
      </c>
      <c r="J65" s="1341">
        <f>'정산표'!J116</f>
        <v>44028845</v>
      </c>
      <c r="K65" s="1341">
        <f>'정산표'!K116</f>
        <v>0</v>
      </c>
      <c r="L65" s="1341">
        <f>'정산표'!L116</f>
        <v>0</v>
      </c>
      <c r="M65" s="1341">
        <f>'정산표'!M116</f>
        <v>44028845</v>
      </c>
      <c r="O65" s="1360" t="inlineStr">
        <is>
          <t>매출액</t>
        </is>
      </c>
      <c r="P65" s="1361" t="inlineStr">
        <is>
          <t>매출액</t>
        </is>
      </c>
      <c r="Q65" s="1360" t="str">
        <f>IFERROR(INDEX($E$127:$E$137,MATCH(P65,$D$127:$D$137,0)),"오류")</f>
        <v>영업</v>
      </c>
      <c r="R65" s="1362">
        <f>IFERROR(INDEX($F$127:$F$137,MATCH(P65,$D$127:$D$137,0)),0)</f>
        <v>1</v>
      </c>
      <c r="S65" s="1363">
        <f>IF(OR(O65="매출액",O65="매출원가",O65="판매비와관리비"),1,0)</f>
        <v>1</v>
      </c>
    </row>
    <row r="66">
      <c r="B66" s="1359">
        <f>IF('정산표'!B117="","",'정산표'!B117)</f>
      </c>
      <c r="D66" s="1340" t="str">
        <f>'정산표'!D117</f>
        <v>매출원가</v>
      </c>
      <c r="E66" s="1341">
        <f>'정산표'!E117</f>
        <v>3596633522</v>
      </c>
      <c r="F66" s="1341">
        <f>'정산표'!F117</f>
        <v>0</v>
      </c>
      <c r="G66" s="1341">
        <f>'정산표'!G117</f>
        <v>0</v>
      </c>
      <c r="H66" s="1341">
        <f>'정산표'!H117</f>
        <v>3596633522</v>
      </c>
      <c r="J66" s="1341">
        <f>'정산표'!J117</f>
        <v>3527195264</v>
      </c>
      <c r="K66" s="1341">
        <f>'정산표'!K117</f>
        <v>0</v>
      </c>
      <c r="L66" s="1341">
        <f>'정산표'!L117</f>
        <v>0</v>
      </c>
      <c r="M66" s="1341">
        <f>'정산표'!M117</f>
        <v>3527195264</v>
      </c>
      <c r="O66" s="1360" t="inlineStr">
        <is>
          <t>매출원가</t>
        </is>
      </c>
      <c r="P66" s="1361" t="inlineStr">
        <is>
          <t>매출원가</t>
        </is>
      </c>
      <c r="Q66" s="1360" t="str">
        <f>IFERROR(INDEX($E$127:$E$137,MATCH(P66,$D$127:$D$137,0)),"오류")</f>
        <v>영업</v>
      </c>
      <c r="R66" s="1362">
        <f>IFERROR(INDEX($F$127:$F$137,MATCH(P66,$D$127:$D$137,0)),0)</f>
        <v>-1</v>
      </c>
      <c r="S66" s="1363">
        <f>IF(OR(O66="매출액",O66="매출원가",O66="판매비와관리비"),1,0)</f>
        <v>1</v>
      </c>
    </row>
    <row r="67">
      <c r="B67" s="1359" t="str">
        <f>IF('정산표'!B138="","",'정산표'!B138)</f>
        <v>80200</v>
      </c>
      <c r="D67" s="1340" t="str">
        <f>'정산표'!D138</f>
        <v>급여</v>
      </c>
      <c r="E67" s="1341">
        <f>'정산표'!E138</f>
        <v>1192275225</v>
      </c>
      <c r="F67" s="1341">
        <f>'정산표'!F138</f>
        <v>0</v>
      </c>
      <c r="G67" s="1341">
        <f>'정산표'!G138</f>
        <v>0</v>
      </c>
      <c r="H67" s="1341">
        <f>'정산표'!H138</f>
        <v>1192275225</v>
      </c>
      <c r="J67" s="1341">
        <f>'정산표'!J138</f>
        <v>1310935710</v>
      </c>
      <c r="K67" s="1341">
        <f>'정산표'!K138</f>
        <v>0</v>
      </c>
      <c r="L67" s="1341">
        <f>'정산표'!L138</f>
        <v>0</v>
      </c>
      <c r="M67" s="1341">
        <f>'정산표'!M138</f>
        <v>1310935710</v>
      </c>
      <c r="O67" s="1360" t="inlineStr">
        <is>
          <t>판매비와관리비</t>
        </is>
      </c>
      <c r="P67" s="1361" t="inlineStr">
        <is>
          <t>판매비와관리비</t>
        </is>
      </c>
      <c r="Q67" s="1360" t="str">
        <f>IFERROR(INDEX($E$127:$E$137,MATCH(P67,$D$127:$D$137,0)),"오류")</f>
        <v>영업</v>
      </c>
      <c r="R67" s="1362">
        <f>IFERROR(INDEX($F$127:$F$137,MATCH(P67,$D$127:$D$137,0)),0)</f>
        <v>-1</v>
      </c>
      <c r="S67" s="1363">
        <f>IF(OR(O67="매출액",O67="매출원가",O67="판매비와관리비"),1,0)</f>
        <v>1</v>
      </c>
    </row>
    <row r="68">
      <c r="B68" s="1359" t="str">
        <f>IF('정산표'!B139="","",'정산표'!B139)</f>
        <v>80800</v>
      </c>
      <c r="D68" s="1340" t="str">
        <f>'정산표'!D139</f>
        <v>퇴직급여</v>
      </c>
      <c r="E68" s="1341">
        <f>'정산표'!E139</f>
        <v>110359296</v>
      </c>
      <c r="F68" s="1341">
        <f>'정산표'!F139</f>
        <v>0</v>
      </c>
      <c r="G68" s="1341">
        <f>'정산표'!G139</f>
        <v>0</v>
      </c>
      <c r="H68" s="1341">
        <f>'정산표'!H139</f>
        <v>110359296</v>
      </c>
      <c r="J68" s="1341">
        <f>'정산표'!J139</f>
        <v>104651910</v>
      </c>
      <c r="K68" s="1341">
        <f>'정산표'!K139</f>
        <v>0</v>
      </c>
      <c r="L68" s="1341">
        <f>'정산표'!L139</f>
        <v>0</v>
      </c>
      <c r="M68" s="1341">
        <f>'정산표'!M139</f>
        <v>104651910</v>
      </c>
      <c r="O68" s="1360" t="inlineStr">
        <is>
          <t>판매비와관리비</t>
        </is>
      </c>
      <c r="P68" s="1361" t="inlineStr">
        <is>
          <t>판매비와관리비</t>
        </is>
      </c>
      <c r="Q68" s="1360" t="str">
        <f>IFERROR(INDEX($E$127:$E$137,MATCH(P68,$D$127:$D$137,0)),"오류")</f>
        <v>영업</v>
      </c>
      <c r="R68" s="1362">
        <f>IFERROR(INDEX($F$127:$F$137,MATCH(P68,$D$127:$D$137,0)),0)</f>
        <v>-1</v>
      </c>
      <c r="S68" s="1363">
        <f>IF(OR(O68="매출액",O68="매출원가",O68="판매비와관리비"),1,0)</f>
        <v>1</v>
      </c>
    </row>
    <row r="69">
      <c r="B69" s="1359" t="str">
        <f>IF('정산표'!B140="","",'정산표'!B140)</f>
        <v>85200</v>
      </c>
      <c r="D69" s="1340" t="str">
        <f>'정산표'!D140</f>
        <v>해고급여</v>
      </c>
      <c r="E69" s="1341">
        <f>'정산표'!E140</f>
        <v>45930430</v>
      </c>
      <c r="F69" s="1341">
        <f>'정산표'!F140</f>
        <v>0</v>
      </c>
      <c r="G69" s="1341">
        <f>'정산표'!G140</f>
        <v>0</v>
      </c>
      <c r="H69" s="1341">
        <f>'정산표'!H140</f>
        <v>45930430</v>
      </c>
      <c r="J69" s="1341">
        <f>'정산표'!J140</f>
        <v>0</v>
      </c>
      <c r="K69" s="1341">
        <f>'정산표'!K140</f>
        <v>0</v>
      </c>
      <c r="L69" s="1341">
        <f>'정산표'!L140</f>
        <v>0</v>
      </c>
      <c r="M69" s="1341">
        <f>'정산표'!M140</f>
        <v>0</v>
      </c>
      <c r="O69" s="1360" t="inlineStr">
        <is>
          <t>판매비와관리비</t>
        </is>
      </c>
      <c r="P69" s="1361" t="inlineStr">
        <is>
          <t>판매비와관리비</t>
        </is>
      </c>
      <c r="Q69" s="1360" t="str">
        <f>IFERROR(INDEX($E$127:$E$137,MATCH(P69,$D$127:$D$137,0)),"오류")</f>
        <v>영업</v>
      </c>
      <c r="R69" s="1362">
        <f>IFERROR(INDEX($F$127:$F$137,MATCH(P69,$D$127:$D$137,0)),0)</f>
        <v>-1</v>
      </c>
      <c r="S69" s="1363">
        <f>IF(OR(O69="매출액",O69="매출원가",O69="판매비와관리비"),1,0)</f>
        <v>1</v>
      </c>
    </row>
    <row r="70">
      <c r="B70" s="1359" t="str">
        <f>IF('정산표'!B141="","",'정산표'!B141)</f>
        <v>81000</v>
      </c>
      <c r="D70" s="1340" t="str">
        <f>'정산표'!D141</f>
        <v>주식보상비</v>
      </c>
      <c r="E70" s="1341">
        <f>'정산표'!E141</f>
        <v>0</v>
      </c>
      <c r="F70" s="1341">
        <f>'정산표'!F141</f>
        <v>0</v>
      </c>
      <c r="G70" s="1341">
        <f>'정산표'!G141</f>
        <v>0</v>
      </c>
      <c r="H70" s="1341">
        <f>'정산표'!H141</f>
        <v>0</v>
      </c>
      <c r="J70" s="1341">
        <f>'정산표'!J141</f>
        <v>0</v>
      </c>
      <c r="K70" s="1341">
        <f>'정산표'!K141</f>
        <v>0</v>
      </c>
      <c r="L70" s="1341">
        <f>'정산표'!L141</f>
        <v>0</v>
      </c>
      <c r="M70" s="1341">
        <f>'정산표'!M141</f>
        <v>0</v>
      </c>
      <c r="O70" s="1360" t="inlineStr">
        <is>
          <t>판매비와관리비</t>
        </is>
      </c>
      <c r="P70" s="1361" t="inlineStr">
        <is>
          <t>판매비와관리비</t>
        </is>
      </c>
      <c r="Q70" s="1360" t="str">
        <f>IFERROR(INDEX($E$127:$E$137,MATCH(P70,$D$127:$D$137,0)),"오류")</f>
        <v>영업</v>
      </c>
      <c r="R70" s="1362">
        <f>IFERROR(INDEX($F$127:$F$137,MATCH(P70,$D$127:$D$137,0)),0)</f>
        <v>-1</v>
      </c>
      <c r="S70" s="1363">
        <f>IF(OR(O70="매출액",O70="매출원가",O70="판매비와관리비"),1,0)</f>
        <v>1</v>
      </c>
    </row>
    <row r="71">
      <c r="B71" s="1359" t="str">
        <f>IF('정산표'!B142="","",'정산표'!B142)</f>
        <v>81100</v>
      </c>
      <c r="D71" s="1340" t="str">
        <f>'정산표'!D142</f>
        <v>복리후생비</v>
      </c>
      <c r="E71" s="1341">
        <f>'정산표'!E142</f>
        <v>187719099</v>
      </c>
      <c r="F71" s="1341">
        <f>'정산표'!F142</f>
        <v>0</v>
      </c>
      <c r="G71" s="1341">
        <f>'정산표'!G142</f>
        <v>0</v>
      </c>
      <c r="H71" s="1341">
        <f>'정산표'!H142</f>
        <v>187719099</v>
      </c>
      <c r="J71" s="1341">
        <f>'정산표'!J142</f>
        <v>186599937</v>
      </c>
      <c r="K71" s="1341">
        <f>'정산표'!K142</f>
        <v>0</v>
      </c>
      <c r="L71" s="1341">
        <f>'정산표'!L142</f>
        <v>0</v>
      </c>
      <c r="M71" s="1341">
        <f>'정산표'!M142</f>
        <v>186599937</v>
      </c>
      <c r="O71" s="1360" t="inlineStr">
        <is>
          <t>판매비와관리비</t>
        </is>
      </c>
      <c r="P71" s="1361" t="inlineStr">
        <is>
          <t>판매비와관리비</t>
        </is>
      </c>
      <c r="Q71" s="1360" t="str">
        <f>IFERROR(INDEX($E$127:$E$137,MATCH(P71,$D$127:$D$137,0)),"오류")</f>
        <v>영업</v>
      </c>
      <c r="R71" s="1362">
        <f>IFERROR(INDEX($F$127:$F$137,MATCH(P71,$D$127:$D$137,0)),0)</f>
        <v>-1</v>
      </c>
      <c r="S71" s="1363">
        <f>IF(OR(O71="매출액",O71="매출원가",O71="판매비와관리비"),1,0)</f>
        <v>1</v>
      </c>
    </row>
    <row r="72">
      <c r="B72" s="1359" t="str">
        <f>IF('정산표'!B143="","",'정산표'!B143)</f>
        <v>81200</v>
      </c>
      <c r="D72" s="1340" t="str">
        <f>'정산표'!D143</f>
        <v>여비교통비</v>
      </c>
      <c r="E72" s="1341">
        <f>'정산표'!E143</f>
        <v>224812833</v>
      </c>
      <c r="F72" s="1341">
        <f>'정산표'!F143</f>
        <v>0</v>
      </c>
      <c r="G72" s="1341">
        <f>'정산표'!G143</f>
        <v>0</v>
      </c>
      <c r="H72" s="1341">
        <f>'정산표'!H143</f>
        <v>224812833</v>
      </c>
      <c r="J72" s="1341">
        <f>'정산표'!J143</f>
        <v>285932715</v>
      </c>
      <c r="K72" s="1341">
        <f>'정산표'!K143</f>
        <v>0</v>
      </c>
      <c r="L72" s="1341">
        <f>'정산표'!L143</f>
        <v>0</v>
      </c>
      <c r="M72" s="1341">
        <f>'정산표'!M143</f>
        <v>285932715</v>
      </c>
      <c r="O72" s="1360" t="inlineStr">
        <is>
          <t>판매비와관리비</t>
        </is>
      </c>
      <c r="P72" s="1361" t="inlineStr">
        <is>
          <t>판매비와관리비</t>
        </is>
      </c>
      <c r="Q72" s="1360" t="str">
        <f>IFERROR(INDEX($E$127:$E$137,MATCH(P72,$D$127:$D$137,0)),"오류")</f>
        <v>영업</v>
      </c>
      <c r="R72" s="1362">
        <f>IFERROR(INDEX($F$127:$F$137,MATCH(P72,$D$127:$D$137,0)),0)</f>
        <v>-1</v>
      </c>
      <c r="S72" s="1363">
        <f>IF(OR(O72="매출액",O72="매출원가",O72="판매비와관리비"),1,0)</f>
        <v>1</v>
      </c>
    </row>
    <row r="73">
      <c r="B73" s="1359" t="str">
        <f>IF('정산표'!B144="","",'정산표'!B144)</f>
        <v>81300</v>
      </c>
      <c r="D73" s="1340" t="str">
        <f>'정산표'!D144</f>
        <v>접대비</v>
      </c>
      <c r="E73" s="1341">
        <f>'정산표'!E144</f>
        <v>25692474</v>
      </c>
      <c r="F73" s="1341">
        <f>'정산표'!F144</f>
        <v>0</v>
      </c>
      <c r="G73" s="1341">
        <f>'정산표'!G144</f>
        <v>0</v>
      </c>
      <c r="H73" s="1341">
        <f>'정산표'!H144</f>
        <v>25692474</v>
      </c>
      <c r="J73" s="1341">
        <f>'정산표'!J144</f>
        <v>78340966</v>
      </c>
      <c r="K73" s="1341">
        <f>'정산표'!K144</f>
        <v>0</v>
      </c>
      <c r="L73" s="1341">
        <f>'정산표'!L144</f>
        <v>0</v>
      </c>
      <c r="M73" s="1341">
        <f>'정산표'!M144</f>
        <v>78340966</v>
      </c>
      <c r="O73" s="1360" t="inlineStr">
        <is>
          <t>판매비와관리비</t>
        </is>
      </c>
      <c r="P73" s="1361" t="inlineStr">
        <is>
          <t>판매비와관리비</t>
        </is>
      </c>
      <c r="Q73" s="1360" t="str">
        <f>IFERROR(INDEX($E$127:$E$137,MATCH(P73,$D$127:$D$137,0)),"오류")</f>
        <v>영업</v>
      </c>
      <c r="R73" s="1362">
        <f>IFERROR(INDEX($F$127:$F$137,MATCH(P73,$D$127:$D$137,0)),0)</f>
        <v>-1</v>
      </c>
      <c r="S73" s="1363">
        <f>IF(OR(O73="매출액",O73="매출원가",O73="판매비와관리비"),1,0)</f>
        <v>1</v>
      </c>
    </row>
    <row r="74">
      <c r="B74" s="1359" t="str">
        <f>IF('정산표'!B145="","",'정산표'!B145)</f>
        <v>81400</v>
      </c>
      <c r="D74" s="1340" t="str">
        <f>'정산표'!D145</f>
        <v>통신비</v>
      </c>
      <c r="E74" s="1341">
        <f>'정산표'!E145</f>
        <v>8042843</v>
      </c>
      <c r="F74" s="1341">
        <f>'정산표'!F145</f>
        <v>0</v>
      </c>
      <c r="G74" s="1341">
        <f>'정산표'!G145</f>
        <v>0</v>
      </c>
      <c r="H74" s="1341">
        <f>'정산표'!H145</f>
        <v>8042843</v>
      </c>
      <c r="J74" s="1341">
        <f>'정산표'!J145</f>
        <v>7473322</v>
      </c>
      <c r="K74" s="1341">
        <f>'정산표'!K145</f>
        <v>0</v>
      </c>
      <c r="L74" s="1341">
        <f>'정산표'!L145</f>
        <v>0</v>
      </c>
      <c r="M74" s="1341">
        <f>'정산표'!M145</f>
        <v>7473322</v>
      </c>
      <c r="O74" s="1360" t="inlineStr">
        <is>
          <t>판매비와관리비</t>
        </is>
      </c>
      <c r="P74" s="1361" t="inlineStr">
        <is>
          <t>판매비와관리비</t>
        </is>
      </c>
      <c r="Q74" s="1360" t="str">
        <f>IFERROR(INDEX($E$127:$E$137,MATCH(P74,$D$127:$D$137,0)),"오류")</f>
        <v>영업</v>
      </c>
      <c r="R74" s="1362">
        <f>IFERROR(INDEX($F$127:$F$137,MATCH(P74,$D$127:$D$137,0)),0)</f>
        <v>-1</v>
      </c>
      <c r="S74" s="1363">
        <f>IF(OR(O74="매출액",O74="매출원가",O74="판매비와관리비"),1,0)</f>
        <v>1</v>
      </c>
    </row>
    <row r="75">
      <c r="B75" s="1359" t="str">
        <f>IF('정산표'!B146="","",'정산표'!B146)</f>
        <v>81500</v>
      </c>
      <c r="D75" s="1340" t="str">
        <f>'정산표'!D146</f>
        <v>수도광열비</v>
      </c>
      <c r="E75" s="1341">
        <f>'정산표'!E146</f>
        <v>2933840</v>
      </c>
      <c r="F75" s="1341">
        <f>'정산표'!F146</f>
        <v>0</v>
      </c>
      <c r="G75" s="1341">
        <f>'정산표'!G146</f>
        <v>0</v>
      </c>
      <c r="H75" s="1341">
        <f>'정산표'!H146</f>
        <v>2933840</v>
      </c>
      <c r="J75" s="1341">
        <f>'정산표'!J146</f>
        <v>2671110</v>
      </c>
      <c r="K75" s="1341">
        <f>'정산표'!K146</f>
        <v>0</v>
      </c>
      <c r="L75" s="1341">
        <f>'정산표'!L146</f>
        <v>0</v>
      </c>
      <c r="M75" s="1341">
        <f>'정산표'!M146</f>
        <v>2671110</v>
      </c>
      <c r="O75" s="1360" t="inlineStr">
        <is>
          <t>판매비와관리비</t>
        </is>
      </c>
      <c r="P75" s="1361" t="inlineStr">
        <is>
          <t>판매비와관리비</t>
        </is>
      </c>
      <c r="Q75" s="1360" t="str">
        <f>IFERROR(INDEX($E$127:$E$137,MATCH(P75,$D$127:$D$137,0)),"오류")</f>
        <v>영업</v>
      </c>
      <c r="R75" s="1362">
        <f>IFERROR(INDEX($F$127:$F$137,MATCH(P75,$D$127:$D$137,0)),0)</f>
        <v>-1</v>
      </c>
      <c r="S75" s="1363">
        <f>IF(OR(O75="매출액",O75="매출원가",O75="판매비와관리비"),1,0)</f>
        <v>1</v>
      </c>
    </row>
    <row r="76">
      <c r="B76" s="1359" t="str">
        <f>IF('정산표'!B147="","",'정산표'!B147)</f>
        <v>81600</v>
      </c>
      <c r="D76" s="1340" t="str">
        <f>'정산표'!D147</f>
        <v>전력비</v>
      </c>
      <c r="E76" s="1341">
        <f>'정산표'!E147</f>
        <v>3879022</v>
      </c>
      <c r="F76" s="1341">
        <f>'정산표'!F147</f>
        <v>0</v>
      </c>
      <c r="G76" s="1341">
        <f>'정산표'!G147</f>
        <v>0</v>
      </c>
      <c r="H76" s="1341">
        <f>'정산표'!H147</f>
        <v>3879022</v>
      </c>
      <c r="J76" s="1341">
        <f>'정산표'!J147</f>
        <v>3182290</v>
      </c>
      <c r="K76" s="1341">
        <f>'정산표'!K147</f>
        <v>0</v>
      </c>
      <c r="L76" s="1341">
        <f>'정산표'!L147</f>
        <v>0</v>
      </c>
      <c r="M76" s="1341">
        <f>'정산표'!M147</f>
        <v>3182290</v>
      </c>
      <c r="O76" s="1360" t="inlineStr">
        <is>
          <t>판매비와관리비</t>
        </is>
      </c>
      <c r="P76" s="1361" t="inlineStr">
        <is>
          <t>판매비와관리비</t>
        </is>
      </c>
      <c r="Q76" s="1360" t="str">
        <f>IFERROR(INDEX($E$127:$E$137,MATCH(P76,$D$127:$D$137,0)),"오류")</f>
        <v>영업</v>
      </c>
      <c r="R76" s="1362">
        <f>IFERROR(INDEX($F$127:$F$137,MATCH(P76,$D$127:$D$137,0)),0)</f>
        <v>-1</v>
      </c>
      <c r="S76" s="1363">
        <f>IF(OR(O76="매출액",O76="매출원가",O76="판매비와관리비"),1,0)</f>
        <v>1</v>
      </c>
    </row>
    <row r="77">
      <c r="B77" s="1359" t="str">
        <f>IF('정산표'!B148="","",'정산표'!B148)</f>
        <v>81700</v>
      </c>
      <c r="D77" s="1340" t="str">
        <f>'정산표'!D148</f>
        <v>세금과공과금</v>
      </c>
      <c r="E77" s="1341">
        <f>'정산표'!E148</f>
        <v>8506220</v>
      </c>
      <c r="F77" s="1341">
        <f>'정산표'!F148</f>
        <v>0</v>
      </c>
      <c r="G77" s="1341">
        <f>'정산표'!G148</f>
        <v>0</v>
      </c>
      <c r="H77" s="1341">
        <f>'정산표'!H148</f>
        <v>8506220</v>
      </c>
      <c r="J77" s="1341">
        <f>'정산표'!J148</f>
        <v>9688630</v>
      </c>
      <c r="K77" s="1341">
        <f>'정산표'!K148</f>
        <v>0</v>
      </c>
      <c r="L77" s="1341">
        <f>'정산표'!L148</f>
        <v>0</v>
      </c>
      <c r="M77" s="1341">
        <f>'정산표'!M148</f>
        <v>9688630</v>
      </c>
      <c r="O77" s="1360" t="inlineStr">
        <is>
          <t>판매비와관리비</t>
        </is>
      </c>
      <c r="P77" s="1361" t="inlineStr">
        <is>
          <t>판매비와관리비</t>
        </is>
      </c>
      <c r="Q77" s="1360" t="str">
        <f>IFERROR(INDEX($E$127:$E$137,MATCH(P77,$D$127:$D$137,0)),"오류")</f>
        <v>영업</v>
      </c>
      <c r="R77" s="1362">
        <f>IFERROR(INDEX($F$127:$F$137,MATCH(P77,$D$127:$D$137,0)),0)</f>
        <v>-1</v>
      </c>
      <c r="S77" s="1363">
        <f>IF(OR(O77="매출액",O77="매출원가",O77="판매비와관리비"),1,0)</f>
        <v>1</v>
      </c>
    </row>
    <row r="78">
      <c r="B78" s="1359" t="str">
        <f>IF('정산표'!B149="","",'정산표'!B149)</f>
        <v>81800</v>
      </c>
      <c r="D78" s="1340" t="str">
        <f>'정산표'!D149</f>
        <v>감가상각비</v>
      </c>
      <c r="E78" s="1341">
        <f>'정산표'!E149</f>
        <v>119880341</v>
      </c>
      <c r="F78" s="1341">
        <f>'정산표'!F149</f>
        <v>0</v>
      </c>
      <c r="G78" s="1341">
        <f>'정산표'!G149</f>
        <v>0</v>
      </c>
      <c r="H78" s="1341">
        <f>'정산표'!H149</f>
        <v>119880341</v>
      </c>
      <c r="J78" s="1341">
        <f>'정산표'!J149</f>
        <v>84937975</v>
      </c>
      <c r="K78" s="1341">
        <f>'정산표'!K149</f>
        <v>0</v>
      </c>
      <c r="L78" s="1341">
        <f>'정산표'!L149</f>
        <v>0</v>
      </c>
      <c r="M78" s="1341">
        <f>'정산표'!M149</f>
        <v>84937975</v>
      </c>
      <c r="O78" s="1360" t="inlineStr">
        <is>
          <t>판매비와관리비</t>
        </is>
      </c>
      <c r="P78" s="1361" t="inlineStr">
        <is>
          <t>판매비와관리비</t>
        </is>
      </c>
      <c r="Q78" s="1360" t="str">
        <f>IFERROR(INDEX($E$127:$E$137,MATCH(P78,$D$127:$D$137,0)),"오류")</f>
        <v>영업</v>
      </c>
      <c r="R78" s="1362">
        <f>IFERROR(INDEX($F$127:$F$137,MATCH(P78,$D$127:$D$137,0)),0)</f>
        <v>-1</v>
      </c>
      <c r="S78" s="1363">
        <f>IF(OR(O78="매출액",O78="매출원가",O78="판매비와관리비"),1,0)</f>
        <v>1</v>
      </c>
    </row>
    <row r="79">
      <c r="B79" s="1359" t="str">
        <f>IF('정산표'!B150="","",'정산표'!B150)</f>
        <v>81900</v>
      </c>
      <c r="D79" s="1340" t="str">
        <f>'정산표'!D150</f>
        <v>지급임차료</v>
      </c>
      <c r="E79" s="1341">
        <f>'정산표'!E150</f>
        <v>508414</v>
      </c>
      <c r="F79" s="1341">
        <f>'정산표'!F150</f>
        <v>0</v>
      </c>
      <c r="G79" s="1341">
        <f>'정산표'!G150</f>
        <v>0</v>
      </c>
      <c r="H79" s="1341">
        <f>'정산표'!H150</f>
        <v>508414</v>
      </c>
      <c r="J79" s="1341">
        <f>'정산표'!J150</f>
        <v>30334814</v>
      </c>
      <c r="K79" s="1341">
        <f>'정산표'!K150</f>
        <v>0</v>
      </c>
      <c r="L79" s="1341">
        <f>'정산표'!L150</f>
        <v>0</v>
      </c>
      <c r="M79" s="1341">
        <f>'정산표'!M150</f>
        <v>30334814</v>
      </c>
      <c r="O79" s="1360" t="inlineStr">
        <is>
          <t>판매비와관리비</t>
        </is>
      </c>
      <c r="P79" s="1361" t="inlineStr">
        <is>
          <t>판매비와관리비</t>
        </is>
      </c>
      <c r="Q79" s="1360" t="str">
        <f>IFERROR(INDEX($E$127:$E$137,MATCH(P79,$D$127:$D$137,0)),"오류")</f>
        <v>영업</v>
      </c>
      <c r="R79" s="1362">
        <f>IFERROR(INDEX($F$127:$F$137,MATCH(P79,$D$127:$D$137,0)),0)</f>
        <v>-1</v>
      </c>
      <c r="S79" s="1363">
        <f>IF(OR(O79="매출액",O79="매출원가",O79="판매비와관리비"),1,0)</f>
        <v>1</v>
      </c>
    </row>
    <row r="80">
      <c r="B80" s="1359" t="str">
        <f>IF('정산표'!B151="","",'정산표'!B151)</f>
        <v>82000</v>
      </c>
      <c r="D80" s="1340" t="str">
        <f>'정산표'!D151</f>
        <v>수선비</v>
      </c>
      <c r="E80" s="1341">
        <f>'정산표'!E151</f>
        <v>1111000</v>
      </c>
      <c r="F80" s="1341">
        <f>'정산표'!F151</f>
        <v>0</v>
      </c>
      <c r="G80" s="1341">
        <f>'정산표'!G151</f>
        <v>0</v>
      </c>
      <c r="H80" s="1341">
        <f>'정산표'!H151</f>
        <v>1111000</v>
      </c>
      <c r="J80" s="1341">
        <f>'정산표'!J151</f>
        <v>93300</v>
      </c>
      <c r="K80" s="1341">
        <f>'정산표'!K151</f>
        <v>0</v>
      </c>
      <c r="L80" s="1341">
        <f>'정산표'!L151</f>
        <v>0</v>
      </c>
      <c r="M80" s="1341">
        <f>'정산표'!M151</f>
        <v>93300</v>
      </c>
      <c r="O80" s="1360" t="inlineStr">
        <is>
          <t>판매비와관리비</t>
        </is>
      </c>
      <c r="P80" s="1361" t="inlineStr">
        <is>
          <t>판매비와관리비</t>
        </is>
      </c>
      <c r="Q80" s="1360" t="str">
        <f>IFERROR(INDEX($E$127:$E$137,MATCH(P80,$D$127:$D$137,0)),"오류")</f>
        <v>영업</v>
      </c>
      <c r="R80" s="1362">
        <f>IFERROR(INDEX($F$127:$F$137,MATCH(P80,$D$127:$D$137,0)),0)</f>
        <v>-1</v>
      </c>
      <c r="S80" s="1363">
        <f>IF(OR(O80="매출액",O80="매출원가",O80="판매비와관리비"),1,0)</f>
        <v>1</v>
      </c>
    </row>
    <row r="81">
      <c r="B81" s="1359" t="str">
        <f>IF('정산표'!B152="","",'정산표'!B152)</f>
        <v>82100</v>
      </c>
      <c r="D81" s="1340" t="str">
        <f>'정산표'!D152</f>
        <v>보험료</v>
      </c>
      <c r="E81" s="1341">
        <f>'정산표'!E152</f>
        <v>3257116</v>
      </c>
      <c r="F81" s="1341">
        <f>'정산표'!F152</f>
        <v>0</v>
      </c>
      <c r="G81" s="1341">
        <f>'정산표'!G152</f>
        <v>0</v>
      </c>
      <c r="H81" s="1341">
        <f>'정산표'!H152</f>
        <v>3257116</v>
      </c>
      <c r="J81" s="1341">
        <f>'정산표'!J152</f>
        <v>3327218</v>
      </c>
      <c r="K81" s="1341">
        <f>'정산표'!K152</f>
        <v>0</v>
      </c>
      <c r="L81" s="1341">
        <f>'정산표'!L152</f>
        <v>0</v>
      </c>
      <c r="M81" s="1341">
        <f>'정산표'!M152</f>
        <v>3327218</v>
      </c>
      <c r="O81" s="1360" t="inlineStr">
        <is>
          <t>판매비와관리비</t>
        </is>
      </c>
      <c r="P81" s="1361" t="inlineStr">
        <is>
          <t>판매비와관리비</t>
        </is>
      </c>
      <c r="Q81" s="1360" t="str">
        <f>IFERROR(INDEX($E$127:$E$137,MATCH(P81,$D$127:$D$137,0)),"오류")</f>
        <v>영업</v>
      </c>
      <c r="R81" s="1362">
        <f>IFERROR(INDEX($F$127:$F$137,MATCH(P81,$D$127:$D$137,0)),0)</f>
        <v>-1</v>
      </c>
      <c r="S81" s="1363">
        <f>IF(OR(O81="매출액",O81="매출원가",O81="판매비와관리비"),1,0)</f>
        <v>1</v>
      </c>
    </row>
    <row r="82">
      <c r="B82" s="1359" t="str">
        <f>IF('정산표'!B153="","",'정산표'!B153)</f>
        <v>82200</v>
      </c>
      <c r="D82" s="1340" t="str">
        <f>'정산표'!D153</f>
        <v>차량유지비</v>
      </c>
      <c r="E82" s="1341">
        <f>'정산표'!E153</f>
        <v>720800</v>
      </c>
      <c r="F82" s="1341">
        <f>'정산표'!F153</f>
        <v>0</v>
      </c>
      <c r="G82" s="1341">
        <f>'정산표'!G153</f>
        <v>0</v>
      </c>
      <c r="H82" s="1341">
        <f>'정산표'!H153</f>
        <v>720800</v>
      </c>
      <c r="J82" s="1341">
        <f>'정산표'!J153</f>
        <v>3415144</v>
      </c>
      <c r="K82" s="1341">
        <f>'정산표'!K153</f>
        <v>0</v>
      </c>
      <c r="L82" s="1341">
        <f>'정산표'!L153</f>
        <v>0</v>
      </c>
      <c r="M82" s="1341">
        <f>'정산표'!M153</f>
        <v>3415144</v>
      </c>
      <c r="O82" s="1360" t="inlineStr">
        <is>
          <t>판매비와관리비</t>
        </is>
      </c>
      <c r="P82" s="1361" t="inlineStr">
        <is>
          <t>판매비와관리비</t>
        </is>
      </c>
      <c r="Q82" s="1360" t="str">
        <f>IFERROR(INDEX($E$127:$E$137,MATCH(P82,$D$127:$D$137,0)),"오류")</f>
        <v>영업</v>
      </c>
      <c r="R82" s="1362">
        <f>IFERROR(INDEX($F$127:$F$137,MATCH(P82,$D$127:$D$137,0)),0)</f>
        <v>-1</v>
      </c>
      <c r="S82" s="1363">
        <f>IF(OR(O82="매출액",O82="매출원가",O82="판매비와관리비"),1,0)</f>
        <v>1</v>
      </c>
    </row>
    <row r="83">
      <c r="B83" s="1359" t="str">
        <f>IF('정산표'!B154="","",'정산표'!B154)</f>
        <v>82300</v>
      </c>
      <c r="D83" s="1340" t="str">
        <f>'정산표'!D154</f>
        <v>경상연구개발비</v>
      </c>
      <c r="E83" s="1341">
        <f>'정산표'!E154</f>
        <v>364625079</v>
      </c>
      <c r="F83" s="1341">
        <f>'정산표'!F154</f>
        <v>0</v>
      </c>
      <c r="G83" s="1341">
        <f>'정산표'!G154</f>
        <v>0</v>
      </c>
      <c r="H83" s="1341">
        <f>'정산표'!H154</f>
        <v>364625079</v>
      </c>
      <c r="J83" s="1341">
        <f>'정산표'!J154</f>
        <v>337688016</v>
      </c>
      <c r="K83" s="1341">
        <f>'정산표'!K154</f>
        <v>0</v>
      </c>
      <c r="L83" s="1341">
        <f>'정산표'!L154</f>
        <v>0</v>
      </c>
      <c r="M83" s="1341">
        <f>'정산표'!M154</f>
        <v>337688016</v>
      </c>
      <c r="O83" s="1360" t="inlineStr">
        <is>
          <t>판매비와관리비</t>
        </is>
      </c>
      <c r="P83" s="1361" t="inlineStr">
        <is>
          <t>판매비와관리비</t>
        </is>
      </c>
      <c r="Q83" s="1360" t="str">
        <f>IFERROR(INDEX($E$127:$E$137,MATCH(P83,$D$127:$D$137,0)),"오류")</f>
        <v>영업</v>
      </c>
      <c r="R83" s="1362">
        <f>IFERROR(INDEX($F$127:$F$137,MATCH(P83,$D$127:$D$137,0)),0)</f>
        <v>-1</v>
      </c>
      <c r="S83" s="1363">
        <f>IF(OR(O83="매출액",O83="매출원가",O83="판매비와관리비"),1,0)</f>
        <v>1</v>
      </c>
    </row>
    <row r="84">
      <c r="B84" s="1359" t="str">
        <f>IF('정산표'!B155="","",'정산표'!B155)</f>
        <v>82400</v>
      </c>
      <c r="D84" s="1340" t="str">
        <f>'정산표'!D155</f>
        <v>운반비</v>
      </c>
      <c r="E84" s="1341">
        <f>'정산표'!E155</f>
        <v>9018081</v>
      </c>
      <c r="F84" s="1341">
        <f>'정산표'!F155</f>
        <v>0</v>
      </c>
      <c r="G84" s="1341">
        <f>'정산표'!G155</f>
        <v>0</v>
      </c>
      <c r="H84" s="1341">
        <f>'정산표'!H155</f>
        <v>9018081</v>
      </c>
      <c r="J84" s="1341">
        <f>'정산표'!J155</f>
        <v>10980849</v>
      </c>
      <c r="K84" s="1341">
        <f>'정산표'!K155</f>
        <v>0</v>
      </c>
      <c r="L84" s="1341">
        <f>'정산표'!L155</f>
        <v>0</v>
      </c>
      <c r="M84" s="1341">
        <f>'정산표'!M155</f>
        <v>10980849</v>
      </c>
      <c r="O84" s="1360" t="inlineStr">
        <is>
          <t>판매비와관리비</t>
        </is>
      </c>
      <c r="P84" s="1361" t="inlineStr">
        <is>
          <t>판매비와관리비</t>
        </is>
      </c>
      <c r="Q84" s="1360" t="str">
        <f>IFERROR(INDEX($E$127:$E$137,MATCH(P84,$D$127:$D$137,0)),"오류")</f>
        <v>영업</v>
      </c>
      <c r="R84" s="1362">
        <f>IFERROR(INDEX($F$127:$F$137,MATCH(P84,$D$127:$D$137,0)),0)</f>
        <v>-1</v>
      </c>
      <c r="S84" s="1363">
        <f>IF(OR(O84="매출액",O84="매출원가",O84="판매비와관리비"),1,0)</f>
        <v>1</v>
      </c>
    </row>
    <row r="85">
      <c r="B85" s="1359" t="str">
        <f>IF('정산표'!B156="","",'정산표'!B156)</f>
        <v>82500</v>
      </c>
      <c r="D85" s="1340" t="str">
        <f>'정산표'!D156</f>
        <v>교육훈련비</v>
      </c>
      <c r="E85" s="1341">
        <f>'정산표'!E156</f>
        <v>1066181</v>
      </c>
      <c r="F85" s="1341">
        <f>'정산표'!F156</f>
        <v>0</v>
      </c>
      <c r="G85" s="1341">
        <f>'정산표'!G156</f>
        <v>0</v>
      </c>
      <c r="H85" s="1341">
        <f>'정산표'!H156</f>
        <v>1066181</v>
      </c>
      <c r="J85" s="1341">
        <f>'정산표'!J156</f>
        <v>6814000</v>
      </c>
      <c r="K85" s="1341">
        <f>'정산표'!K156</f>
        <v>0</v>
      </c>
      <c r="L85" s="1341">
        <f>'정산표'!L156</f>
        <v>0</v>
      </c>
      <c r="M85" s="1341">
        <f>'정산표'!M156</f>
        <v>6814000</v>
      </c>
      <c r="O85" s="1360" t="inlineStr">
        <is>
          <t>판매비와관리비</t>
        </is>
      </c>
      <c r="P85" s="1361" t="inlineStr">
        <is>
          <t>판매비와관리비</t>
        </is>
      </c>
      <c r="Q85" s="1360" t="str">
        <f>IFERROR(INDEX($E$127:$E$137,MATCH(P85,$D$127:$D$137,0)),"오류")</f>
        <v>영업</v>
      </c>
      <c r="R85" s="1362">
        <f>IFERROR(INDEX($F$127:$F$137,MATCH(P85,$D$127:$D$137,0)),0)</f>
        <v>-1</v>
      </c>
      <c r="S85" s="1363">
        <f>IF(OR(O85="매출액",O85="매출원가",O85="판매비와관리비"),1,0)</f>
        <v>1</v>
      </c>
    </row>
    <row r="86">
      <c r="B86" s="1359" t="str">
        <f>IF('정산표'!B157="","",'정산표'!B157)</f>
        <v>82600</v>
      </c>
      <c r="D86" s="1340" t="str">
        <f>'정산표'!D157</f>
        <v>도서인쇄비</v>
      </c>
      <c r="E86" s="1341">
        <f>'정산표'!E157</f>
        <v>4820923</v>
      </c>
      <c r="F86" s="1341">
        <f>'정산표'!F157</f>
        <v>0</v>
      </c>
      <c r="G86" s="1341">
        <f>'정산표'!G157</f>
        <v>0</v>
      </c>
      <c r="H86" s="1341">
        <f>'정산표'!H157</f>
        <v>4820923</v>
      </c>
      <c r="J86" s="1341">
        <f>'정산표'!J157</f>
        <v>1418240</v>
      </c>
      <c r="K86" s="1341">
        <f>'정산표'!K157</f>
        <v>0</v>
      </c>
      <c r="L86" s="1341">
        <f>'정산표'!L157</f>
        <v>0</v>
      </c>
      <c r="M86" s="1341">
        <f>'정산표'!M157</f>
        <v>1418240</v>
      </c>
      <c r="O86" s="1360" t="inlineStr">
        <is>
          <t>판매비와관리비</t>
        </is>
      </c>
      <c r="P86" s="1361" t="inlineStr">
        <is>
          <t>판매비와관리비</t>
        </is>
      </c>
      <c r="Q86" s="1360" t="str">
        <f>IFERROR(INDEX($E$127:$E$137,MATCH(P86,$D$127:$D$137,0)),"오류")</f>
        <v>영업</v>
      </c>
      <c r="R86" s="1362">
        <f>IFERROR(INDEX($F$127:$F$137,MATCH(P86,$D$127:$D$137,0)),0)</f>
        <v>-1</v>
      </c>
      <c r="S86" s="1363">
        <f>IF(OR(O86="매출액",O86="매출원가",O86="판매비와관리비"),1,0)</f>
        <v>1</v>
      </c>
    </row>
    <row r="87">
      <c r="B87" s="1359" t="str">
        <f>IF('정산표'!B158="","",'정산표'!B158)</f>
        <v>82800</v>
      </c>
      <c r="D87" s="1340" t="str">
        <f>'정산표'!D158</f>
        <v>포장비</v>
      </c>
      <c r="E87" s="1341">
        <f>'정산표'!E158</f>
        <v>0</v>
      </c>
      <c r="F87" s="1341">
        <f>'정산표'!F158</f>
        <v>0</v>
      </c>
      <c r="G87" s="1341">
        <f>'정산표'!G158</f>
        <v>0</v>
      </c>
      <c r="H87" s="1341">
        <f>'정산표'!H158</f>
        <v>0</v>
      </c>
      <c r="J87" s="1341">
        <f>'정산표'!J158</f>
        <v>0</v>
      </c>
      <c r="K87" s="1341">
        <f>'정산표'!K158</f>
        <v>0</v>
      </c>
      <c r="L87" s="1341">
        <f>'정산표'!L158</f>
        <v>0</v>
      </c>
      <c r="M87" s="1341">
        <f>'정산표'!M158</f>
        <v>0</v>
      </c>
      <c r="O87" s="1360" t="inlineStr">
        <is>
          <t>판매비와관리비</t>
        </is>
      </c>
      <c r="P87" s="1361" t="inlineStr">
        <is>
          <t>판매비와관리비</t>
        </is>
      </c>
      <c r="Q87" s="1360" t="str">
        <f>IFERROR(INDEX($E$127:$E$137,MATCH(P87,$D$127:$D$137,0)),"오류")</f>
        <v>영업</v>
      </c>
      <c r="R87" s="1362">
        <f>IFERROR(INDEX($F$127:$F$137,MATCH(P87,$D$127:$D$137,0)),0)</f>
        <v>-1</v>
      </c>
      <c r="S87" s="1363">
        <f>IF(OR(O87="매출액",O87="매출원가",O87="판매비와관리비"),1,0)</f>
        <v>1</v>
      </c>
    </row>
    <row r="88">
      <c r="B88" s="1359" t="str">
        <f>IF('정산표'!B159="","",'정산표'!B159)</f>
        <v>82900</v>
      </c>
      <c r="D88" s="1340" t="str">
        <f>'정산표'!D159</f>
        <v>사무용품비</v>
      </c>
      <c r="E88" s="1341">
        <f>'정산표'!E159</f>
        <v>236327</v>
      </c>
      <c r="F88" s="1341">
        <f>'정산표'!F159</f>
        <v>0</v>
      </c>
      <c r="G88" s="1341">
        <f>'정산표'!G159</f>
        <v>0</v>
      </c>
      <c r="H88" s="1341">
        <f>'정산표'!H159</f>
        <v>236327</v>
      </c>
      <c r="J88" s="1341">
        <f>'정산표'!J159</f>
        <v>2317493</v>
      </c>
      <c r="K88" s="1341">
        <f>'정산표'!K159</f>
        <v>0</v>
      </c>
      <c r="L88" s="1341">
        <f>'정산표'!L159</f>
        <v>0</v>
      </c>
      <c r="M88" s="1341">
        <f>'정산표'!M159</f>
        <v>2317493</v>
      </c>
      <c r="O88" s="1360" t="inlineStr">
        <is>
          <t>판매비와관리비</t>
        </is>
      </c>
      <c r="P88" s="1361" t="inlineStr">
        <is>
          <t>판매비와관리비</t>
        </is>
      </c>
      <c r="Q88" s="1360" t="str">
        <f>IFERROR(INDEX($E$127:$E$137,MATCH(P88,$D$127:$D$137,0)),"오류")</f>
        <v>영업</v>
      </c>
      <c r="R88" s="1362">
        <f>IFERROR(INDEX($F$127:$F$137,MATCH(P88,$D$127:$D$137,0)),0)</f>
        <v>-1</v>
      </c>
      <c r="S88" s="1363">
        <f>IF(OR(O88="매출액",O88="매출원가",O88="판매비와관리비"),1,0)</f>
        <v>1</v>
      </c>
    </row>
    <row r="89">
      <c r="B89" s="1359" t="str">
        <f>IF('정산표'!B160="","",'정산표'!B160)</f>
        <v>83000</v>
      </c>
      <c r="D89" s="1340" t="str">
        <f>'정산표'!D160</f>
        <v>소모품비</v>
      </c>
      <c r="E89" s="1341">
        <f>'정산표'!E160</f>
        <v>19873909</v>
      </c>
      <c r="F89" s="1341">
        <f>'정산표'!F160</f>
        <v>0</v>
      </c>
      <c r="G89" s="1341">
        <f>'정산표'!G160</f>
        <v>0</v>
      </c>
      <c r="H89" s="1341">
        <f>'정산표'!H160</f>
        <v>19873909</v>
      </c>
      <c r="J89" s="1341">
        <f>'정산표'!J160</f>
        <v>17725736</v>
      </c>
      <c r="K89" s="1341">
        <f>'정산표'!K160</f>
        <v>0</v>
      </c>
      <c r="L89" s="1341">
        <f>'정산표'!L160</f>
        <v>0</v>
      </c>
      <c r="M89" s="1341">
        <f>'정산표'!M160</f>
        <v>17725736</v>
      </c>
      <c r="O89" s="1360" t="inlineStr">
        <is>
          <t>판매비와관리비</t>
        </is>
      </c>
      <c r="P89" s="1361" t="inlineStr">
        <is>
          <t>판매비와관리비</t>
        </is>
      </c>
      <c r="Q89" s="1360" t="str">
        <f>IFERROR(INDEX($E$127:$E$137,MATCH(P89,$D$127:$D$137,0)),"오류")</f>
        <v>영업</v>
      </c>
      <c r="R89" s="1362">
        <f>IFERROR(INDEX($F$127:$F$137,MATCH(P89,$D$127:$D$137,0)),0)</f>
        <v>-1</v>
      </c>
      <c r="S89" s="1363">
        <f>IF(OR(O89="매출액",O89="매출원가",O89="판매비와관리비"),1,0)</f>
        <v>1</v>
      </c>
    </row>
    <row r="90">
      <c r="B90" s="1359" t="str">
        <f>IF('정산표'!B161="","",'정산표'!B161)</f>
        <v>83100</v>
      </c>
      <c r="D90" s="1340" t="str">
        <f>'정산표'!D161</f>
        <v>지급수수료</v>
      </c>
      <c r="E90" s="1341">
        <f>'정산표'!E161</f>
        <v>1082143476</v>
      </c>
      <c r="F90" s="1341">
        <f>'정산표'!F161</f>
        <v>0</v>
      </c>
      <c r="G90" s="1341">
        <f>'정산표'!G161</f>
        <v>0</v>
      </c>
      <c r="H90" s="1341">
        <f>'정산표'!H161</f>
        <v>1082143476</v>
      </c>
      <c r="J90" s="1341">
        <f>'정산표'!J161</f>
        <v>368147473</v>
      </c>
      <c r="K90" s="1341">
        <f>'정산표'!K161</f>
        <v>0</v>
      </c>
      <c r="L90" s="1341">
        <f>'정산표'!L161</f>
        <v>0</v>
      </c>
      <c r="M90" s="1341">
        <f>'정산표'!M161</f>
        <v>368147473</v>
      </c>
      <c r="O90" s="1360" t="inlineStr">
        <is>
          <t>판매비와관리비</t>
        </is>
      </c>
      <c r="P90" s="1361" t="inlineStr">
        <is>
          <t>판매비와관리비</t>
        </is>
      </c>
      <c r="Q90" s="1360" t="str">
        <f>IFERROR(INDEX($E$127:$E$137,MATCH(P90,$D$127:$D$137,0)),"오류")</f>
        <v>영업</v>
      </c>
      <c r="R90" s="1362">
        <f>IFERROR(INDEX($F$127:$F$137,MATCH(P90,$D$127:$D$137,0)),0)</f>
        <v>-1</v>
      </c>
      <c r="S90" s="1363">
        <f>IF(OR(O90="매출액",O90="매출원가",O90="판매비와관리비"),1,0)</f>
        <v>1</v>
      </c>
    </row>
    <row r="91">
      <c r="B91" s="1359" t="str">
        <f>IF('정산표'!B162="","",'정산표'!B162)</f>
        <v>85300</v>
      </c>
      <c r="D91" s="1340" t="str">
        <f>'정산표'!D162</f>
        <v>보관료</v>
      </c>
      <c r="E91" s="1341">
        <f>'정산표'!E162</f>
        <v>0</v>
      </c>
      <c r="F91" s="1341">
        <f>'정산표'!F162</f>
        <v>0</v>
      </c>
      <c r="G91" s="1341">
        <f>'정산표'!G162</f>
        <v>0</v>
      </c>
      <c r="H91" s="1341">
        <f>'정산표'!H162</f>
        <v>0</v>
      </c>
      <c r="J91" s="1341">
        <f>'정산표'!J162</f>
        <v>0</v>
      </c>
      <c r="K91" s="1341">
        <f>'정산표'!K162</f>
        <v>0</v>
      </c>
      <c r="L91" s="1341">
        <f>'정산표'!L162</f>
        <v>0</v>
      </c>
      <c r="M91" s="1341">
        <f>'정산표'!M162</f>
        <v>0</v>
      </c>
      <c r="O91" s="1360" t="inlineStr">
        <is>
          <t>판매비와관리비</t>
        </is>
      </c>
      <c r="P91" s="1361" t="inlineStr">
        <is>
          <t>판매비와관리비</t>
        </is>
      </c>
      <c r="Q91" s="1360" t="str">
        <f>IFERROR(INDEX($E$127:$E$137,MATCH(P91,$D$127:$D$137,0)),"오류")</f>
        <v>영업</v>
      </c>
      <c r="R91" s="1362">
        <f>IFERROR(INDEX($F$127:$F$137,MATCH(P91,$D$127:$D$137,0)),0)</f>
        <v>-1</v>
      </c>
      <c r="S91" s="1363">
        <f>IF(OR(O91="매출액",O91="매출원가",O91="판매비와관리비"),1,0)</f>
        <v>1</v>
      </c>
    </row>
    <row r="92">
      <c r="B92" s="1359" t="str">
        <f>IF('정산표'!B163="","",'정산표'!B163)</f>
        <v>83300</v>
      </c>
      <c r="D92" s="1340" t="str">
        <f>'정산표'!D163</f>
        <v>광고선전비</v>
      </c>
      <c r="E92" s="1341">
        <f>'정산표'!E163</f>
        <v>1875294553</v>
      </c>
      <c r="F92" s="1341">
        <f>'정산표'!F163</f>
        <v>0</v>
      </c>
      <c r="G92" s="1341">
        <f>'정산표'!G163</f>
        <v>0</v>
      </c>
      <c r="H92" s="1341">
        <f>'정산표'!H163</f>
        <v>1875294553</v>
      </c>
      <c r="J92" s="1341">
        <f>'정산표'!J163</f>
        <v>782157909</v>
      </c>
      <c r="K92" s="1341">
        <f>'정산표'!K163</f>
        <v>0</v>
      </c>
      <c r="L92" s="1341">
        <f>'정산표'!L163</f>
        <v>0</v>
      </c>
      <c r="M92" s="1341">
        <f>'정산표'!M163</f>
        <v>782157909</v>
      </c>
      <c r="O92" s="1360" t="inlineStr">
        <is>
          <t>판매비와관리비</t>
        </is>
      </c>
      <c r="P92" s="1361" t="inlineStr">
        <is>
          <t>판매비와관리비</t>
        </is>
      </c>
      <c r="Q92" s="1360" t="str">
        <f>IFERROR(INDEX($E$127:$E$137,MATCH(P92,$D$127:$D$137,0)),"오류")</f>
        <v>영업</v>
      </c>
      <c r="R92" s="1362">
        <f>IFERROR(INDEX($F$127:$F$137,MATCH(P92,$D$127:$D$137,0)),0)</f>
        <v>-1</v>
      </c>
      <c r="S92" s="1363">
        <f>IF(OR(O92="매출액",O92="매출원가",O92="판매비와관리비"),1,0)</f>
        <v>1</v>
      </c>
    </row>
    <row r="93">
      <c r="B93" s="1359" t="str">
        <f>IF('정산표'!B164="","",'정산표'!B164)</f>
        <v>83500</v>
      </c>
      <c r="D93" s="1340" t="str">
        <f>'정산표'!D164</f>
        <v>대손상각비</v>
      </c>
      <c r="E93" s="1341">
        <f>'정산표'!E164</f>
        <v>-82887417</v>
      </c>
      <c r="F93" s="1341">
        <f>'정산표'!F164</f>
        <v>0</v>
      </c>
      <c r="G93" s="1341">
        <f>'정산표'!G164</f>
        <v>0</v>
      </c>
      <c r="H93" s="1341">
        <f>'정산표'!H164</f>
        <v>-82887417</v>
      </c>
      <c r="J93" s="1341">
        <f>'정산표'!J164</f>
        <v>56611534</v>
      </c>
      <c r="K93" s="1341">
        <f>'정산표'!K164</f>
        <v>0</v>
      </c>
      <c r="L93" s="1341">
        <f>'정산표'!L164</f>
        <v>0</v>
      </c>
      <c r="M93" s="1341">
        <f>'정산표'!M164</f>
        <v>56611534</v>
      </c>
      <c r="O93" s="1360" t="inlineStr">
        <is>
          <t>판매비와관리비</t>
        </is>
      </c>
      <c r="P93" s="1361" t="inlineStr">
        <is>
          <t>판매비와관리비</t>
        </is>
      </c>
      <c r="Q93" s="1360" t="str">
        <f>IFERROR(INDEX($E$127:$E$137,MATCH(P93,$D$127:$D$137,0)),"오류")</f>
        <v>영업</v>
      </c>
      <c r="R93" s="1362">
        <f>IFERROR(INDEX($F$127:$F$137,MATCH(P93,$D$127:$D$137,0)),0)</f>
        <v>-1</v>
      </c>
      <c r="S93" s="1363">
        <f>IF(OR(O93="매출액",O93="매출원가",O93="판매비와관리비"),1,0)</f>
        <v>1</v>
      </c>
    </row>
    <row r="94">
      <c r="B94" s="1359" t="str">
        <f>IF('정산표'!B165="","",'정산표'!B165)</f>
        <v>83700</v>
      </c>
      <c r="D94" s="1340" t="str">
        <f>'정산표'!D165</f>
        <v>건물관리비</v>
      </c>
      <c r="E94" s="1341">
        <f>'정산표'!E165</f>
        <v>16390898</v>
      </c>
      <c r="F94" s="1341">
        <f>'정산표'!F165</f>
        <v>0</v>
      </c>
      <c r="G94" s="1341">
        <f>'정산표'!G165</f>
        <v>0</v>
      </c>
      <c r="H94" s="1341">
        <f>'정산표'!H165</f>
        <v>16390898</v>
      </c>
      <c r="J94" s="1341">
        <f>'정산표'!J165</f>
        <v>19801261</v>
      </c>
      <c r="K94" s="1341">
        <f>'정산표'!K165</f>
        <v>0</v>
      </c>
      <c r="L94" s="1341">
        <f>'정산표'!L165</f>
        <v>0</v>
      </c>
      <c r="M94" s="1341">
        <f>'정산표'!M165</f>
        <v>19801261</v>
      </c>
      <c r="O94" s="1360" t="inlineStr">
        <is>
          <t>판매비와관리비</t>
        </is>
      </c>
      <c r="P94" s="1361" t="inlineStr">
        <is>
          <t>판매비와관리비</t>
        </is>
      </c>
      <c r="Q94" s="1360" t="str">
        <f>IFERROR(INDEX($E$127:$E$137,MATCH(P94,$D$127:$D$137,0)),"오류")</f>
        <v>영업</v>
      </c>
      <c r="R94" s="1362">
        <f>IFERROR(INDEX($F$127:$F$137,MATCH(P94,$D$127:$D$137,0)),0)</f>
        <v>-1</v>
      </c>
      <c r="S94" s="1363">
        <f>IF(OR(O94="매출액",O94="매출원가",O94="판매비와관리비"),1,0)</f>
        <v>1</v>
      </c>
    </row>
    <row r="95">
      <c r="B95" s="1359" t="str">
        <f>IF('정산표'!B166="","",'정산표'!B166)</f>
        <v>83800</v>
      </c>
      <c r="D95" s="1340" t="str">
        <f>'정산표'!D166</f>
        <v>수출제비용</v>
      </c>
      <c r="E95" s="1341">
        <f>'정산표'!E166</f>
        <v>33162410</v>
      </c>
      <c r="F95" s="1341">
        <f>'정산표'!F166</f>
        <v>0</v>
      </c>
      <c r="G95" s="1341">
        <f>'정산표'!G166</f>
        <v>0</v>
      </c>
      <c r="H95" s="1341">
        <f>'정산표'!H166</f>
        <v>33162410</v>
      </c>
      <c r="J95" s="1341">
        <f>'정산표'!J166</f>
        <v>33196857</v>
      </c>
      <c r="K95" s="1341">
        <f>'정산표'!K166</f>
        <v>0</v>
      </c>
      <c r="L95" s="1341">
        <f>'정산표'!L166</f>
        <v>0</v>
      </c>
      <c r="M95" s="1341">
        <f>'정산표'!M166</f>
        <v>33196857</v>
      </c>
      <c r="O95" s="1360" t="inlineStr">
        <is>
          <t>판매비와관리비</t>
        </is>
      </c>
      <c r="P95" s="1361" t="inlineStr">
        <is>
          <t>판매비와관리비</t>
        </is>
      </c>
      <c r="Q95" s="1360" t="str">
        <f>IFERROR(INDEX($E$127:$E$137,MATCH(P95,$D$127:$D$137,0)),"오류")</f>
        <v>영업</v>
      </c>
      <c r="R95" s="1362">
        <f>IFERROR(INDEX($F$127:$F$137,MATCH(P95,$D$127:$D$137,0)),0)</f>
        <v>-1</v>
      </c>
      <c r="S95" s="1363">
        <f>IF(OR(O95="매출액",O95="매출원가",O95="판매비와관리비"),1,0)</f>
        <v>1</v>
      </c>
    </row>
    <row r="96">
      <c r="B96" s="1359" t="str">
        <f>IF('정산표'!B167="","",'정산표'!B167)</f>
        <v>83900</v>
      </c>
      <c r="D96" s="1340" t="str">
        <f>'정산표'!D167</f>
        <v>판매수수료</v>
      </c>
      <c r="E96" s="1341">
        <f>'정산표'!E167</f>
        <v>96068802</v>
      </c>
      <c r="F96" s="1341">
        <f>'정산표'!F167</f>
        <v>0</v>
      </c>
      <c r="G96" s="1341">
        <f>'정산표'!G167</f>
        <v>0</v>
      </c>
      <c r="H96" s="1341">
        <f>'정산표'!H167</f>
        <v>96068802</v>
      </c>
      <c r="J96" s="1341">
        <f>'정산표'!J167</f>
        <v>109893893</v>
      </c>
      <c r="K96" s="1341">
        <f>'정산표'!K167</f>
        <v>0</v>
      </c>
      <c r="L96" s="1341">
        <f>'정산표'!L167</f>
        <v>0</v>
      </c>
      <c r="M96" s="1341">
        <f>'정산표'!M167</f>
        <v>109893893</v>
      </c>
      <c r="O96" s="1360" t="inlineStr">
        <is>
          <t>판매비와관리비</t>
        </is>
      </c>
      <c r="P96" s="1361" t="inlineStr">
        <is>
          <t>판매비와관리비</t>
        </is>
      </c>
      <c r="Q96" s="1360" t="str">
        <f>IFERROR(INDEX($E$127:$E$137,MATCH(P96,$D$127:$D$137,0)),"오류")</f>
        <v>영업</v>
      </c>
      <c r="R96" s="1362">
        <f>IFERROR(INDEX($F$127:$F$137,MATCH(P96,$D$127:$D$137,0)),0)</f>
        <v>-1</v>
      </c>
      <c r="S96" s="1363">
        <f>IF(OR(O96="매출액",O96="매출원가",O96="판매비와관리비"),1,0)</f>
        <v>1</v>
      </c>
    </row>
    <row r="97">
      <c r="B97" s="1359" t="str">
        <f>IF('정산표'!B168="","",'정산표'!B168)</f>
        <v>84000</v>
      </c>
      <c r="D97" s="1340" t="str">
        <f>'정산표'!D168</f>
        <v>무형고정자산상각</v>
      </c>
      <c r="E97" s="1341">
        <f>'정산표'!E168</f>
        <v>21529107</v>
      </c>
      <c r="F97" s="1341">
        <f>'정산표'!F168</f>
        <v>0</v>
      </c>
      <c r="G97" s="1341">
        <f>'정산표'!G168</f>
        <v>0</v>
      </c>
      <c r="H97" s="1341">
        <f>'정산표'!H168</f>
        <v>21529107</v>
      </c>
      <c r="J97" s="1341">
        <f>'정산표'!J168</f>
        <v>18799999</v>
      </c>
      <c r="K97" s="1341">
        <f>'정산표'!K168</f>
        <v>0</v>
      </c>
      <c r="L97" s="1341">
        <f>'정산표'!L168</f>
        <v>0</v>
      </c>
      <c r="M97" s="1341">
        <f>'정산표'!M168</f>
        <v>18799999</v>
      </c>
      <c r="O97" s="1360" t="inlineStr">
        <is>
          <t>판매비와관리비</t>
        </is>
      </c>
      <c r="P97" s="1361" t="inlineStr">
        <is>
          <t>판매비와관리비</t>
        </is>
      </c>
      <c r="Q97" s="1360" t="str">
        <f>IFERROR(INDEX($E$127:$E$137,MATCH(P97,$D$127:$D$137,0)),"오류")</f>
        <v>영업</v>
      </c>
      <c r="R97" s="1362">
        <f>IFERROR(INDEX($F$127:$F$137,MATCH(P97,$D$127:$D$137,0)),0)</f>
        <v>-1</v>
      </c>
      <c r="S97" s="1363">
        <f>IF(OR(O97="매출액",O97="매출원가",O97="판매비와관리비"),1,0)</f>
        <v>1</v>
      </c>
    </row>
    <row r="98">
      <c r="B98" s="1359" t="str">
        <f>IF('정산표'!B169="","",'정산표'!B169)</f>
        <v>85000</v>
      </c>
      <c r="D98" s="1340" t="str">
        <f>'정산표'!D169</f>
        <v>리스비</v>
      </c>
      <c r="E98" s="1341">
        <f>'정산표'!E169</f>
        <v>0</v>
      </c>
      <c r="F98" s="1341">
        <f>'정산표'!F169</f>
        <v>0</v>
      </c>
      <c r="G98" s="1341">
        <f>'정산표'!G169</f>
        <v>0</v>
      </c>
      <c r="H98" s="1341">
        <f>'정산표'!H169</f>
        <v>0</v>
      </c>
      <c r="J98" s="1341">
        <f>'정산표'!J169</f>
        <v>0</v>
      </c>
      <c r="K98" s="1341">
        <f>'정산표'!K169</f>
        <v>0</v>
      </c>
      <c r="L98" s="1341">
        <f>'정산표'!L169</f>
        <v>0</v>
      </c>
      <c r="M98" s="1341">
        <f>'정산표'!M169</f>
        <v>0</v>
      </c>
      <c r="O98" s="1360" t="inlineStr">
        <is>
          <t>판매비와관리비</t>
        </is>
      </c>
      <c r="P98" s="1361" t="inlineStr">
        <is>
          <t>판매비와관리비</t>
        </is>
      </c>
      <c r="Q98" s="1360" t="str">
        <f>IFERROR(INDEX($E$127:$E$137,MATCH(P98,$D$127:$D$137,0)),"오류")</f>
        <v>영업</v>
      </c>
      <c r="R98" s="1362">
        <f>IFERROR(INDEX($F$127:$F$137,MATCH(P98,$D$127:$D$137,0)),0)</f>
        <v>-1</v>
      </c>
      <c r="S98" s="1363">
        <f>IF(OR(O98="매출액",O98="매출원가",O98="판매비와관리비"),1,0)</f>
        <v>1</v>
      </c>
    </row>
    <row r="99">
      <c r="B99" s="1359" t="str">
        <f>IF('정산표'!B170="","",'정산표'!B170)</f>
        <v>85100</v>
      </c>
      <c r="D99" s="1340" t="str">
        <f>'정산표'!D170</f>
        <v>인력개발비</v>
      </c>
      <c r="E99" s="1341">
        <f>'정산표'!E170</f>
        <v>1380000</v>
      </c>
      <c r="F99" s="1341">
        <f>'정산표'!F170</f>
        <v>0</v>
      </c>
      <c r="G99" s="1341">
        <f>'정산표'!G170</f>
        <v>0</v>
      </c>
      <c r="H99" s="1341">
        <f>'정산표'!H170</f>
        <v>1380000</v>
      </c>
      <c r="J99" s="1341">
        <f>'정산표'!J170</f>
        <v>1378699</v>
      </c>
      <c r="K99" s="1341">
        <f>'정산표'!K170</f>
        <v>0</v>
      </c>
      <c r="L99" s="1341">
        <f>'정산표'!L170</f>
        <v>0</v>
      </c>
      <c r="M99" s="1341">
        <f>'정산표'!M170</f>
        <v>1378699</v>
      </c>
      <c r="O99" s="1360" t="inlineStr">
        <is>
          <t>판매비와관리비</t>
        </is>
      </c>
      <c r="P99" s="1361" t="inlineStr">
        <is>
          <t>판매비와관리비</t>
        </is>
      </c>
      <c r="Q99" s="1360" t="str">
        <f>IFERROR(INDEX($E$127:$E$137,MATCH(P99,$D$127:$D$137,0)),"오류")</f>
        <v>영업</v>
      </c>
      <c r="R99" s="1362">
        <f>IFERROR(INDEX($F$127:$F$137,MATCH(P99,$D$127:$D$137,0)),0)</f>
        <v>-1</v>
      </c>
      <c r="S99" s="1363">
        <f>IF(OR(O99="매출액",O99="매출원가",O99="판매비와관리비"),1,0)</f>
        <v>1</v>
      </c>
    </row>
    <row r="100">
      <c r="B100" s="1359" t="str">
        <f>IF('정산표'!B173="","",'정산표'!B173)</f>
        <v>90500</v>
      </c>
      <c r="D100" s="1340" t="str">
        <f>'정산표'!D173</f>
        <v>기타의대손상각비환입</v>
      </c>
      <c r="E100" s="1341">
        <f>'정산표'!E173</f>
        <v>3000000</v>
      </c>
      <c r="F100" s="1341">
        <f>'정산표'!F173</f>
        <v>0</v>
      </c>
      <c r="G100" s="1341">
        <f>'정산표'!G173</f>
        <v>0</v>
      </c>
      <c r="H100" s="1341">
        <f>'정산표'!H173</f>
        <v>3000000</v>
      </c>
      <c r="J100" s="1341">
        <f>'정산표'!J173</f>
        <v>3000000</v>
      </c>
      <c r="K100" s="1341">
        <f>'정산표'!K173</f>
        <v>0</v>
      </c>
      <c r="L100" s="1341">
        <f>'정산표'!L173</f>
        <v>0</v>
      </c>
      <c r="M100" s="1341">
        <f>'정산표'!M173</f>
        <v>3000000</v>
      </c>
      <c r="O100" s="1360" t="inlineStr">
        <is>
          <t>기타영업수익</t>
        </is>
      </c>
      <c r="P100" s="1361" t="inlineStr">
        <is>
          <t>기타영업수익</t>
        </is>
      </c>
      <c r="Q100" s="1360" t="str">
        <f>IFERROR(INDEX($E$127:$E$137,MATCH(P100,$D$127:$D$137,0)),"오류")</f>
        <v>영업</v>
      </c>
      <c r="R100" s="1362">
        <f>IFERROR(INDEX($F$127:$F$137,MATCH(P100,$D$127:$D$137,0)),0)</f>
        <v>1</v>
      </c>
      <c r="S100" s="1363">
        <f>IF(OR(O100="매출액",O100="매출원가",O100="판매비와관리비"),1,0)</f>
        <v>0</v>
      </c>
    </row>
    <row r="101">
      <c r="B101" s="1359">
        <f>IF('정산표'!B174="","",'정산표'!B174)</f>
      </c>
      <c r="D101" s="1340" t="str">
        <f>'정산표'!D174</f>
        <v>외화환산손실(기타)</v>
      </c>
      <c r="E101" s="1341">
        <f>'정산표'!E174</f>
        <v>0</v>
      </c>
      <c r="F101" s="1341">
        <f>'정산표'!F174</f>
        <v>0</v>
      </c>
      <c r="G101" s="1341">
        <f>'정산표'!G174</f>
        <v>0</v>
      </c>
      <c r="H101" s="1341">
        <f>'정산표'!H174</f>
        <v>0</v>
      </c>
      <c r="J101" s="1341">
        <f>'정산표'!J174</f>
        <v>0</v>
      </c>
      <c r="K101" s="1341">
        <f>'정산표'!K174</f>
        <v>0</v>
      </c>
      <c r="L101" s="1341">
        <f>'정산표'!L174</f>
        <v>0</v>
      </c>
      <c r="M101" s="1341">
        <f>'정산표'!M174</f>
        <v>0</v>
      </c>
      <c r="O101" s="1360" t="inlineStr">
        <is>
          <t>기타영업수익</t>
        </is>
      </c>
      <c r="P101" s="1361" t="inlineStr">
        <is>
          <t>기타영업수익</t>
        </is>
      </c>
      <c r="Q101" s="1360" t="str">
        <f>IFERROR(INDEX($E$127:$E$137,MATCH(P101,$D$127:$D$137,0)),"오류")</f>
        <v>영업</v>
      </c>
      <c r="R101" s="1362">
        <f>IFERROR(INDEX($F$127:$F$137,MATCH(P101,$D$127:$D$137,0)),0)</f>
        <v>1</v>
      </c>
      <c r="S101" s="1363">
        <f>IF(OR(O101="매출액",O101="매출원가",O101="판매비와관리비"),1,0)</f>
        <v>0</v>
      </c>
    </row>
    <row r="102">
      <c r="B102" s="1359" t="str">
        <f>IF('정산표'!B175="","",'정산표'!B175)</f>
        <v>91400</v>
      </c>
      <c r="D102" s="1340" t="str">
        <f>'정산표'!D175</f>
        <v>유형자산처분이익</v>
      </c>
      <c r="E102" s="1341">
        <f>'정산표'!E175</f>
        <v>1202135</v>
      </c>
      <c r="F102" s="1341">
        <f>'정산표'!F175</f>
        <v>0</v>
      </c>
      <c r="G102" s="1341">
        <f>'정산표'!G175</f>
        <v>0</v>
      </c>
      <c r="H102" s="1341">
        <f>'정산표'!H175</f>
        <v>1202135</v>
      </c>
      <c r="J102" s="1341">
        <f>'정산표'!J175</f>
        <v>1054000</v>
      </c>
      <c r="K102" s="1341">
        <f>'정산표'!K175</f>
        <v>0</v>
      </c>
      <c r="L102" s="1341">
        <f>'정산표'!L175</f>
        <v>0</v>
      </c>
      <c r="M102" s="1341">
        <f>'정산표'!M175</f>
        <v>1054000</v>
      </c>
      <c r="O102" s="1360" t="inlineStr">
        <is>
          <t>기타영업수익</t>
        </is>
      </c>
      <c r="P102" s="1361" t="inlineStr">
        <is>
          <t>기타영업수익</t>
        </is>
      </c>
      <c r="Q102" s="1360" t="str">
        <f>IFERROR(INDEX($E$127:$E$137,MATCH(P102,$D$127:$D$137,0)),"오류")</f>
        <v>영업</v>
      </c>
      <c r="R102" s="1362">
        <f>IFERROR(INDEX($F$127:$F$137,MATCH(P102,$D$127:$D$137,0)),0)</f>
        <v>1</v>
      </c>
      <c r="S102" s="1363">
        <f>IF(OR(O102="매출액",O102="매출원가",O102="판매비와관리비"),1,0)</f>
        <v>0</v>
      </c>
    </row>
    <row r="103">
      <c r="B103" s="1359">
        <f>IF('정산표'!B176="","",'정산표'!B176)</f>
      </c>
      <c r="D103" s="1340" t="str">
        <f>'정산표'!D176</f>
        <v>종속기업투자주식손상차손환입</v>
      </c>
      <c r="E103" s="1341">
        <f>'정산표'!E176</f>
        <v>0</v>
      </c>
      <c r="F103" s="1341">
        <f>'정산표'!F176</f>
        <v>0</v>
      </c>
      <c r="G103" s="1341">
        <f>'정산표'!G176</f>
        <v>0</v>
      </c>
      <c r="H103" s="1341">
        <f>'정산표'!H176</f>
        <v>0</v>
      </c>
      <c r="J103" s="1341">
        <f>'정산표'!J176</f>
        <v>0</v>
      </c>
      <c r="K103" s="1341">
        <f>'정산표'!K176</f>
        <v>0</v>
      </c>
      <c r="L103" s="1341">
        <f>'정산표'!L176</f>
        <v>0</v>
      </c>
      <c r="M103" s="1341">
        <f>'정산표'!M176</f>
        <v>0</v>
      </c>
      <c r="O103" s="1360" t="inlineStr">
        <is>
          <t>기타영업수익</t>
        </is>
      </c>
      <c r="P103" s="1361" t="inlineStr">
        <is>
          <t>투자수익</t>
        </is>
      </c>
      <c r="Q103" s="1360" t="str">
        <f>IFERROR(INDEX($E$127:$E$137,MATCH(P103,$D$127:$D$137,0)),"오류")</f>
        <v>투자</v>
      </c>
      <c r="R103" s="1362">
        <f>IFERROR(INDEX($F$127:$F$137,MATCH(P103,$D$127:$D$137,0)),0)</f>
        <v>1</v>
      </c>
      <c r="S103" s="1363">
        <f>IF(OR(O103="매출액",O103="매출원가",O103="판매비와관리비"),1,0)</f>
        <v>0</v>
      </c>
    </row>
    <row r="104">
      <c r="B104" s="1359" t="str">
        <f>IF('정산표'!B177="","",'정산표'!B177)</f>
        <v>93000</v>
      </c>
      <c r="D104" s="1340" t="str">
        <f>'정산표'!D177</f>
        <v>잡이익</v>
      </c>
      <c r="E104" s="1341">
        <f>'정산표'!E177</f>
        <v>193864</v>
      </c>
      <c r="F104" s="1341">
        <f>'정산표'!F177</f>
        <v>0</v>
      </c>
      <c r="G104" s="1341">
        <f>'정산표'!G177</f>
        <v>0</v>
      </c>
      <c r="H104" s="1341">
        <f>'정산표'!H177</f>
        <v>193864</v>
      </c>
      <c r="J104" s="1341">
        <f>'정산표'!J177</f>
        <v>3903022</v>
      </c>
      <c r="K104" s="1341">
        <f>'정산표'!K177</f>
        <v>0</v>
      </c>
      <c r="L104" s="1341">
        <f>'정산표'!L177</f>
        <v>0</v>
      </c>
      <c r="M104" s="1341">
        <f>'정산표'!M177</f>
        <v>3903022</v>
      </c>
      <c r="O104" s="1360" t="inlineStr">
        <is>
          <t>기타영업수익</t>
        </is>
      </c>
      <c r="P104" s="1361" t="inlineStr">
        <is>
          <t>기타영업수익</t>
        </is>
      </c>
      <c r="Q104" s="1360" t="str">
        <f>IFERROR(INDEX($E$127:$E$137,MATCH(P104,$D$127:$D$137,0)),"오류")</f>
        <v>영업</v>
      </c>
      <c r="R104" s="1362">
        <f>IFERROR(INDEX($F$127:$F$137,MATCH(P104,$D$127:$D$137,0)),0)</f>
        <v>1</v>
      </c>
      <c r="S104" s="1363">
        <f>IF(OR(O104="매출액",O104="매출원가",O104="판매비와관리비"),1,0)</f>
        <v>0</v>
      </c>
    </row>
    <row r="105">
      <c r="B105" s="1359" t="str">
        <f>IF('정산표'!B179="","",'정산표'!B179)</f>
        <v>95400</v>
      </c>
      <c r="D105" s="1340" t="str">
        <f>'정산표'!D179</f>
        <v>기타의대손상각비</v>
      </c>
      <c r="E105" s="1341">
        <f>'정산표'!E179</f>
        <v>0</v>
      </c>
      <c r="F105" s="1341">
        <f>'정산표'!F179</f>
        <v>0</v>
      </c>
      <c r="G105" s="1341">
        <f>'정산표'!G179</f>
        <v>0</v>
      </c>
      <c r="H105" s="1341">
        <f>'정산표'!H179</f>
        <v>0</v>
      </c>
      <c r="J105" s="1341">
        <f>'정산표'!J179</f>
        <v>0</v>
      </c>
      <c r="K105" s="1341">
        <f>'정산표'!K179</f>
        <v>0</v>
      </c>
      <c r="L105" s="1341">
        <f>'정산표'!L179</f>
        <v>0</v>
      </c>
      <c r="M105" s="1341">
        <f>'정산표'!M179</f>
        <v>0</v>
      </c>
      <c r="O105" s="1360" t="inlineStr">
        <is>
          <t>기타영업비용</t>
        </is>
      </c>
      <c r="P105" s="1361" t="inlineStr">
        <is>
          <t>기타영업비용</t>
        </is>
      </c>
      <c r="Q105" s="1360" t="str">
        <f>IFERROR(INDEX($E$127:$E$137,MATCH(P105,$D$127:$D$137,0)),"오류")</f>
        <v>영업</v>
      </c>
      <c r="R105" s="1362">
        <f>IFERROR(INDEX($F$127:$F$137,MATCH(P105,$D$127:$D$137,0)),0)</f>
        <v>-1</v>
      </c>
      <c r="S105" s="1363">
        <f>IF(OR(O105="매출액",O105="매출원가",O105="판매비와관리비"),1,0)</f>
        <v>0</v>
      </c>
    </row>
    <row r="106">
      <c r="B106" s="1359" t="str">
        <f>IF('정산표'!B180="","",'정산표'!B180)</f>
        <v>93300</v>
      </c>
      <c r="D106" s="1340" t="str">
        <f>'정산표'!D180</f>
        <v>기부금</v>
      </c>
      <c r="E106" s="1341">
        <f>'정산표'!E180</f>
        <v>0</v>
      </c>
      <c r="F106" s="1341">
        <f>'정산표'!F180</f>
        <v>0</v>
      </c>
      <c r="G106" s="1341">
        <f>'정산표'!G180</f>
        <v>0</v>
      </c>
      <c r="H106" s="1341">
        <f>'정산표'!H180</f>
        <v>0</v>
      </c>
      <c r="J106" s="1341">
        <f>'정산표'!J180</f>
        <v>0</v>
      </c>
      <c r="K106" s="1341">
        <f>'정산표'!K180</f>
        <v>0</v>
      </c>
      <c r="L106" s="1341">
        <f>'정산표'!L180</f>
        <v>0</v>
      </c>
      <c r="M106" s="1341">
        <f>'정산표'!M180</f>
        <v>0</v>
      </c>
      <c r="O106" s="1360" t="inlineStr">
        <is>
          <t>기타영업비용</t>
        </is>
      </c>
      <c r="P106" s="1361" t="inlineStr">
        <is>
          <t>기타영업비용</t>
        </is>
      </c>
      <c r="Q106" s="1360" t="str">
        <f>IFERROR(INDEX($E$127:$E$137,MATCH(P106,$D$127:$D$137,0)),"오류")</f>
        <v>영업</v>
      </c>
      <c r="R106" s="1362">
        <f>IFERROR(INDEX($F$127:$F$137,MATCH(P106,$D$127:$D$137,0)),0)</f>
        <v>-1</v>
      </c>
      <c r="S106" s="1363">
        <f>IF(OR(O106="매출액",O106="매출원가",O106="판매비와관리비"),1,0)</f>
        <v>0</v>
      </c>
    </row>
    <row r="107">
      <c r="B107" s="1359" t="str">
        <f>IF('정산표'!B181="","",'정산표'!B181)</f>
        <v>95300</v>
      </c>
      <c r="D107" s="1340" t="str">
        <f>'정산표'!D181</f>
        <v>관계기업투자주식처분손실</v>
      </c>
      <c r="E107" s="1341">
        <f>'정산표'!E181</f>
        <v>0</v>
      </c>
      <c r="F107" s="1341">
        <f>'정산표'!F181</f>
        <v>0</v>
      </c>
      <c r="G107" s="1341">
        <f>'정산표'!G181</f>
        <v>0</v>
      </c>
      <c r="H107" s="1341">
        <f>'정산표'!H181</f>
        <v>0</v>
      </c>
      <c r="J107" s="1341">
        <f>'정산표'!J181</f>
        <v>0</v>
      </c>
      <c r="K107" s="1341">
        <f>'정산표'!K181</f>
        <v>0</v>
      </c>
      <c r="L107" s="1341">
        <f>'정산표'!L181</f>
        <v>0</v>
      </c>
      <c r="M107" s="1341">
        <f>'정산표'!M181</f>
        <v>0</v>
      </c>
      <c r="O107" s="1360" t="inlineStr">
        <is>
          <t>기타영업비용</t>
        </is>
      </c>
      <c r="P107" s="1361" t="inlineStr">
        <is>
          <t>투자비용</t>
        </is>
      </c>
      <c r="Q107" s="1360" t="str">
        <f>IFERROR(INDEX($E$127:$E$137,MATCH(P107,$D$127:$D$137,0)),"오류")</f>
        <v>투자</v>
      </c>
      <c r="R107" s="1362">
        <f>IFERROR(INDEX($F$127:$F$137,MATCH(P107,$D$127:$D$137,0)),0)</f>
        <v>-1</v>
      </c>
      <c r="S107" s="1363">
        <f>IF(OR(O107="매출액",O107="매출원가",O107="판매비와관리비"),1,0)</f>
        <v>0</v>
      </c>
    </row>
    <row r="108">
      <c r="B108" s="1359" t="str">
        <f>IF('정산표'!B182="","",'정산표'!B182)</f>
        <v>93600</v>
      </c>
      <c r="D108" s="1340" t="str">
        <f>'정산표'!D182</f>
        <v>유 형 자산처분손실</v>
      </c>
      <c r="E108" s="1341">
        <f>'정산표'!E182</f>
        <v>4825402</v>
      </c>
      <c r="F108" s="1341">
        <f>'정산표'!F182</f>
        <v>0</v>
      </c>
      <c r="G108" s="1341">
        <f>'정산표'!G182</f>
        <v>0</v>
      </c>
      <c r="H108" s="1341">
        <f>'정산표'!H182</f>
        <v>4825402</v>
      </c>
      <c r="J108" s="1341">
        <f>'정산표'!J182</f>
        <v>3098042</v>
      </c>
      <c r="K108" s="1341">
        <f>'정산표'!K182</f>
        <v>0</v>
      </c>
      <c r="L108" s="1341">
        <f>'정산표'!L182</f>
        <v>0</v>
      </c>
      <c r="M108" s="1341">
        <f>'정산표'!M182</f>
        <v>3098042</v>
      </c>
      <c r="O108" s="1360" t="inlineStr">
        <is>
          <t>기타영업비용</t>
        </is>
      </c>
      <c r="P108" s="1361" t="inlineStr">
        <is>
          <t>기타영업비용</t>
        </is>
      </c>
      <c r="Q108" s="1360" t="str">
        <f>IFERROR(INDEX($E$127:$E$137,MATCH(P108,$D$127:$D$137,0)),"오류")</f>
        <v>영업</v>
      </c>
      <c r="R108" s="1362">
        <f>IFERROR(INDEX($F$127:$F$137,MATCH(P108,$D$127:$D$137,0)),0)</f>
        <v>-1</v>
      </c>
      <c r="S108" s="1363">
        <f>IF(OR(O108="매출액",O108="매출원가",O108="판매비와관리비"),1,0)</f>
        <v>0</v>
      </c>
    </row>
    <row r="109">
      <c r="B109" s="1359" t="str">
        <f>IF('정산표'!B183="","",'정산표'!B183)</f>
        <v>95200</v>
      </c>
      <c r="D109" s="1340" t="str">
        <f>'정산표'!D183</f>
        <v>종속기업투자손상차손</v>
      </c>
      <c r="E109" s="1341">
        <f>'정산표'!E183</f>
        <v>0</v>
      </c>
      <c r="F109" s="1341">
        <f>'정산표'!F183</f>
        <v>0</v>
      </c>
      <c r="G109" s="1341">
        <f>'정산표'!G183</f>
        <v>0</v>
      </c>
      <c r="H109" s="1341">
        <f>'정산표'!H183</f>
        <v>0</v>
      </c>
      <c r="J109" s="1341">
        <f>'정산표'!J183</f>
        <v>0</v>
      </c>
      <c r="K109" s="1341">
        <f>'정산표'!K183</f>
        <v>0</v>
      </c>
      <c r="L109" s="1341">
        <f>'정산표'!L183</f>
        <v>0</v>
      </c>
      <c r="M109" s="1341">
        <f>'정산표'!M183</f>
        <v>0</v>
      </c>
      <c r="O109" s="1360" t="inlineStr">
        <is>
          <t>기타영업비용</t>
        </is>
      </c>
      <c r="P109" s="1361" t="inlineStr">
        <is>
          <t>투자비용</t>
        </is>
      </c>
      <c r="Q109" s="1360" t="str">
        <f>IFERROR(INDEX($E$127:$E$137,MATCH(P109,$D$127:$D$137,0)),"오류")</f>
        <v>투자</v>
      </c>
      <c r="R109" s="1362">
        <f>IFERROR(INDEX($F$127:$F$137,MATCH(P109,$D$127:$D$137,0)),0)</f>
        <v>-1</v>
      </c>
      <c r="S109" s="1363">
        <f>IF(OR(O109="매출액",O109="매출원가",O109="판매비와관리비"),1,0)</f>
        <v>0</v>
      </c>
    </row>
    <row r="110">
      <c r="B110" s="1359" t="str">
        <f>IF('정산표'!B184="","",'정산표'!B184)</f>
        <v>93700</v>
      </c>
      <c r="D110" s="1340" t="str">
        <f>'정산표'!D184</f>
        <v>보상비</v>
      </c>
      <c r="E110" s="1341">
        <f>'정산표'!E184</f>
        <v>0</v>
      </c>
      <c r="F110" s="1341">
        <f>'정산표'!F184</f>
        <v>0</v>
      </c>
      <c r="G110" s="1341">
        <f>'정산표'!G184</f>
        <v>0</v>
      </c>
      <c r="H110" s="1341">
        <f>'정산표'!H184</f>
        <v>0</v>
      </c>
      <c r="J110" s="1341">
        <f>'정산표'!J184</f>
        <v>0</v>
      </c>
      <c r="K110" s="1341">
        <f>'정산표'!K184</f>
        <v>0</v>
      </c>
      <c r="L110" s="1341">
        <f>'정산표'!L184</f>
        <v>0</v>
      </c>
      <c r="M110" s="1341">
        <f>'정산표'!M184</f>
        <v>0</v>
      </c>
      <c r="O110" s="1360" t="inlineStr">
        <is>
          <t>기타영업비용</t>
        </is>
      </c>
      <c r="P110" s="1361" t="inlineStr">
        <is>
          <t>기타영업비용</t>
        </is>
      </c>
      <c r="Q110" s="1360" t="str">
        <f>IFERROR(INDEX($E$127:$E$137,MATCH(P110,$D$127:$D$137,0)),"오류")</f>
        <v>영업</v>
      </c>
      <c r="R110" s="1362">
        <f>IFERROR(INDEX($F$127:$F$137,MATCH(P110,$D$127:$D$137,0)),0)</f>
        <v>-1</v>
      </c>
      <c r="S110" s="1363">
        <f>IF(OR(O110="매출액",O110="매출원가",O110="판매비와관리비"),1,0)</f>
        <v>0</v>
      </c>
    </row>
    <row r="111">
      <c r="B111" s="1359" t="str">
        <f>IF('정산표'!B185="","",'정산표'!B185)</f>
        <v>96000</v>
      </c>
      <c r="D111" s="1340" t="str">
        <f>'정산표'!D185</f>
        <v>잡손실</v>
      </c>
      <c r="E111" s="1341">
        <f>'정산표'!E185</f>
        <v>210</v>
      </c>
      <c r="F111" s="1341">
        <f>'정산표'!F185</f>
        <v>0</v>
      </c>
      <c r="G111" s="1341">
        <f>'정산표'!G185</f>
        <v>0</v>
      </c>
      <c r="H111" s="1341">
        <f>'정산표'!H185</f>
        <v>210</v>
      </c>
      <c r="J111" s="1341">
        <f>'정산표'!J185</f>
        <v>59964</v>
      </c>
      <c r="K111" s="1341">
        <f>'정산표'!K185</f>
        <v>0</v>
      </c>
      <c r="L111" s="1341">
        <f>'정산표'!L185</f>
        <v>0</v>
      </c>
      <c r="M111" s="1341">
        <f>'정산표'!M185</f>
        <v>59964</v>
      </c>
      <c r="O111" s="1360" t="inlineStr">
        <is>
          <t>기타영업비용</t>
        </is>
      </c>
      <c r="P111" s="1361" t="inlineStr">
        <is>
          <t>기타영업비용</t>
        </is>
      </c>
      <c r="Q111" s="1360" t="str">
        <f>IFERROR(INDEX($E$127:$E$137,MATCH(P111,$D$127:$D$137,0)),"오류")</f>
        <v>영업</v>
      </c>
      <c r="R111" s="1362">
        <f>IFERROR(INDEX($F$127:$F$137,MATCH(P111,$D$127:$D$137,0)),0)</f>
        <v>-1</v>
      </c>
      <c r="S111" s="1363">
        <f>IF(OR(O111="매출액",O111="매출원가",O111="판매비와관리비"),1,0)</f>
        <v>0</v>
      </c>
    </row>
    <row r="112">
      <c r="B112" s="1359" t="str">
        <f>IF('정산표'!B187="","",'정산표'!B187)</f>
        <v>90100</v>
      </c>
      <c r="D112" s="1340" t="str">
        <f>'정산표'!D187</f>
        <v>이자수익</v>
      </c>
      <c r="E112" s="1341">
        <f>'정산표'!E187</f>
        <v>22098561</v>
      </c>
      <c r="F112" s="1341">
        <f>'정산표'!F187</f>
        <v>0</v>
      </c>
      <c r="G112" s="1341">
        <f>'정산표'!G187</f>
        <v>0</v>
      </c>
      <c r="H112" s="1341">
        <f>'정산표'!H187</f>
        <v>22098561</v>
      </c>
      <c r="J112" s="1341">
        <f>'정산표'!J187</f>
        <v>28008260</v>
      </c>
      <c r="K112" s="1341">
        <f>'정산표'!K187</f>
        <v>0</v>
      </c>
      <c r="L112" s="1341">
        <f>'정산표'!L187</f>
        <v>0</v>
      </c>
      <c r="M112" s="1341">
        <f>'정산표'!M187</f>
        <v>28008260</v>
      </c>
      <c r="O112" s="1360" t="inlineStr">
        <is>
          <t>금융수익</t>
        </is>
      </c>
      <c r="P112" s="1361" t="inlineStr">
        <is>
          <t>투자수익</t>
        </is>
      </c>
      <c r="Q112" s="1360" t="str">
        <f>IFERROR(INDEX($E$127:$E$137,MATCH(P112,$D$127:$D$137,0)),"오류")</f>
        <v>투자</v>
      </c>
      <c r="R112" s="1362">
        <f>IFERROR(INDEX($F$127:$F$137,MATCH(P112,$D$127:$D$137,0)),0)</f>
        <v>1</v>
      </c>
      <c r="S112" s="1363">
        <f>IF(OR(O112="매출액",O112="매출원가",O112="판매비와관리비"),1,0)</f>
        <v>0</v>
      </c>
    </row>
    <row r="113">
      <c r="B113" s="1359" t="str">
        <f>IF('정산표'!B188="","",'정산표'!B188)</f>
        <v>90700</v>
      </c>
      <c r="D113" s="1340" t="str">
        <f>'정산표'!D188</f>
        <v>외환차익</v>
      </c>
      <c r="E113" s="1341">
        <f>'정산표'!E188</f>
        <v>109841433</v>
      </c>
      <c r="F113" s="1341">
        <f>'정산표'!F188</f>
        <v>0</v>
      </c>
      <c r="G113" s="1341">
        <f>'정산표'!G188</f>
        <v>0</v>
      </c>
      <c r="H113" s="1341">
        <f>'정산표'!H188</f>
        <v>109841433</v>
      </c>
      <c r="J113" s="1341">
        <f>'정산표'!J188</f>
        <v>20481765</v>
      </c>
      <c r="K113" s="1341">
        <f>'정산표'!K188</f>
        <v>0</v>
      </c>
      <c r="L113" s="1341">
        <f>'정산표'!L188</f>
        <v>0</v>
      </c>
      <c r="M113" s="1341">
        <f>'정산표'!M188</f>
        <v>20481765</v>
      </c>
      <c r="O113" s="1360" t="inlineStr">
        <is>
          <t>금융수익</t>
        </is>
      </c>
      <c r="P113" s="1361" t="inlineStr">
        <is>
          <t>기타영업수익</t>
        </is>
      </c>
      <c r="Q113" s="1360" t="str">
        <f>IFERROR(INDEX($E$127:$E$137,MATCH(P113,$D$127:$D$137,0)),"오류")</f>
        <v>영업</v>
      </c>
      <c r="R113" s="1362">
        <f>IFERROR(INDEX($F$127:$F$137,MATCH(P113,$D$127:$D$137,0)),0)</f>
        <v>1</v>
      </c>
      <c r="S113" s="1363">
        <f>IF(OR(O113="매출액",O113="매출원가",O113="판매비와관리비"),1,0)</f>
        <v>0</v>
      </c>
    </row>
    <row r="114">
      <c r="B114" s="1359" t="str">
        <f>IF('정산표'!B189="","",'정산표'!B189)</f>
        <v>91000</v>
      </c>
      <c r="D114" s="1340" t="str">
        <f>'정산표'!D189</f>
        <v>외화환산이익</v>
      </c>
      <c r="E114" s="1341">
        <f>'정산표'!E189</f>
        <v>37603839</v>
      </c>
      <c r="F114" s="1341">
        <f>'정산표'!F189</f>
        <v>0</v>
      </c>
      <c r="G114" s="1341">
        <f>'정산표'!G189</f>
        <v>0</v>
      </c>
      <c r="H114" s="1341">
        <f>'정산표'!H189</f>
        <v>37603839</v>
      </c>
      <c r="J114" s="1341">
        <f>'정산표'!J189</f>
        <v>3042</v>
      </c>
      <c r="K114" s="1341">
        <f>'정산표'!K189</f>
        <v>0</v>
      </c>
      <c r="L114" s="1341">
        <f>'정산표'!L189</f>
        <v>0</v>
      </c>
      <c r="M114" s="1341">
        <f>'정산표'!M189</f>
        <v>3042</v>
      </c>
      <c r="O114" s="1360" t="inlineStr">
        <is>
          <t>금융수익</t>
        </is>
      </c>
      <c r="P114" s="1361" t="inlineStr">
        <is>
          <t>기타영업수익</t>
        </is>
      </c>
      <c r="Q114" s="1360" t="str">
        <f>IFERROR(INDEX($E$127:$E$137,MATCH(P114,$D$127:$D$137,0)),"오류")</f>
        <v>영업</v>
      </c>
      <c r="R114" s="1362">
        <f>IFERROR(INDEX($F$127:$F$137,MATCH(P114,$D$127:$D$137,0)),0)</f>
        <v>1</v>
      </c>
      <c r="S114" s="1363">
        <f>IF(OR(O114="매출액",O114="매출원가",O114="판매비와관리비"),1,0)</f>
        <v>0</v>
      </c>
    </row>
    <row r="115">
      <c r="B115" s="1359" t="str">
        <f>IF('정산표'!B191="","",'정산표'!B191)</f>
        <v>93100</v>
      </c>
      <c r="D115" s="1340" t="str">
        <f>'정산표'!D191</f>
        <v>이자비용</v>
      </c>
      <c r="E115" s="1341">
        <f>'정산표'!E191</f>
        <v>89862932</v>
      </c>
      <c r="F115" s="1341">
        <f>'정산표'!F191</f>
        <v>9092019</v>
      </c>
      <c r="G115" s="1341">
        <f>'정산표'!G191</f>
        <v>0</v>
      </c>
      <c r="H115" s="1341">
        <f>'정산표'!H191</f>
        <v>98954951</v>
      </c>
      <c r="J115" s="1341">
        <f>'정산표'!J191</f>
        <v>43244353</v>
      </c>
      <c r="K115" s="1341">
        <f>'정산표'!K191</f>
        <v>0</v>
      </c>
      <c r="L115" s="1341">
        <f>'정산표'!L191</f>
        <v>0</v>
      </c>
      <c r="M115" s="1341">
        <f>'정산표'!M191</f>
        <v>43244353</v>
      </c>
      <c r="O115" s="1360" t="inlineStr">
        <is>
          <t>금융비용</t>
        </is>
      </c>
      <c r="P115" s="1361" t="inlineStr">
        <is>
          <t>재무비용</t>
        </is>
      </c>
      <c r="Q115" s="1360" t="str">
        <f>IFERROR(INDEX($E$127:$E$137,MATCH(P115,$D$127:$D$137,0)),"오류")</f>
        <v>재무</v>
      </c>
      <c r="R115" s="1362">
        <f>IFERROR(INDEX($F$127:$F$137,MATCH(P115,$D$127:$D$137,0)),0)</f>
        <v>-1</v>
      </c>
      <c r="S115" s="1363">
        <f>IF(OR(O115="매출액",O115="매출원가",O115="판매비와관리비"),1,0)</f>
        <v>0</v>
      </c>
    </row>
    <row r="116">
      <c r="B116" s="1359" t="str">
        <f>IF('정산표'!B192="","",'정산표'!B192)</f>
        <v>93800</v>
      </c>
      <c r="D116" s="1340" t="str">
        <f>'정산표'!D192</f>
        <v>당기손익-공정가치측정금융자산평가손실</v>
      </c>
      <c r="E116" s="1341">
        <f>'정산표'!E192</f>
        <v>0</v>
      </c>
      <c r="F116" s="1341">
        <f>'정산표'!F192</f>
        <v>0</v>
      </c>
      <c r="G116" s="1341">
        <f>'정산표'!G192</f>
        <v>0</v>
      </c>
      <c r="H116" s="1341">
        <f>'정산표'!H192</f>
        <v>0</v>
      </c>
      <c r="J116" s="1341">
        <f>'정산표'!J192</f>
        <v>0</v>
      </c>
      <c r="K116" s="1341">
        <f>'정산표'!K192</f>
        <v>0</v>
      </c>
      <c r="L116" s="1341">
        <f>'정산표'!L192</f>
        <v>0</v>
      </c>
      <c r="M116" s="1341">
        <f>'정산표'!M192</f>
        <v>0</v>
      </c>
      <c r="O116" s="1360" t="inlineStr">
        <is>
          <t>금융비용</t>
        </is>
      </c>
      <c r="P116" s="1361" t="inlineStr">
        <is>
          <t>투자비용</t>
        </is>
      </c>
      <c r="Q116" s="1360" t="str">
        <f>IFERROR(INDEX($E$127:$E$137,MATCH(P116,$D$127:$D$137,0)),"오류")</f>
        <v>투자</v>
      </c>
      <c r="R116" s="1362">
        <f>IFERROR(INDEX($F$127:$F$137,MATCH(P116,$D$127:$D$137,0)),0)</f>
        <v>-1</v>
      </c>
      <c r="S116" s="1363">
        <f>IF(OR(O116="매출액",O116="매출원가",O116="판매비와관리비"),1,0)</f>
        <v>0</v>
      </c>
    </row>
    <row r="117">
      <c r="B117" s="1359" t="str">
        <f>IF('정산표'!B193="","",'정산표'!B193)</f>
        <v>93200</v>
      </c>
      <c r="D117" s="1340" t="str">
        <f>'정산표'!D193</f>
        <v>외환차손</v>
      </c>
      <c r="E117" s="1341">
        <f>'정산표'!E193</f>
        <v>172194962</v>
      </c>
      <c r="F117" s="1341">
        <f>'정산표'!F193</f>
        <v>0</v>
      </c>
      <c r="G117" s="1341">
        <f>'정산표'!G193</f>
        <v>0</v>
      </c>
      <c r="H117" s="1341">
        <f>'정산표'!H193</f>
        <v>172194962</v>
      </c>
      <c r="J117" s="1341">
        <f>'정산표'!J193</f>
        <v>40925617</v>
      </c>
      <c r="K117" s="1341">
        <f>'정산표'!K193</f>
        <v>0</v>
      </c>
      <c r="L117" s="1341">
        <f>'정산표'!L193</f>
        <v>0</v>
      </c>
      <c r="M117" s="1341">
        <f>'정산표'!M193</f>
        <v>40925617</v>
      </c>
      <c r="O117" s="1360" t="inlineStr">
        <is>
          <t>금융비용</t>
        </is>
      </c>
      <c r="P117" s="1361" t="inlineStr">
        <is>
          <t>기타영업비용</t>
        </is>
      </c>
      <c r="Q117" s="1360" t="str">
        <f>IFERROR(INDEX($E$127:$E$137,MATCH(P117,$D$127:$D$137,0)),"오류")</f>
        <v>영업</v>
      </c>
      <c r="R117" s="1362">
        <f>IFERROR(INDEX($F$127:$F$137,MATCH(P117,$D$127:$D$137,0)),0)</f>
        <v>-1</v>
      </c>
      <c r="S117" s="1363">
        <f>IF(OR(O117="매출액",O117="매출원가",O117="판매비와관리비"),1,0)</f>
        <v>0</v>
      </c>
    </row>
    <row r="118">
      <c r="B118" s="1359" t="str">
        <f>IF('정산표'!B194="","",'정산표'!B194)</f>
        <v>93500</v>
      </c>
      <c r="D118" s="1340" t="str">
        <f>'정산표'!D194</f>
        <v>외화환산손실</v>
      </c>
      <c r="E118" s="1341">
        <f>'정산표'!E194</f>
        <v>0</v>
      </c>
      <c r="F118" s="1341">
        <f>'정산표'!F194</f>
        <v>0</v>
      </c>
      <c r="G118" s="1341">
        <f>'정산표'!G194</f>
        <v>0</v>
      </c>
      <c r="H118" s="1341">
        <f>'정산표'!H194</f>
        <v>0</v>
      </c>
      <c r="J118" s="1341">
        <f>'정산표'!J194</f>
        <v>57204705</v>
      </c>
      <c r="K118" s="1341">
        <f>'정산표'!K194</f>
        <v>0</v>
      </c>
      <c r="L118" s="1341">
        <f>'정산표'!L194</f>
        <v>0</v>
      </c>
      <c r="M118" s="1341">
        <f>'정산표'!M194</f>
        <v>57204705</v>
      </c>
      <c r="O118" s="1360" t="inlineStr">
        <is>
          <t>금융비용</t>
        </is>
      </c>
      <c r="P118" s="1361" t="inlineStr">
        <is>
          <t>기타영업비용</t>
        </is>
      </c>
      <c r="Q118" s="1360" t="str">
        <f>IFERROR(INDEX($E$127:$E$137,MATCH(P118,$D$127:$D$137,0)),"오류")</f>
        <v>영업</v>
      </c>
      <c r="R118" s="1362">
        <f>IFERROR(INDEX($F$127:$F$137,MATCH(P118,$D$127:$D$137,0)),0)</f>
        <v>-1</v>
      </c>
      <c r="S118" s="1363">
        <f>IF(OR(O118="매출액",O118="매출원가",O118="판매비와관리비"),1,0)</f>
        <v>0</v>
      </c>
    </row>
    <row r="119">
      <c r="B119" s="1359" t="str">
        <f>IF('정산표'!B196="","",'정산표'!B196)</f>
        <v>99800</v>
      </c>
      <c r="D119" s="1340" t="str">
        <f>'정산표'!D196</f>
        <v>법인세비용</v>
      </c>
      <c r="E119" s="1341">
        <f>'정산표'!E196</f>
        <v>0</v>
      </c>
      <c r="F119" s="1341">
        <f>'정산표'!F196</f>
        <v>0</v>
      </c>
      <c r="G119" s="1341">
        <f>'정산표'!G196</f>
        <v>0</v>
      </c>
      <c r="H119" s="1341">
        <f>'정산표'!H196</f>
        <v>0</v>
      </c>
      <c r="J119" s="1341">
        <f>'정산표'!J196</f>
        <v>0</v>
      </c>
      <c r="K119" s="1341">
        <f>'정산표'!K196</f>
        <v>0</v>
      </c>
      <c r="L119" s="1341">
        <f>'정산표'!L196</f>
        <v>0</v>
      </c>
      <c r="M119" s="1341">
        <f>'정산표'!M196</f>
        <v>0</v>
      </c>
      <c r="O119" s="1360" t="inlineStr">
        <is>
          <t>법인세비용</t>
        </is>
      </c>
      <c r="P119" s="1361" t="inlineStr">
        <is>
          <t>법인세비용</t>
        </is>
      </c>
      <c r="Q119" s="1360" t="str">
        <f>IFERROR(INDEX($E$127:$E$137,MATCH(P119,$D$127:$D$137,0)),"오류")</f>
        <v>법인세</v>
      </c>
      <c r="R119" s="1362">
        <f>IFERROR(INDEX($F$127:$F$137,MATCH(P119,$D$127:$D$137,0)),0)</f>
        <v>-1</v>
      </c>
      <c r="S119" s="1363">
        <f>IF(OR(O119="매출액",O119="매출원가",O119="판매비와관리비"),1,0)</f>
        <v>0</v>
      </c>
    </row>
    <row r="120">
      <c r="B120" s="1359" t="str">
        <f>IF('정산표'!B199="","",'정산표'!B199)</f>
        <v>39700</v>
      </c>
      <c r="D120" s="1340" t="str">
        <f>'정산표'!D199</f>
        <v>종업원급여 재측정요소</v>
      </c>
      <c r="E120" s="1341">
        <f>'정산표'!E199</f>
        <v>0</v>
      </c>
      <c r="F120" s="1341">
        <f>'정산표'!F199</f>
        <v>0</v>
      </c>
      <c r="G120" s="1341">
        <f>'정산표'!G199</f>
        <v>0</v>
      </c>
      <c r="H120" s="1341">
        <f>'정산표'!H199</f>
        <v>0</v>
      </c>
      <c r="J120" s="1341">
        <f>'정산표'!J199</f>
        <v>0</v>
      </c>
      <c r="K120" s="1341">
        <f>'정산표'!K199</f>
        <v>0</v>
      </c>
      <c r="L120" s="1341">
        <f>'정산표'!L199</f>
        <v>0</v>
      </c>
      <c r="M120" s="1341">
        <f>'정산표'!M199</f>
        <v>0</v>
      </c>
      <c r="O120" s="1360" t="inlineStr">
        <is>
          <t>기타포괄손익</t>
        </is>
      </c>
      <c r="P120" s="1361" t="inlineStr">
        <is>
          <t>기타포괄손익</t>
        </is>
      </c>
      <c r="Q120" s="1360" t="str">
        <f>IFERROR(INDEX($E$127:$E$137,MATCH(P120,$D$127:$D$137,0)),"오류")</f>
        <v>기타포괄손익</v>
      </c>
      <c r="R120" s="1362">
        <f>IFERROR(INDEX($F$127:$F$137,MATCH(P120,$D$127:$D$137,0)),0)</f>
        <v>1</v>
      </c>
      <c r="S120" s="1363">
        <f>IF(OR(O120="매출액",O120="매출원가",O120="판매비와관리비"),1,0)</f>
        <v>0</v>
      </c>
    </row>
    <row r="121">
      <c r="B121" s="1359">
        <f>IF('정산표'!B200="","",'정산표'!B200)</f>
      </c>
      <c r="D121" s="1340" t="str">
        <f>'정산표'!D200</f>
        <v>지분법자본변동</v>
      </c>
      <c r="E121" s="1341">
        <f>'정산표'!E200</f>
        <v>0</v>
      </c>
      <c r="F121" s="1341">
        <f>'정산표'!F200</f>
        <v>0</v>
      </c>
      <c r="G121" s="1341">
        <f>'정산표'!G200</f>
        <v>0</v>
      </c>
      <c r="H121" s="1341">
        <f>'정산표'!H200</f>
        <v>0</v>
      </c>
      <c r="J121" s="1341">
        <f>'정산표'!J200</f>
        <v>0</v>
      </c>
      <c r="K121" s="1341">
        <f>'정산표'!K200</f>
        <v>0</v>
      </c>
      <c r="L121" s="1341">
        <f>'정산표'!L200</f>
        <v>0</v>
      </c>
      <c r="M121" s="1341">
        <f>'정산표'!M200</f>
        <v>0</v>
      </c>
      <c r="O121" s="1360" t="inlineStr">
        <is>
          <t>기타포괄손익</t>
        </is>
      </c>
      <c r="P121" s="1361" t="inlineStr">
        <is>
          <t>기타포괄손익</t>
        </is>
      </c>
      <c r="Q121" s="1360" t="str">
        <f>IFERROR(INDEX($E$127:$E$137,MATCH(P121,$D$127:$D$137,0)),"오류")</f>
        <v>기타포괄손익</v>
      </c>
      <c r="R121" s="1362">
        <f>IFERROR(INDEX($F$127:$F$137,MATCH(P121,$D$127:$D$137,0)),0)</f>
        <v>1</v>
      </c>
      <c r="S121" s="1363">
        <f>IF(OR(O121="매출액",O121="매출원가",O121="판매비와관리비"),1,0)</f>
        <v>0</v>
      </c>
    </row>
    <row r="124">
      <c r="B124" s="1351" t="inlineStr">
        <is>
          <t>[부록 2] IFRS 18 표시항목 ↔ 범주 / 부호 (수익 +1, 비용 -1)</t>
        </is>
      </c>
    </row>
    <row r="125">
      <c r="D125" s="1364" t="inlineStr">
        <is>
          <t>표시항목</t>
        </is>
      </c>
      <c r="E125" s="1364" t="inlineStr">
        <is>
          <t>IFRS 18 구분</t>
        </is>
      </c>
      <c r="F125" s="1364" t="inlineStr">
        <is>
          <t>부호</t>
        </is>
      </c>
    </row>
    <row r="126">
      <c r="D126" s="1365" t="inlineStr">
        <is>
          <t>(상단 손익계산서 행 이름과 동일해야 함)</t>
        </is>
      </c>
    </row>
    <row r="127">
      <c r="D127" s="1340" t="inlineStr">
        <is>
          <t>매출액</t>
        </is>
      </c>
      <c r="E127" s="1366" t="inlineStr">
        <is>
          <t>영업</t>
        </is>
      </c>
      <c r="F127" s="1367" t="n">
        <v>1</v>
      </c>
    </row>
    <row r="128">
      <c r="D128" s="1340" t="inlineStr">
        <is>
          <t>매출원가</t>
        </is>
      </c>
      <c r="E128" s="1366" t="inlineStr">
        <is>
          <t>영업</t>
        </is>
      </c>
      <c r="F128" s="1367" t="n">
        <v>-1</v>
      </c>
    </row>
    <row r="129">
      <c r="D129" s="1340" t="inlineStr">
        <is>
          <t>판매비와관리비</t>
        </is>
      </c>
      <c r="E129" s="1366" t="inlineStr">
        <is>
          <t>영업</t>
        </is>
      </c>
      <c r="F129" s="1367" t="n">
        <v>-1</v>
      </c>
    </row>
    <row r="130">
      <c r="D130" s="1340" t="inlineStr">
        <is>
          <t>기타영업수익</t>
        </is>
      </c>
      <c r="E130" s="1366" t="inlineStr">
        <is>
          <t>영업</t>
        </is>
      </c>
      <c r="F130" s="1367" t="n">
        <v>1</v>
      </c>
    </row>
    <row r="131">
      <c r="D131" s="1340" t="inlineStr">
        <is>
          <t>기타영업비용</t>
        </is>
      </c>
      <c r="E131" s="1366" t="inlineStr">
        <is>
          <t>영업</t>
        </is>
      </c>
      <c r="F131" s="1367" t="n">
        <v>-1</v>
      </c>
    </row>
    <row r="132">
      <c r="D132" s="1340" t="inlineStr">
        <is>
          <t>투자수익</t>
        </is>
      </c>
      <c r="E132" s="1366" t="inlineStr">
        <is>
          <t>투자</t>
        </is>
      </c>
      <c r="F132" s="1367" t="n">
        <v>1</v>
      </c>
    </row>
    <row r="133">
      <c r="D133" s="1340" t="inlineStr">
        <is>
          <t>투자비용</t>
        </is>
      </c>
      <c r="E133" s="1366" t="inlineStr">
        <is>
          <t>투자</t>
        </is>
      </c>
      <c r="F133" s="1367" t="n">
        <v>-1</v>
      </c>
    </row>
    <row r="134">
      <c r="D134" s="1340" t="inlineStr">
        <is>
          <t>재무수익</t>
        </is>
      </c>
      <c r="E134" s="1366" t="inlineStr">
        <is>
          <t>재무</t>
        </is>
      </c>
      <c r="F134" s="1367" t="n">
        <v>1</v>
      </c>
    </row>
    <row r="135">
      <c r="D135" s="1340" t="inlineStr">
        <is>
          <t>재무비용</t>
        </is>
      </c>
      <c r="E135" s="1366" t="inlineStr">
        <is>
          <t>재무</t>
        </is>
      </c>
      <c r="F135" s="1367" t="n">
        <v>-1</v>
      </c>
    </row>
    <row r="136">
      <c r="D136" s="1340" t="inlineStr">
        <is>
          <t>법인세비용</t>
        </is>
      </c>
      <c r="E136" s="1366" t="inlineStr">
        <is>
          <t>법인세</t>
        </is>
      </c>
      <c r="F136" s="1367" t="n">
        <v>-1</v>
      </c>
    </row>
    <row r="137">
      <c r="D137" s="1340" t="inlineStr">
        <is>
          <t>기타포괄손익</t>
        </is>
      </c>
      <c r="E137" s="1366" t="inlineStr">
        <is>
          <t>기타포괄손익</t>
        </is>
      </c>
      <c r="F137" s="1367" t="n">
        <v>1</v>
      </c>
    </row>
    <row r="138">
      <c r="D138" s="1368" t="inlineStr">
        <is>
          <t>합계 검증: 부록1 당기순이익 = Σ(부호×수정후) 기준</t>
        </is>
      </c>
      <c r="H138" s="1369">
        <f>SUMPRODUCT(($Q$63:$Q$121&lt;&gt;"기타포괄손익")*$R$63:$R$121*H$63:H$121)-H27</f>
        <v>0</v>
      </c>
    </row>
  </sheetData>
  <mergeCells count="2">
    <mergeCell ref="D55:M55"/>
    <mergeCell ref="D56:M56"/>
  </mergeCells>
  <dataValidations count="1">
    <dataValidation sqref="P63:P121" showDropDown="0" showInputMessage="0" showErrorMessage="1" allowBlank="0" errorTitle="표시항목" error="매핑표에 있는 표시항목을 선택하세요." type="list">
      <formula1>=$D$127:$D$137</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57</vt:i4>
      </vt:variant>
      <vt:variant>
        <vt:lpstr>이름 지정된 범위</vt:lpstr>
      </vt:variant>
      <vt:variant>
        <vt:i4>2</vt:i4>
      </vt:variant>
    </vt:vector>
  </HeadingPairs>
  <TitlesOfParts>
    <vt:vector size="59" baseType="lpstr">
      <vt:lpstr>계정코드</vt:lpstr>
      <vt:lpstr>Dart_BS</vt:lpstr>
      <vt:lpstr>Dart_PL</vt:lpstr>
      <vt:lpstr>정산표</vt:lpstr>
      <vt:lpstr>별도_AJE_26.2Q</vt:lpstr>
      <vt:lpstr>BS</vt:lpstr>
      <vt:lpstr>PL</vt:lpstr>
      <vt:lpstr>CE</vt:lpstr>
      <vt:lpstr>CF</vt:lpstr>
      <vt:lpstr>CF참고(비교용)</vt:lpstr>
      <vt:lpstr>CF정산표(26.2Q)</vt:lpstr>
      <vt:lpstr>건중대체</vt:lpstr>
      <vt:lpstr>별도_AJE_25</vt:lpstr>
      <vt:lpstr>FN&gt;</vt:lpstr>
      <vt:lpstr>1</vt:lpstr>
      <vt:lpstr>2</vt:lpstr>
      <vt:lpstr>3</vt:lpstr>
      <vt:lpstr>4</vt:lpstr>
      <vt:lpstr>5</vt:lpstr>
      <vt:lpstr>6</vt:lpstr>
      <vt:lpstr>7</vt:lpstr>
      <vt:lpstr>8</vt:lpstr>
      <vt:lpstr>9</vt:lpstr>
      <vt:lpstr>10</vt:lpstr>
      <vt:lpstr>11-12</vt:lpstr>
      <vt:lpstr>13</vt:lpstr>
      <vt:lpstr>14</vt:lpstr>
      <vt:lpstr>Sheet1</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PBC(26.2Q)&gt;</vt:lpstr>
      <vt:lpstr>담보제공 건중</vt:lpstr>
      <vt:lpstr>제시BS</vt:lpstr>
      <vt:lpstr>제시PL</vt:lpstr>
      <vt:lpstr>원가</vt:lpstr>
      <vt:lpstr>주식보상비용 행사</vt:lpstr>
      <vt:lpstr>1,4,5차 평가</vt:lpstr>
      <vt:lpstr>'1,4,5차 평가'!Print_Area</vt:lpstr>
      <vt:lpstr>CF!Print_Area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김관수</dc:creator>
  <cp:lastModifiedBy>H</cp:lastModifiedBy>
  <cp:lastPrinted>2024-02-19T08:52:20Z</cp:lastPrinted>
  <dcterms:created xsi:type="dcterms:W3CDTF">2017-07-20T01:30:16Z</dcterms:created>
  <dcterms:modified xsi:type="dcterms:W3CDTF">2026-08-06T05:51:30Z</dcterms:modified>
</cp:coreProperties>
</file>